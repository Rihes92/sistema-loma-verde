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.E CERRO TOFEME MONTERIA GRADO 11° 2026\E.E SAN JOSE DE LOMA VERDE CERRO TOFEME GRADO 11° 2026\"/>
    </mc:Choice>
  </mc:AlternateContent>
  <xr:revisionPtr revIDLastSave="0" documentId="13_ncr:1_{C3190C5F-D0E6-4D28-A3D6-B9E8E3D7CC11}" xr6:coauthVersionLast="36" xr6:coauthVersionMax="36" xr10:uidLastSave="{00000000-0000-0000-0000-000000000000}"/>
  <bookViews>
    <workbookView xWindow="0" yWindow="0" windowWidth="19200" windowHeight="6520" tabRatio="831" activeTab="4" xr2:uid="{00000000-000D-0000-FFFF-FFFF00000000}"/>
  </bookViews>
  <sheets>
    <sheet name="in" sheetId="1" r:id="rId1"/>
    <sheet name="in2" sheetId="4" r:id="rId2"/>
    <sheet name="SESION1" sheetId="2" r:id="rId3"/>
    <sheet name="SESION2" sheetId="5" r:id="rId4"/>
    <sheet name="GENERAL" sheetId="6" r:id="rId5"/>
    <sheet name="RESULTADOS " sheetId="10" r:id="rId6"/>
    <sheet name="REDONDEO" sheetId="12" r:id="rId7"/>
    <sheet name="desempeños" sheetId="18" r:id="rId8"/>
    <sheet name="ITEM SESION1" sheetId="20" r:id="rId9"/>
    <sheet name="ITEM SESION 2" sheetId="21" r:id="rId10"/>
  </sheets>
  <definedNames>
    <definedName name="_xlnm._FilterDatabase" localSheetId="2" hidden="1">SESION1!$DJ$1:$EF$20</definedName>
  </definedNames>
  <calcPr calcId="162913"/>
</workbook>
</file>

<file path=xl/calcChain.xml><?xml version="1.0" encoding="utf-8"?>
<calcChain xmlns="http://schemas.openxmlformats.org/spreadsheetml/2006/main">
  <c r="S5" i="21" l="1" a="1"/>
  <c r="S12" i="21" s="1"/>
  <c r="J39" i="21" a="1"/>
  <c r="J45" i="21" s="1"/>
  <c r="M5" i="21" a="1"/>
  <c r="M12" i="21" s="1"/>
  <c r="G5" i="21" a="1"/>
  <c r="G5" i="21" s="1"/>
  <c r="A5" i="21" a="1"/>
  <c r="A5" i="21" s="1"/>
  <c r="S11" i="21" l="1"/>
  <c r="S10" i="21"/>
  <c r="S42" i="21"/>
  <c r="S41" i="21"/>
  <c r="S40" i="21"/>
  <c r="J44" i="21"/>
  <c r="S39" i="21"/>
  <c r="J43" i="21"/>
  <c r="S27" i="21"/>
  <c r="J42" i="21"/>
  <c r="S26" i="21"/>
  <c r="J41" i="21"/>
  <c r="S25" i="21"/>
  <c r="J40" i="21"/>
  <c r="S24" i="21"/>
  <c r="J39" i="21"/>
  <c r="S23" i="21"/>
  <c r="S8" i="21"/>
  <c r="S7" i="21"/>
  <c r="S9" i="21"/>
  <c r="S43" i="21"/>
  <c r="S35" i="21"/>
  <c r="S19" i="21"/>
  <c r="S34" i="21"/>
  <c r="S18" i="21"/>
  <c r="S33" i="21"/>
  <c r="S17" i="21"/>
  <c r="S48" i="21"/>
  <c r="S32" i="21"/>
  <c r="S16" i="21"/>
  <c r="S47" i="21"/>
  <c r="S31" i="21"/>
  <c r="S15" i="21"/>
  <c r="S46" i="21"/>
  <c r="S30" i="21"/>
  <c r="S14" i="21"/>
  <c r="S38" i="21"/>
  <c r="S22" i="21"/>
  <c r="S6" i="21"/>
  <c r="S37" i="21"/>
  <c r="S21" i="21"/>
  <c r="S5" i="21"/>
  <c r="S36" i="21"/>
  <c r="S20" i="21"/>
  <c r="S45" i="21"/>
  <c r="S29" i="21"/>
  <c r="S13" i="21"/>
  <c r="S44" i="21"/>
  <c r="S28" i="21"/>
  <c r="J49" i="21"/>
  <c r="J48" i="21"/>
  <c r="J47" i="21"/>
  <c r="J46" i="21"/>
  <c r="M27" i="21"/>
  <c r="M11" i="21"/>
  <c r="M26" i="21"/>
  <c r="M10" i="21"/>
  <c r="M25" i="21"/>
  <c r="M9" i="21"/>
  <c r="M24" i="21"/>
  <c r="M8" i="21"/>
  <c r="M23" i="21"/>
  <c r="M7" i="21"/>
  <c r="M22" i="21"/>
  <c r="M6" i="21"/>
  <c r="M21" i="21"/>
  <c r="M5" i="21"/>
  <c r="M20" i="21"/>
  <c r="M19" i="21"/>
  <c r="M18" i="21"/>
  <c r="M33" i="21"/>
  <c r="M17" i="21"/>
  <c r="M32" i="21"/>
  <c r="M16" i="21"/>
  <c r="M31" i="21"/>
  <c r="M15" i="21"/>
  <c r="M30" i="21"/>
  <c r="M14" i="21"/>
  <c r="M29" i="21"/>
  <c r="M13" i="21"/>
  <c r="M28" i="21"/>
  <c r="G27" i="21"/>
  <c r="G10" i="21"/>
  <c r="G25" i="21"/>
  <c r="G9" i="21"/>
  <c r="G24" i="21"/>
  <c r="G8" i="21"/>
  <c r="G20" i="21"/>
  <c r="G19" i="21"/>
  <c r="G18" i="21"/>
  <c r="G17" i="21"/>
  <c r="G16" i="21"/>
  <c r="G15" i="21"/>
  <c r="G14" i="21"/>
  <c r="G29" i="21"/>
  <c r="G13" i="21"/>
  <c r="G28" i="21"/>
  <c r="G12" i="21"/>
  <c r="G11" i="21"/>
  <c r="G7" i="21"/>
  <c r="G22" i="21"/>
  <c r="G6" i="21"/>
  <c r="G26" i="21"/>
  <c r="G23" i="21"/>
  <c r="G21" i="21"/>
  <c r="A11" i="21"/>
  <c r="A26" i="21"/>
  <c r="A10" i="21"/>
  <c r="A25" i="21"/>
  <c r="A9" i="21"/>
  <c r="A24" i="21"/>
  <c r="A20" i="21"/>
  <c r="A19" i="21"/>
  <c r="A18" i="21"/>
  <c r="A17" i="21"/>
  <c r="A16" i="21"/>
  <c r="A15" i="21"/>
  <c r="A14" i="21"/>
  <c r="A29" i="21"/>
  <c r="A13" i="21"/>
  <c r="A28" i="21"/>
  <c r="A12" i="21"/>
  <c r="A8" i="21"/>
  <c r="A7" i="21"/>
  <c r="A6" i="21"/>
  <c r="A27" i="21"/>
  <c r="A23" i="21"/>
  <c r="A22" i="21"/>
  <c r="A21" i="21"/>
  <c r="T5" i="20" a="1"/>
  <c r="T6" i="20" s="1"/>
  <c r="N5" i="20" a="1"/>
  <c r="N10" i="20" s="1"/>
  <c r="H5" i="20" a="1"/>
  <c r="H12" i="20" s="1"/>
  <c r="B5" i="20" a="1"/>
  <c r="B16" i="20" s="1"/>
  <c r="T24" i="20" l="1"/>
  <c r="T17" i="20"/>
  <c r="T15" i="20"/>
  <c r="T18" i="20"/>
  <c r="T33" i="20"/>
  <c r="T12" i="20"/>
  <c r="T20" i="20"/>
  <c r="T19" i="20"/>
  <c r="T32" i="20"/>
  <c r="T11" i="20"/>
  <c r="T31" i="20"/>
  <c r="T10" i="20"/>
  <c r="T29" i="20"/>
  <c r="T9" i="20"/>
  <c r="T28" i="20"/>
  <c r="T7" i="20"/>
  <c r="T27" i="20"/>
  <c r="T5" i="20"/>
  <c r="T23" i="20"/>
  <c r="T21" i="20"/>
  <c r="T26" i="20"/>
  <c r="T25" i="20"/>
  <c r="T16" i="20"/>
  <c r="T30" i="20"/>
  <c r="T14" i="20"/>
  <c r="T13" i="20"/>
  <c r="T8" i="20"/>
  <c r="T22" i="20"/>
  <c r="N9" i="20"/>
  <c r="N25" i="20"/>
  <c r="N24" i="20"/>
  <c r="N8" i="20"/>
  <c r="N23" i="20"/>
  <c r="N7" i="20"/>
  <c r="N22" i="20"/>
  <c r="N6" i="20"/>
  <c r="N21" i="20"/>
  <c r="N5" i="20"/>
  <c r="N20" i="20"/>
  <c r="N19" i="20"/>
  <c r="N18" i="20"/>
  <c r="N17" i="20"/>
  <c r="N16" i="20"/>
  <c r="N15" i="20"/>
  <c r="N14" i="20"/>
  <c r="N29" i="20"/>
  <c r="N13" i="20"/>
  <c r="N28" i="20"/>
  <c r="N12" i="20"/>
  <c r="N27" i="20"/>
  <c r="N11" i="20"/>
  <c r="N26" i="20"/>
  <c r="H43" i="20"/>
  <c r="H27" i="20"/>
  <c r="H11" i="20"/>
  <c r="H42" i="20"/>
  <c r="H26" i="20"/>
  <c r="H10" i="20"/>
  <c r="H41" i="20"/>
  <c r="H25" i="20"/>
  <c r="H9" i="20"/>
  <c r="H40" i="20"/>
  <c r="H24" i="20"/>
  <c r="H8" i="20"/>
  <c r="H39" i="20"/>
  <c r="H23" i="20"/>
  <c r="H7" i="20"/>
  <c r="H38" i="20"/>
  <c r="H22" i="20"/>
  <c r="H6" i="20"/>
  <c r="H37" i="20"/>
  <c r="H21" i="20"/>
  <c r="H5" i="20"/>
  <c r="H36" i="20"/>
  <c r="H20" i="20"/>
  <c r="H35" i="20"/>
  <c r="H19" i="20"/>
  <c r="H34" i="20"/>
  <c r="H18" i="20"/>
  <c r="H33" i="20"/>
  <c r="H17" i="20"/>
  <c r="H32" i="20"/>
  <c r="H16" i="20"/>
  <c r="H31" i="20"/>
  <c r="H15" i="20"/>
  <c r="H30" i="20"/>
  <c r="H14" i="20"/>
  <c r="H45" i="20"/>
  <c r="H29" i="20"/>
  <c r="H13" i="20"/>
  <c r="H44" i="20"/>
  <c r="H28" i="20"/>
  <c r="B19" i="20"/>
  <c r="B18" i="20"/>
  <c r="B15" i="20"/>
  <c r="B14" i="20"/>
  <c r="B29" i="20"/>
  <c r="B13" i="20"/>
  <c r="B28" i="20"/>
  <c r="B12" i="20"/>
  <c r="B27" i="20"/>
  <c r="B11" i="20"/>
  <c r="B26" i="20"/>
  <c r="B10" i="20"/>
  <c r="B25" i="20"/>
  <c r="B9" i="20"/>
  <c r="B24" i="20"/>
  <c r="B8" i="20"/>
  <c r="B23" i="20"/>
  <c r="B7" i="20"/>
  <c r="B22" i="20"/>
  <c r="B6" i="20"/>
  <c r="B21" i="20"/>
  <c r="B5" i="20"/>
  <c r="B20" i="20"/>
  <c r="B17" i="20"/>
  <c r="CQ1" i="5" l="1"/>
  <c r="CR1" i="5"/>
  <c r="CS1" i="5"/>
  <c r="CT1" i="5"/>
  <c r="CU1" i="5"/>
  <c r="CV1" i="5"/>
  <c r="CW1" i="5"/>
  <c r="CX1" i="5"/>
  <c r="CY1" i="5"/>
  <c r="CZ1" i="5"/>
  <c r="DA1" i="5"/>
  <c r="DB1" i="5"/>
  <c r="DC1" i="5"/>
  <c r="DD1" i="5"/>
  <c r="DE1" i="5"/>
  <c r="DF1" i="5"/>
  <c r="DG1" i="5"/>
  <c r="DH1" i="5"/>
  <c r="DI1" i="5"/>
  <c r="DJ1" i="5"/>
  <c r="DK1" i="5"/>
  <c r="DL1" i="5"/>
  <c r="DM1" i="5"/>
  <c r="DN1" i="5"/>
  <c r="DO1" i="5"/>
  <c r="DP1" i="5"/>
  <c r="DQ1" i="5"/>
  <c r="DR1" i="5"/>
  <c r="DS1" i="5"/>
  <c r="DT1" i="5"/>
  <c r="DU1" i="5"/>
  <c r="DV1" i="5"/>
  <c r="DW1" i="5"/>
  <c r="DX1" i="5"/>
  <c r="DY1" i="5"/>
  <c r="DZ1" i="5"/>
  <c r="EA1" i="5"/>
  <c r="EB1" i="5"/>
  <c r="EC1" i="5"/>
  <c r="ED1" i="5"/>
  <c r="EE1" i="5"/>
  <c r="EF1" i="5"/>
  <c r="EG1" i="5"/>
  <c r="EH1" i="5"/>
  <c r="EI1" i="5"/>
  <c r="EJ1" i="5"/>
  <c r="EK1" i="5"/>
  <c r="EL1" i="5"/>
  <c r="EM1" i="5"/>
  <c r="EN1" i="5"/>
  <c r="EO1" i="5"/>
  <c r="EP1" i="5"/>
  <c r="EQ1" i="5"/>
  <c r="ER1" i="5"/>
  <c r="CM3" i="5"/>
  <c r="CN3" i="5" s="1"/>
  <c r="CM4" i="5"/>
  <c r="CM5" i="5"/>
  <c r="CM6" i="5"/>
  <c r="CM7" i="5"/>
  <c r="CM8" i="5"/>
  <c r="CM9" i="5"/>
  <c r="CM10" i="5"/>
  <c r="CM11" i="5"/>
  <c r="CM12" i="5"/>
  <c r="CM13" i="5"/>
  <c r="CM14" i="5"/>
  <c r="CM15" i="5"/>
  <c r="CM16" i="5"/>
  <c r="CM17" i="5"/>
  <c r="CM18" i="5"/>
  <c r="CM19" i="5"/>
  <c r="CM20" i="5"/>
  <c r="CM21" i="5"/>
  <c r="CM22" i="5"/>
  <c r="CM23" i="5"/>
  <c r="CM24" i="5"/>
  <c r="CM25" i="5"/>
  <c r="CM26" i="5"/>
  <c r="CM27" i="5"/>
  <c r="CM28" i="5"/>
  <c r="CM29" i="5"/>
  <c r="CM30" i="5"/>
  <c r="CM31" i="5"/>
  <c r="CM2" i="5"/>
  <c r="CM1" i="5"/>
  <c r="CA3" i="5"/>
  <c r="CB3" i="5"/>
  <c r="CC3" i="5"/>
  <c r="CD3" i="5"/>
  <c r="CE3" i="5"/>
  <c r="CF3" i="5"/>
  <c r="CG3" i="5"/>
  <c r="CH3" i="5"/>
  <c r="CI3" i="5"/>
  <c r="CJ3" i="5"/>
  <c r="CA4" i="5"/>
  <c r="CB4" i="5"/>
  <c r="CC4" i="5"/>
  <c r="CD4" i="5"/>
  <c r="CE4" i="5"/>
  <c r="CF4" i="5"/>
  <c r="CG4" i="5"/>
  <c r="CH4" i="5"/>
  <c r="CI4" i="5"/>
  <c r="CJ4" i="5"/>
  <c r="CA5" i="5"/>
  <c r="CB5" i="5"/>
  <c r="CC5" i="5"/>
  <c r="CD5" i="5"/>
  <c r="CE5" i="5"/>
  <c r="CF5" i="5"/>
  <c r="CG5" i="5"/>
  <c r="CH5" i="5"/>
  <c r="CI5" i="5"/>
  <c r="CJ5" i="5"/>
  <c r="CA6" i="5"/>
  <c r="CB6" i="5"/>
  <c r="CC6" i="5"/>
  <c r="CD6" i="5"/>
  <c r="CE6" i="5"/>
  <c r="CF6" i="5"/>
  <c r="CG6" i="5"/>
  <c r="CH6" i="5"/>
  <c r="CI6" i="5"/>
  <c r="CJ6" i="5"/>
  <c r="CA7" i="5"/>
  <c r="CB7" i="5"/>
  <c r="CC7" i="5"/>
  <c r="CD7" i="5"/>
  <c r="CE7" i="5"/>
  <c r="CF7" i="5"/>
  <c r="CG7" i="5"/>
  <c r="CH7" i="5"/>
  <c r="CI7" i="5"/>
  <c r="CJ7" i="5"/>
  <c r="CA8" i="5"/>
  <c r="CB8" i="5"/>
  <c r="CC8" i="5"/>
  <c r="CD8" i="5"/>
  <c r="CE8" i="5"/>
  <c r="CF8" i="5"/>
  <c r="CG8" i="5"/>
  <c r="CH8" i="5"/>
  <c r="CI8" i="5"/>
  <c r="CJ8" i="5"/>
  <c r="CA9" i="5"/>
  <c r="CB9" i="5"/>
  <c r="CC9" i="5"/>
  <c r="CD9" i="5"/>
  <c r="CE9" i="5"/>
  <c r="CF9" i="5"/>
  <c r="CG9" i="5"/>
  <c r="CH9" i="5"/>
  <c r="CI9" i="5"/>
  <c r="CJ9" i="5"/>
  <c r="CA10" i="5"/>
  <c r="CB10" i="5"/>
  <c r="CC10" i="5"/>
  <c r="CD10" i="5"/>
  <c r="CE10" i="5"/>
  <c r="CF10" i="5"/>
  <c r="CG10" i="5"/>
  <c r="CH10" i="5"/>
  <c r="CI10" i="5"/>
  <c r="CJ10" i="5"/>
  <c r="CA11" i="5"/>
  <c r="CB11" i="5"/>
  <c r="CC11" i="5"/>
  <c r="CD11" i="5"/>
  <c r="CE11" i="5"/>
  <c r="CF11" i="5"/>
  <c r="CG11" i="5"/>
  <c r="CH11" i="5"/>
  <c r="CI11" i="5"/>
  <c r="CJ11" i="5"/>
  <c r="CA12" i="5"/>
  <c r="CB12" i="5"/>
  <c r="CC12" i="5"/>
  <c r="CD12" i="5"/>
  <c r="CE12" i="5"/>
  <c r="CF12" i="5"/>
  <c r="CG12" i="5"/>
  <c r="CH12" i="5"/>
  <c r="CI12" i="5"/>
  <c r="CJ12" i="5"/>
  <c r="CA13" i="5"/>
  <c r="CB13" i="5"/>
  <c r="CC13" i="5"/>
  <c r="CD13" i="5"/>
  <c r="CE13" i="5"/>
  <c r="CF13" i="5"/>
  <c r="CG13" i="5"/>
  <c r="CH13" i="5"/>
  <c r="CI13" i="5"/>
  <c r="CJ13" i="5"/>
  <c r="CA14" i="5"/>
  <c r="CB14" i="5"/>
  <c r="CC14" i="5"/>
  <c r="CD14" i="5"/>
  <c r="CE14" i="5"/>
  <c r="CF14" i="5"/>
  <c r="CG14" i="5"/>
  <c r="CH14" i="5"/>
  <c r="CI14" i="5"/>
  <c r="CJ14" i="5"/>
  <c r="CA15" i="5"/>
  <c r="CB15" i="5"/>
  <c r="CC15" i="5"/>
  <c r="CD15" i="5"/>
  <c r="CE15" i="5"/>
  <c r="CF15" i="5"/>
  <c r="CG15" i="5"/>
  <c r="CH15" i="5"/>
  <c r="CI15" i="5"/>
  <c r="CJ15" i="5"/>
  <c r="CA16" i="5"/>
  <c r="CB16" i="5"/>
  <c r="CC16" i="5"/>
  <c r="CD16" i="5"/>
  <c r="CE16" i="5"/>
  <c r="CF16" i="5"/>
  <c r="CG16" i="5"/>
  <c r="CH16" i="5"/>
  <c r="CI16" i="5"/>
  <c r="CJ16" i="5"/>
  <c r="CA17" i="5"/>
  <c r="CB17" i="5"/>
  <c r="CC17" i="5"/>
  <c r="CD17" i="5"/>
  <c r="CE17" i="5"/>
  <c r="CF17" i="5"/>
  <c r="CG17" i="5"/>
  <c r="CH17" i="5"/>
  <c r="CI17" i="5"/>
  <c r="CJ17" i="5"/>
  <c r="CA18" i="5"/>
  <c r="CB18" i="5"/>
  <c r="CC18" i="5"/>
  <c r="CD18" i="5"/>
  <c r="CE18" i="5"/>
  <c r="CF18" i="5"/>
  <c r="CG18" i="5"/>
  <c r="CH18" i="5"/>
  <c r="CI18" i="5"/>
  <c r="CJ18" i="5"/>
  <c r="CA19" i="5"/>
  <c r="CB19" i="5"/>
  <c r="CC19" i="5"/>
  <c r="CD19" i="5"/>
  <c r="CE19" i="5"/>
  <c r="CF19" i="5"/>
  <c r="CG19" i="5"/>
  <c r="CH19" i="5"/>
  <c r="CI19" i="5"/>
  <c r="CJ19" i="5"/>
  <c r="CA20" i="5"/>
  <c r="CB20" i="5"/>
  <c r="CC20" i="5"/>
  <c r="CD20" i="5"/>
  <c r="CE20" i="5"/>
  <c r="CF20" i="5"/>
  <c r="CG20" i="5"/>
  <c r="CH20" i="5"/>
  <c r="CI20" i="5"/>
  <c r="CJ20" i="5"/>
  <c r="CA21" i="5"/>
  <c r="CB21" i="5"/>
  <c r="CC21" i="5"/>
  <c r="CD21" i="5"/>
  <c r="CE21" i="5"/>
  <c r="CF21" i="5"/>
  <c r="CG21" i="5"/>
  <c r="CH21" i="5"/>
  <c r="CI21" i="5"/>
  <c r="CJ21" i="5"/>
  <c r="CA22" i="5"/>
  <c r="CB22" i="5"/>
  <c r="CC22" i="5"/>
  <c r="CD22" i="5"/>
  <c r="CE22" i="5"/>
  <c r="CF22" i="5"/>
  <c r="CG22" i="5"/>
  <c r="CH22" i="5"/>
  <c r="CI22" i="5"/>
  <c r="CJ22" i="5"/>
  <c r="CA23" i="5"/>
  <c r="CB23" i="5"/>
  <c r="CC23" i="5"/>
  <c r="CD23" i="5"/>
  <c r="CE23" i="5"/>
  <c r="CF23" i="5"/>
  <c r="CG23" i="5"/>
  <c r="CH23" i="5"/>
  <c r="CI23" i="5"/>
  <c r="CJ23" i="5"/>
  <c r="CA24" i="5"/>
  <c r="CB24" i="5"/>
  <c r="CC24" i="5"/>
  <c r="CD24" i="5"/>
  <c r="CE24" i="5"/>
  <c r="CF24" i="5"/>
  <c r="CG24" i="5"/>
  <c r="CH24" i="5"/>
  <c r="CI24" i="5"/>
  <c r="CJ24" i="5"/>
  <c r="CA25" i="5"/>
  <c r="CB25" i="5"/>
  <c r="CC25" i="5"/>
  <c r="CD25" i="5"/>
  <c r="CE25" i="5"/>
  <c r="CF25" i="5"/>
  <c r="CG25" i="5"/>
  <c r="CH25" i="5"/>
  <c r="CI25" i="5"/>
  <c r="CJ25" i="5"/>
  <c r="CA26" i="5"/>
  <c r="CB26" i="5"/>
  <c r="CC26" i="5"/>
  <c r="CD26" i="5"/>
  <c r="CE26" i="5"/>
  <c r="CF26" i="5"/>
  <c r="CG26" i="5"/>
  <c r="CH26" i="5"/>
  <c r="CI26" i="5"/>
  <c r="CJ26" i="5"/>
  <c r="CA27" i="5"/>
  <c r="CB27" i="5"/>
  <c r="CC27" i="5"/>
  <c r="CD27" i="5"/>
  <c r="CE27" i="5"/>
  <c r="CF27" i="5"/>
  <c r="CG27" i="5"/>
  <c r="CH27" i="5"/>
  <c r="CI27" i="5"/>
  <c r="CJ27" i="5"/>
  <c r="CA28" i="5"/>
  <c r="CB28" i="5"/>
  <c r="CC28" i="5"/>
  <c r="CD28" i="5"/>
  <c r="CE28" i="5"/>
  <c r="CF28" i="5"/>
  <c r="CG28" i="5"/>
  <c r="CH28" i="5"/>
  <c r="CI28" i="5"/>
  <c r="CJ28" i="5"/>
  <c r="CA29" i="5"/>
  <c r="CB29" i="5"/>
  <c r="CC29" i="5"/>
  <c r="CD29" i="5"/>
  <c r="CE29" i="5"/>
  <c r="CF29" i="5"/>
  <c r="CG29" i="5"/>
  <c r="CH29" i="5"/>
  <c r="CI29" i="5"/>
  <c r="CJ29" i="5"/>
  <c r="CA30" i="5"/>
  <c r="CB30" i="5"/>
  <c r="CC30" i="5"/>
  <c r="CD30" i="5"/>
  <c r="CE30" i="5"/>
  <c r="CF30" i="5"/>
  <c r="CG30" i="5"/>
  <c r="CH30" i="5"/>
  <c r="CI30" i="5"/>
  <c r="CJ30" i="5"/>
  <c r="CA31" i="5"/>
  <c r="CB31" i="5"/>
  <c r="CC31" i="5"/>
  <c r="CD31" i="5"/>
  <c r="CE31" i="5"/>
  <c r="CF31" i="5"/>
  <c r="CG31" i="5"/>
  <c r="CH31" i="5"/>
  <c r="CI31" i="5"/>
  <c r="CJ31" i="5"/>
  <c r="CB2" i="5"/>
  <c r="CC2" i="5"/>
  <c r="CD2" i="5"/>
  <c r="CE2" i="5"/>
  <c r="CF2" i="5"/>
  <c r="CG2" i="5"/>
  <c r="CH2" i="5"/>
  <c r="CI2" i="5"/>
  <c r="CJ2" i="5"/>
  <c r="CA2" i="5"/>
  <c r="CB1" i="5"/>
  <c r="CC1" i="5"/>
  <c r="CD1" i="5"/>
  <c r="CE1" i="5"/>
  <c r="CF1" i="5"/>
  <c r="CG1" i="5"/>
  <c r="CH1" i="5"/>
  <c r="CI1" i="5"/>
  <c r="CJ1" i="5"/>
  <c r="CA1" i="5"/>
  <c r="BL3" i="5"/>
  <c r="BM3" i="5"/>
  <c r="BN3" i="5"/>
  <c r="BO3" i="5"/>
  <c r="BP3" i="5"/>
  <c r="BQ3" i="5"/>
  <c r="BR3" i="5"/>
  <c r="BS3" i="5"/>
  <c r="BT3" i="5"/>
  <c r="BU3" i="5"/>
  <c r="BV3" i="5"/>
  <c r="BW3" i="5"/>
  <c r="BX3" i="5"/>
  <c r="BL4" i="5"/>
  <c r="BM4" i="5"/>
  <c r="BN4" i="5"/>
  <c r="BO4" i="5"/>
  <c r="BP4" i="5"/>
  <c r="BQ4" i="5"/>
  <c r="BR4" i="5"/>
  <c r="BS4" i="5"/>
  <c r="BT4" i="5"/>
  <c r="BU4" i="5"/>
  <c r="BV4" i="5"/>
  <c r="BW4" i="5"/>
  <c r="BX4" i="5"/>
  <c r="BL5" i="5"/>
  <c r="BM5" i="5"/>
  <c r="BN5" i="5"/>
  <c r="BO5" i="5"/>
  <c r="BP5" i="5"/>
  <c r="BQ5" i="5"/>
  <c r="BR5" i="5"/>
  <c r="BS5" i="5"/>
  <c r="BT5" i="5"/>
  <c r="BU5" i="5"/>
  <c r="BV5" i="5"/>
  <c r="BW5" i="5"/>
  <c r="BX5" i="5"/>
  <c r="BL6" i="5"/>
  <c r="BM6" i="5"/>
  <c r="BN6" i="5"/>
  <c r="BO6" i="5"/>
  <c r="BP6" i="5"/>
  <c r="BQ6" i="5"/>
  <c r="BR6" i="5"/>
  <c r="BS6" i="5"/>
  <c r="BT6" i="5"/>
  <c r="BU6" i="5"/>
  <c r="BV6" i="5"/>
  <c r="BW6" i="5"/>
  <c r="BX6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L8" i="5"/>
  <c r="BM8" i="5"/>
  <c r="BN8" i="5"/>
  <c r="BO8" i="5"/>
  <c r="BP8" i="5"/>
  <c r="BQ8" i="5"/>
  <c r="BR8" i="5"/>
  <c r="BS8" i="5"/>
  <c r="BT8" i="5"/>
  <c r="BU8" i="5"/>
  <c r="BV8" i="5"/>
  <c r="BW8" i="5"/>
  <c r="BX8" i="5"/>
  <c r="BL9" i="5"/>
  <c r="BM9" i="5"/>
  <c r="BN9" i="5"/>
  <c r="BO9" i="5"/>
  <c r="BP9" i="5"/>
  <c r="BQ9" i="5"/>
  <c r="BR9" i="5"/>
  <c r="BS9" i="5"/>
  <c r="BT9" i="5"/>
  <c r="BU9" i="5"/>
  <c r="BV9" i="5"/>
  <c r="BW9" i="5"/>
  <c r="BX9" i="5"/>
  <c r="BL10" i="5"/>
  <c r="BM10" i="5"/>
  <c r="BN10" i="5"/>
  <c r="BO10" i="5"/>
  <c r="BP10" i="5"/>
  <c r="BQ10" i="5"/>
  <c r="BR10" i="5"/>
  <c r="BS10" i="5"/>
  <c r="BT10" i="5"/>
  <c r="BU10" i="5"/>
  <c r="BV10" i="5"/>
  <c r="BW10" i="5"/>
  <c r="BX10" i="5"/>
  <c r="BL11" i="5"/>
  <c r="BM11" i="5"/>
  <c r="BN11" i="5"/>
  <c r="BO11" i="5"/>
  <c r="BP11" i="5"/>
  <c r="BQ11" i="5"/>
  <c r="BR11" i="5"/>
  <c r="BS11" i="5"/>
  <c r="BT11" i="5"/>
  <c r="BU11" i="5"/>
  <c r="BV11" i="5"/>
  <c r="BW11" i="5"/>
  <c r="BX11" i="5"/>
  <c r="BL12" i="5"/>
  <c r="BM12" i="5"/>
  <c r="BN12" i="5"/>
  <c r="BO12" i="5"/>
  <c r="BP12" i="5"/>
  <c r="BQ12" i="5"/>
  <c r="BR12" i="5"/>
  <c r="BS12" i="5"/>
  <c r="BT12" i="5"/>
  <c r="BU12" i="5"/>
  <c r="BV12" i="5"/>
  <c r="BW12" i="5"/>
  <c r="BX12" i="5"/>
  <c r="BL13" i="5"/>
  <c r="BM13" i="5"/>
  <c r="BN13" i="5"/>
  <c r="BO13" i="5"/>
  <c r="BP13" i="5"/>
  <c r="BQ13" i="5"/>
  <c r="BR13" i="5"/>
  <c r="BS13" i="5"/>
  <c r="BT13" i="5"/>
  <c r="BU13" i="5"/>
  <c r="BV13" i="5"/>
  <c r="BW13" i="5"/>
  <c r="BX13" i="5"/>
  <c r="BL14" i="5"/>
  <c r="BM14" i="5"/>
  <c r="BN14" i="5"/>
  <c r="BO14" i="5"/>
  <c r="BP14" i="5"/>
  <c r="BQ14" i="5"/>
  <c r="BR14" i="5"/>
  <c r="BS14" i="5"/>
  <c r="BT14" i="5"/>
  <c r="BU14" i="5"/>
  <c r="BV14" i="5"/>
  <c r="BW14" i="5"/>
  <c r="BX14" i="5"/>
  <c r="BL15" i="5"/>
  <c r="BM15" i="5"/>
  <c r="BN15" i="5"/>
  <c r="BO15" i="5"/>
  <c r="BP15" i="5"/>
  <c r="BQ15" i="5"/>
  <c r="BR15" i="5"/>
  <c r="BS15" i="5"/>
  <c r="BT15" i="5"/>
  <c r="BU15" i="5"/>
  <c r="BV15" i="5"/>
  <c r="BW15" i="5"/>
  <c r="BX15" i="5"/>
  <c r="BL16" i="5"/>
  <c r="BM16" i="5"/>
  <c r="BN16" i="5"/>
  <c r="BO16" i="5"/>
  <c r="BP16" i="5"/>
  <c r="BQ16" i="5"/>
  <c r="BR16" i="5"/>
  <c r="BS16" i="5"/>
  <c r="BT16" i="5"/>
  <c r="BU16" i="5"/>
  <c r="BV16" i="5"/>
  <c r="BW16" i="5"/>
  <c r="BX16" i="5"/>
  <c r="BL17" i="5"/>
  <c r="BM17" i="5"/>
  <c r="BN17" i="5"/>
  <c r="BO17" i="5"/>
  <c r="BP17" i="5"/>
  <c r="BQ17" i="5"/>
  <c r="BR17" i="5"/>
  <c r="BS17" i="5"/>
  <c r="BT17" i="5"/>
  <c r="BU17" i="5"/>
  <c r="BV17" i="5"/>
  <c r="BW17" i="5"/>
  <c r="BX17" i="5"/>
  <c r="BL18" i="5"/>
  <c r="BM18" i="5"/>
  <c r="BN18" i="5"/>
  <c r="BO18" i="5"/>
  <c r="BP18" i="5"/>
  <c r="BQ18" i="5"/>
  <c r="BR18" i="5"/>
  <c r="BS18" i="5"/>
  <c r="BT18" i="5"/>
  <c r="BU18" i="5"/>
  <c r="BV18" i="5"/>
  <c r="BW18" i="5"/>
  <c r="BX18" i="5"/>
  <c r="BL19" i="5"/>
  <c r="BM19" i="5"/>
  <c r="BN19" i="5"/>
  <c r="BO19" i="5"/>
  <c r="BP19" i="5"/>
  <c r="BQ19" i="5"/>
  <c r="BR19" i="5"/>
  <c r="BS19" i="5"/>
  <c r="BT19" i="5"/>
  <c r="BU19" i="5"/>
  <c r="BV19" i="5"/>
  <c r="BW19" i="5"/>
  <c r="BX19" i="5"/>
  <c r="BL20" i="5"/>
  <c r="BM20" i="5"/>
  <c r="BN20" i="5"/>
  <c r="BO20" i="5"/>
  <c r="BP20" i="5"/>
  <c r="BQ20" i="5"/>
  <c r="BR20" i="5"/>
  <c r="BS20" i="5"/>
  <c r="BT20" i="5"/>
  <c r="BU20" i="5"/>
  <c r="BV20" i="5"/>
  <c r="BW20" i="5"/>
  <c r="BX20" i="5"/>
  <c r="BL21" i="5"/>
  <c r="BM21" i="5"/>
  <c r="BN21" i="5"/>
  <c r="BO21" i="5"/>
  <c r="BP21" i="5"/>
  <c r="BQ21" i="5"/>
  <c r="BR21" i="5"/>
  <c r="BS21" i="5"/>
  <c r="BT21" i="5"/>
  <c r="BU21" i="5"/>
  <c r="BV21" i="5"/>
  <c r="BW21" i="5"/>
  <c r="BX21" i="5"/>
  <c r="BL22" i="5"/>
  <c r="BM22" i="5"/>
  <c r="BN22" i="5"/>
  <c r="BO22" i="5"/>
  <c r="BP22" i="5"/>
  <c r="BQ22" i="5"/>
  <c r="BR22" i="5"/>
  <c r="BS22" i="5"/>
  <c r="BT22" i="5"/>
  <c r="BU22" i="5"/>
  <c r="BV22" i="5"/>
  <c r="BW22" i="5"/>
  <c r="BX22" i="5"/>
  <c r="BL23" i="5"/>
  <c r="BM23" i="5"/>
  <c r="BN23" i="5"/>
  <c r="BO23" i="5"/>
  <c r="BP23" i="5"/>
  <c r="BQ23" i="5"/>
  <c r="BR23" i="5"/>
  <c r="BS23" i="5"/>
  <c r="BT23" i="5"/>
  <c r="BU23" i="5"/>
  <c r="BV23" i="5"/>
  <c r="BW23" i="5"/>
  <c r="BX23" i="5"/>
  <c r="BL24" i="5"/>
  <c r="BM24" i="5"/>
  <c r="BN24" i="5"/>
  <c r="BO24" i="5"/>
  <c r="BP24" i="5"/>
  <c r="BQ24" i="5"/>
  <c r="BR24" i="5"/>
  <c r="BS24" i="5"/>
  <c r="BT24" i="5"/>
  <c r="BU24" i="5"/>
  <c r="BV24" i="5"/>
  <c r="BW24" i="5"/>
  <c r="BX24" i="5"/>
  <c r="BL25" i="5"/>
  <c r="BM25" i="5"/>
  <c r="BN25" i="5"/>
  <c r="BO25" i="5"/>
  <c r="BP25" i="5"/>
  <c r="BQ25" i="5"/>
  <c r="BR25" i="5"/>
  <c r="BS25" i="5"/>
  <c r="BT25" i="5"/>
  <c r="BU25" i="5"/>
  <c r="BV25" i="5"/>
  <c r="BW25" i="5"/>
  <c r="BX25" i="5"/>
  <c r="BL26" i="5"/>
  <c r="BM26" i="5"/>
  <c r="BN26" i="5"/>
  <c r="BO26" i="5"/>
  <c r="BP26" i="5"/>
  <c r="BQ26" i="5"/>
  <c r="BR26" i="5"/>
  <c r="BS26" i="5"/>
  <c r="BT26" i="5"/>
  <c r="BU26" i="5"/>
  <c r="BV26" i="5"/>
  <c r="BW26" i="5"/>
  <c r="BX26" i="5"/>
  <c r="BL27" i="5"/>
  <c r="BM27" i="5"/>
  <c r="BN27" i="5"/>
  <c r="BO27" i="5"/>
  <c r="BP27" i="5"/>
  <c r="BQ27" i="5"/>
  <c r="BR27" i="5"/>
  <c r="BS27" i="5"/>
  <c r="BT27" i="5"/>
  <c r="BU27" i="5"/>
  <c r="BV27" i="5"/>
  <c r="BW27" i="5"/>
  <c r="BX27" i="5"/>
  <c r="BL28" i="5"/>
  <c r="BM28" i="5"/>
  <c r="BN28" i="5"/>
  <c r="BO28" i="5"/>
  <c r="BP28" i="5"/>
  <c r="BQ28" i="5"/>
  <c r="BR28" i="5"/>
  <c r="BS28" i="5"/>
  <c r="BT28" i="5"/>
  <c r="BU28" i="5"/>
  <c r="BV28" i="5"/>
  <c r="BW28" i="5"/>
  <c r="BX28" i="5"/>
  <c r="BL29" i="5"/>
  <c r="BM29" i="5"/>
  <c r="BN29" i="5"/>
  <c r="BO29" i="5"/>
  <c r="BP29" i="5"/>
  <c r="BQ29" i="5"/>
  <c r="BR29" i="5"/>
  <c r="BS29" i="5"/>
  <c r="BT29" i="5"/>
  <c r="BU29" i="5"/>
  <c r="BV29" i="5"/>
  <c r="BW29" i="5"/>
  <c r="BX29" i="5"/>
  <c r="BL30" i="5"/>
  <c r="BM30" i="5"/>
  <c r="BN30" i="5"/>
  <c r="BO30" i="5"/>
  <c r="BP30" i="5"/>
  <c r="BQ30" i="5"/>
  <c r="BR30" i="5"/>
  <c r="BS30" i="5"/>
  <c r="BT30" i="5"/>
  <c r="BU30" i="5"/>
  <c r="BV30" i="5"/>
  <c r="BW30" i="5"/>
  <c r="BX30" i="5"/>
  <c r="BL31" i="5"/>
  <c r="BM31" i="5"/>
  <c r="BN31" i="5"/>
  <c r="BO31" i="5"/>
  <c r="BP31" i="5"/>
  <c r="BQ31" i="5"/>
  <c r="BR31" i="5"/>
  <c r="BS31" i="5"/>
  <c r="BT31" i="5"/>
  <c r="BU31" i="5"/>
  <c r="BV31" i="5"/>
  <c r="BW31" i="5"/>
  <c r="BX31" i="5"/>
  <c r="BM2" i="5"/>
  <c r="BN2" i="5"/>
  <c r="BO2" i="5"/>
  <c r="BP2" i="5"/>
  <c r="BQ2" i="5"/>
  <c r="BR2" i="5"/>
  <c r="BS2" i="5"/>
  <c r="BT2" i="5"/>
  <c r="BU2" i="5"/>
  <c r="BV2" i="5"/>
  <c r="BW2" i="5"/>
  <c r="BX2" i="5"/>
  <c r="BL2" i="5"/>
  <c r="BM1" i="5"/>
  <c r="BN1" i="5"/>
  <c r="BO1" i="5"/>
  <c r="BP1" i="5"/>
  <c r="BQ1" i="5"/>
  <c r="BR1" i="5"/>
  <c r="BS1" i="5"/>
  <c r="BT1" i="5"/>
  <c r="BU1" i="5"/>
  <c r="BV1" i="5"/>
  <c r="BW1" i="5"/>
  <c r="BX1" i="5"/>
  <c r="BL1" i="5"/>
  <c r="BE3" i="5"/>
  <c r="BF3" i="5"/>
  <c r="BG3" i="5"/>
  <c r="BH3" i="5"/>
  <c r="BI3" i="5"/>
  <c r="BE4" i="5"/>
  <c r="BF4" i="5"/>
  <c r="BG4" i="5"/>
  <c r="BH4" i="5"/>
  <c r="BI4" i="5"/>
  <c r="BE5" i="5"/>
  <c r="BF5" i="5"/>
  <c r="BG5" i="5"/>
  <c r="BH5" i="5"/>
  <c r="BI5" i="5"/>
  <c r="BE6" i="5"/>
  <c r="BF6" i="5"/>
  <c r="BG6" i="5"/>
  <c r="BH6" i="5"/>
  <c r="BI6" i="5"/>
  <c r="BE7" i="5"/>
  <c r="BF7" i="5"/>
  <c r="BG7" i="5"/>
  <c r="BH7" i="5"/>
  <c r="BI7" i="5"/>
  <c r="BE8" i="5"/>
  <c r="BF8" i="5"/>
  <c r="BG8" i="5"/>
  <c r="BH8" i="5"/>
  <c r="BI8" i="5"/>
  <c r="BE9" i="5"/>
  <c r="BF9" i="5"/>
  <c r="BG9" i="5"/>
  <c r="BH9" i="5"/>
  <c r="BI9" i="5"/>
  <c r="BE10" i="5"/>
  <c r="BF10" i="5"/>
  <c r="BG10" i="5"/>
  <c r="BH10" i="5"/>
  <c r="BI10" i="5"/>
  <c r="BE11" i="5"/>
  <c r="BF11" i="5"/>
  <c r="BG11" i="5"/>
  <c r="BH11" i="5"/>
  <c r="BI11" i="5"/>
  <c r="BE12" i="5"/>
  <c r="BF12" i="5"/>
  <c r="BG12" i="5"/>
  <c r="BH12" i="5"/>
  <c r="BI12" i="5"/>
  <c r="BE13" i="5"/>
  <c r="BF13" i="5"/>
  <c r="BG13" i="5"/>
  <c r="BH13" i="5"/>
  <c r="BI13" i="5"/>
  <c r="BE14" i="5"/>
  <c r="BF14" i="5"/>
  <c r="BG14" i="5"/>
  <c r="BH14" i="5"/>
  <c r="BI14" i="5"/>
  <c r="BE15" i="5"/>
  <c r="BF15" i="5"/>
  <c r="BG15" i="5"/>
  <c r="BH15" i="5"/>
  <c r="BI15" i="5"/>
  <c r="BE16" i="5"/>
  <c r="BF16" i="5"/>
  <c r="BG16" i="5"/>
  <c r="BH16" i="5"/>
  <c r="BI16" i="5"/>
  <c r="BE17" i="5"/>
  <c r="BF17" i="5"/>
  <c r="BG17" i="5"/>
  <c r="BH17" i="5"/>
  <c r="BI17" i="5"/>
  <c r="BE18" i="5"/>
  <c r="BF18" i="5"/>
  <c r="BG18" i="5"/>
  <c r="BH18" i="5"/>
  <c r="BI18" i="5"/>
  <c r="BE19" i="5"/>
  <c r="BF19" i="5"/>
  <c r="BG19" i="5"/>
  <c r="BH19" i="5"/>
  <c r="BI19" i="5"/>
  <c r="BE20" i="5"/>
  <c r="BF20" i="5"/>
  <c r="BG20" i="5"/>
  <c r="BH20" i="5"/>
  <c r="BI20" i="5"/>
  <c r="BE21" i="5"/>
  <c r="BF21" i="5"/>
  <c r="BG21" i="5"/>
  <c r="BH21" i="5"/>
  <c r="BI21" i="5"/>
  <c r="BE22" i="5"/>
  <c r="BF22" i="5"/>
  <c r="BG22" i="5"/>
  <c r="BH22" i="5"/>
  <c r="BI22" i="5"/>
  <c r="BE23" i="5"/>
  <c r="BF23" i="5"/>
  <c r="BG23" i="5"/>
  <c r="BH23" i="5"/>
  <c r="BI23" i="5"/>
  <c r="BE24" i="5"/>
  <c r="BF24" i="5"/>
  <c r="BG24" i="5"/>
  <c r="BH24" i="5"/>
  <c r="BI24" i="5"/>
  <c r="BE25" i="5"/>
  <c r="BF25" i="5"/>
  <c r="BG25" i="5"/>
  <c r="BH25" i="5"/>
  <c r="BI25" i="5"/>
  <c r="BE26" i="5"/>
  <c r="BF26" i="5"/>
  <c r="BG26" i="5"/>
  <c r="BH26" i="5"/>
  <c r="BI26" i="5"/>
  <c r="BE27" i="5"/>
  <c r="BF27" i="5"/>
  <c r="BG27" i="5"/>
  <c r="BH27" i="5"/>
  <c r="BI27" i="5"/>
  <c r="BE28" i="5"/>
  <c r="BF28" i="5"/>
  <c r="BG28" i="5"/>
  <c r="BH28" i="5"/>
  <c r="BI28" i="5"/>
  <c r="BE29" i="5"/>
  <c r="BF29" i="5"/>
  <c r="BG29" i="5"/>
  <c r="BH29" i="5"/>
  <c r="BI29" i="5"/>
  <c r="BE30" i="5"/>
  <c r="BF30" i="5"/>
  <c r="BG30" i="5"/>
  <c r="BH30" i="5"/>
  <c r="BI30" i="5"/>
  <c r="BE31" i="5"/>
  <c r="BF31" i="5"/>
  <c r="BG31" i="5"/>
  <c r="BH31" i="5"/>
  <c r="BI31" i="5"/>
  <c r="BF2" i="5"/>
  <c r="BG2" i="5"/>
  <c r="BH2" i="5"/>
  <c r="BI2" i="5"/>
  <c r="BF1" i="5"/>
  <c r="BG1" i="5"/>
  <c r="BH1" i="5"/>
  <c r="BI1" i="5"/>
  <c r="EB3" i="2"/>
  <c r="EC3" i="2"/>
  <c r="ED3" i="2"/>
  <c r="EB4" i="2"/>
  <c r="EC4" i="2"/>
  <c r="ED4" i="2"/>
  <c r="EB5" i="2"/>
  <c r="EC5" i="2"/>
  <c r="ED5" i="2"/>
  <c r="EB6" i="2"/>
  <c r="EC6" i="2"/>
  <c r="ED6" i="2"/>
  <c r="EB7" i="2"/>
  <c r="EC7" i="2"/>
  <c r="ED7" i="2"/>
  <c r="EB8" i="2"/>
  <c r="EC8" i="2"/>
  <c r="ED8" i="2"/>
  <c r="EB9" i="2"/>
  <c r="EC9" i="2"/>
  <c r="ED9" i="2"/>
  <c r="EB10" i="2"/>
  <c r="EC10" i="2"/>
  <c r="ED10" i="2"/>
  <c r="EB11" i="2"/>
  <c r="EC11" i="2"/>
  <c r="ED11" i="2"/>
  <c r="EB12" i="2"/>
  <c r="EC12" i="2"/>
  <c r="ED12" i="2"/>
  <c r="EB13" i="2"/>
  <c r="EC13" i="2"/>
  <c r="ED13" i="2"/>
  <c r="EB14" i="2"/>
  <c r="EC14" i="2"/>
  <c r="ED14" i="2"/>
  <c r="EB15" i="2"/>
  <c r="EC15" i="2"/>
  <c r="ED15" i="2"/>
  <c r="EB16" i="2"/>
  <c r="EC16" i="2"/>
  <c r="ED16" i="2"/>
  <c r="EB17" i="2"/>
  <c r="EC17" i="2"/>
  <c r="ED17" i="2"/>
  <c r="EB18" i="2"/>
  <c r="EC18" i="2"/>
  <c r="ED18" i="2"/>
  <c r="EB19" i="2"/>
  <c r="EC19" i="2"/>
  <c r="ED19" i="2"/>
  <c r="EB20" i="2"/>
  <c r="EC20" i="2"/>
  <c r="ED20" i="2"/>
  <c r="EB21" i="2"/>
  <c r="EC21" i="2"/>
  <c r="ED21" i="2"/>
  <c r="EB22" i="2"/>
  <c r="EC22" i="2"/>
  <c r="ED22" i="2"/>
  <c r="EB23" i="2"/>
  <c r="EC23" i="2"/>
  <c r="ED23" i="2"/>
  <c r="EB24" i="2"/>
  <c r="EC24" i="2"/>
  <c r="ED24" i="2"/>
  <c r="EB25" i="2"/>
  <c r="EC25" i="2"/>
  <c r="ED25" i="2"/>
  <c r="EB26" i="2"/>
  <c r="EC26" i="2"/>
  <c r="ED26" i="2"/>
  <c r="EB27" i="2"/>
  <c r="EC27" i="2"/>
  <c r="ED27" i="2"/>
  <c r="EB28" i="2"/>
  <c r="EC28" i="2"/>
  <c r="ED28" i="2"/>
  <c r="EB29" i="2"/>
  <c r="EC29" i="2"/>
  <c r="ED29" i="2"/>
  <c r="EB30" i="2"/>
  <c r="EC30" i="2"/>
  <c r="ED30" i="2"/>
  <c r="EB31" i="2"/>
  <c r="EC31" i="2"/>
  <c r="ED31" i="2"/>
  <c r="EC2" i="2"/>
  <c r="ED2" i="2"/>
  <c r="EB2" i="2"/>
  <c r="EC1" i="2"/>
  <c r="ED1" i="2"/>
  <c r="EB1" i="2"/>
  <c r="DR3" i="2"/>
  <c r="DS3" i="2"/>
  <c r="DT3" i="2"/>
  <c r="DU3" i="2"/>
  <c r="DV3" i="2"/>
  <c r="DW3" i="2"/>
  <c r="DX3" i="2"/>
  <c r="DY3" i="2"/>
  <c r="DR4" i="2"/>
  <c r="DS4" i="2"/>
  <c r="DT4" i="2"/>
  <c r="DU4" i="2"/>
  <c r="DV4" i="2"/>
  <c r="DW4" i="2"/>
  <c r="DX4" i="2"/>
  <c r="DY4" i="2"/>
  <c r="DR5" i="2"/>
  <c r="DS5" i="2"/>
  <c r="DT5" i="2"/>
  <c r="DU5" i="2"/>
  <c r="DV5" i="2"/>
  <c r="DW5" i="2"/>
  <c r="DX5" i="2"/>
  <c r="DY5" i="2"/>
  <c r="DR6" i="2"/>
  <c r="DS6" i="2"/>
  <c r="DT6" i="2"/>
  <c r="DU6" i="2"/>
  <c r="DV6" i="2"/>
  <c r="DW6" i="2"/>
  <c r="DX6" i="2"/>
  <c r="DY6" i="2"/>
  <c r="DR7" i="2"/>
  <c r="DS7" i="2"/>
  <c r="DT7" i="2"/>
  <c r="DU7" i="2"/>
  <c r="DV7" i="2"/>
  <c r="DW7" i="2"/>
  <c r="DX7" i="2"/>
  <c r="DY7" i="2"/>
  <c r="DR8" i="2"/>
  <c r="DS8" i="2"/>
  <c r="DT8" i="2"/>
  <c r="DU8" i="2"/>
  <c r="DV8" i="2"/>
  <c r="DW8" i="2"/>
  <c r="DX8" i="2"/>
  <c r="DY8" i="2"/>
  <c r="DR9" i="2"/>
  <c r="DS9" i="2"/>
  <c r="DT9" i="2"/>
  <c r="DU9" i="2"/>
  <c r="DV9" i="2"/>
  <c r="DW9" i="2"/>
  <c r="DX9" i="2"/>
  <c r="DY9" i="2"/>
  <c r="DR10" i="2"/>
  <c r="DS10" i="2"/>
  <c r="DT10" i="2"/>
  <c r="DU10" i="2"/>
  <c r="DV10" i="2"/>
  <c r="DW10" i="2"/>
  <c r="DX10" i="2"/>
  <c r="DY10" i="2"/>
  <c r="DR11" i="2"/>
  <c r="DS11" i="2"/>
  <c r="DT11" i="2"/>
  <c r="DU11" i="2"/>
  <c r="DV11" i="2"/>
  <c r="DW11" i="2"/>
  <c r="DX11" i="2"/>
  <c r="DY11" i="2"/>
  <c r="DR12" i="2"/>
  <c r="DS12" i="2"/>
  <c r="DT12" i="2"/>
  <c r="DU12" i="2"/>
  <c r="DV12" i="2"/>
  <c r="DW12" i="2"/>
  <c r="DX12" i="2"/>
  <c r="DY12" i="2"/>
  <c r="DR13" i="2"/>
  <c r="DS13" i="2"/>
  <c r="DT13" i="2"/>
  <c r="DU13" i="2"/>
  <c r="DV13" i="2"/>
  <c r="DW13" i="2"/>
  <c r="DX13" i="2"/>
  <c r="DY13" i="2"/>
  <c r="DR14" i="2"/>
  <c r="DS14" i="2"/>
  <c r="DT14" i="2"/>
  <c r="DU14" i="2"/>
  <c r="DV14" i="2"/>
  <c r="DW14" i="2"/>
  <c r="DX14" i="2"/>
  <c r="DY14" i="2"/>
  <c r="DR15" i="2"/>
  <c r="DS15" i="2"/>
  <c r="DT15" i="2"/>
  <c r="DU15" i="2"/>
  <c r="DV15" i="2"/>
  <c r="DW15" i="2"/>
  <c r="DX15" i="2"/>
  <c r="DY15" i="2"/>
  <c r="DR16" i="2"/>
  <c r="DS16" i="2"/>
  <c r="DT16" i="2"/>
  <c r="DU16" i="2"/>
  <c r="DV16" i="2"/>
  <c r="DW16" i="2"/>
  <c r="DX16" i="2"/>
  <c r="DY16" i="2"/>
  <c r="DR17" i="2"/>
  <c r="DS17" i="2"/>
  <c r="DT17" i="2"/>
  <c r="DU17" i="2"/>
  <c r="DV17" i="2"/>
  <c r="DW17" i="2"/>
  <c r="DX17" i="2"/>
  <c r="DY17" i="2"/>
  <c r="DR18" i="2"/>
  <c r="DS18" i="2"/>
  <c r="DT18" i="2"/>
  <c r="DU18" i="2"/>
  <c r="DV18" i="2"/>
  <c r="DW18" i="2"/>
  <c r="DX18" i="2"/>
  <c r="DY18" i="2"/>
  <c r="DR19" i="2"/>
  <c r="DS19" i="2"/>
  <c r="DT19" i="2"/>
  <c r="DU19" i="2"/>
  <c r="DV19" i="2"/>
  <c r="DW19" i="2"/>
  <c r="DX19" i="2"/>
  <c r="DY19" i="2"/>
  <c r="DR20" i="2"/>
  <c r="DS20" i="2"/>
  <c r="DT20" i="2"/>
  <c r="DU20" i="2"/>
  <c r="DV20" i="2"/>
  <c r="DW20" i="2"/>
  <c r="DX20" i="2"/>
  <c r="DY20" i="2"/>
  <c r="DR21" i="2"/>
  <c r="DS21" i="2"/>
  <c r="DT21" i="2"/>
  <c r="DU21" i="2"/>
  <c r="DV21" i="2"/>
  <c r="DW21" i="2"/>
  <c r="DX21" i="2"/>
  <c r="DY21" i="2"/>
  <c r="DR22" i="2"/>
  <c r="DS22" i="2"/>
  <c r="DT22" i="2"/>
  <c r="DU22" i="2"/>
  <c r="DV22" i="2"/>
  <c r="DW22" i="2"/>
  <c r="DX22" i="2"/>
  <c r="DY22" i="2"/>
  <c r="DR23" i="2"/>
  <c r="DS23" i="2"/>
  <c r="DT23" i="2"/>
  <c r="DU23" i="2"/>
  <c r="DV23" i="2"/>
  <c r="DW23" i="2"/>
  <c r="DX23" i="2"/>
  <c r="DY23" i="2"/>
  <c r="DR24" i="2"/>
  <c r="DS24" i="2"/>
  <c r="DT24" i="2"/>
  <c r="DU24" i="2"/>
  <c r="DV24" i="2"/>
  <c r="DW24" i="2"/>
  <c r="DX24" i="2"/>
  <c r="DY24" i="2"/>
  <c r="DR25" i="2"/>
  <c r="DS25" i="2"/>
  <c r="DT25" i="2"/>
  <c r="DU25" i="2"/>
  <c r="DV25" i="2"/>
  <c r="DW25" i="2"/>
  <c r="DX25" i="2"/>
  <c r="DY25" i="2"/>
  <c r="DR26" i="2"/>
  <c r="DS26" i="2"/>
  <c r="DT26" i="2"/>
  <c r="DU26" i="2"/>
  <c r="DV26" i="2"/>
  <c r="DW26" i="2"/>
  <c r="DX26" i="2"/>
  <c r="DY26" i="2"/>
  <c r="DR27" i="2"/>
  <c r="DS27" i="2"/>
  <c r="DT27" i="2"/>
  <c r="DU27" i="2"/>
  <c r="DV27" i="2"/>
  <c r="DW27" i="2"/>
  <c r="DX27" i="2"/>
  <c r="DY27" i="2"/>
  <c r="DR28" i="2"/>
  <c r="DS28" i="2"/>
  <c r="DT28" i="2"/>
  <c r="DU28" i="2"/>
  <c r="DV28" i="2"/>
  <c r="DW28" i="2"/>
  <c r="DX28" i="2"/>
  <c r="DY28" i="2"/>
  <c r="DR29" i="2"/>
  <c r="DS29" i="2"/>
  <c r="DT29" i="2"/>
  <c r="DU29" i="2"/>
  <c r="DV29" i="2"/>
  <c r="DW29" i="2"/>
  <c r="DX29" i="2"/>
  <c r="DY29" i="2"/>
  <c r="DR30" i="2"/>
  <c r="DS30" i="2"/>
  <c r="DT30" i="2"/>
  <c r="DU30" i="2"/>
  <c r="DV30" i="2"/>
  <c r="DW30" i="2"/>
  <c r="DX30" i="2"/>
  <c r="DY30" i="2"/>
  <c r="DR31" i="2"/>
  <c r="DS31" i="2"/>
  <c r="DT31" i="2"/>
  <c r="DU31" i="2"/>
  <c r="DV31" i="2"/>
  <c r="DW31" i="2"/>
  <c r="DX31" i="2"/>
  <c r="DY31" i="2"/>
  <c r="DS2" i="2"/>
  <c r="DT2" i="2"/>
  <c r="DU2" i="2"/>
  <c r="DV2" i="2"/>
  <c r="DW2" i="2"/>
  <c r="DX2" i="2"/>
  <c r="DY2" i="2"/>
  <c r="DR2" i="2"/>
  <c r="DS1" i="2"/>
  <c r="DT1" i="2"/>
  <c r="DU1" i="2"/>
  <c r="DV1" i="2"/>
  <c r="DW1" i="2"/>
  <c r="DX1" i="2"/>
  <c r="DY1" i="2"/>
  <c r="DR1" i="2"/>
  <c r="DJ3" i="2"/>
  <c r="DK3" i="2"/>
  <c r="DL3" i="2"/>
  <c r="DM3" i="2"/>
  <c r="DN3" i="2"/>
  <c r="DO3" i="2"/>
  <c r="DJ4" i="2"/>
  <c r="DK4" i="2"/>
  <c r="DL4" i="2"/>
  <c r="DM4" i="2"/>
  <c r="DN4" i="2"/>
  <c r="DO4" i="2"/>
  <c r="DJ5" i="2"/>
  <c r="DK5" i="2"/>
  <c r="DL5" i="2"/>
  <c r="DM5" i="2"/>
  <c r="DN5" i="2"/>
  <c r="DO5" i="2"/>
  <c r="DJ6" i="2"/>
  <c r="DK6" i="2"/>
  <c r="DL6" i="2"/>
  <c r="DM6" i="2"/>
  <c r="DN6" i="2"/>
  <c r="DO6" i="2"/>
  <c r="DJ7" i="2"/>
  <c r="DK7" i="2"/>
  <c r="DL7" i="2"/>
  <c r="DM7" i="2"/>
  <c r="DN7" i="2"/>
  <c r="DO7" i="2"/>
  <c r="DJ8" i="2"/>
  <c r="DK8" i="2"/>
  <c r="DL8" i="2"/>
  <c r="DM8" i="2"/>
  <c r="DN8" i="2"/>
  <c r="DO8" i="2"/>
  <c r="DJ9" i="2"/>
  <c r="DK9" i="2"/>
  <c r="DL9" i="2"/>
  <c r="DM9" i="2"/>
  <c r="DN9" i="2"/>
  <c r="DO9" i="2"/>
  <c r="DJ10" i="2"/>
  <c r="DK10" i="2"/>
  <c r="DL10" i="2"/>
  <c r="DM10" i="2"/>
  <c r="DN10" i="2"/>
  <c r="DO10" i="2"/>
  <c r="DJ11" i="2"/>
  <c r="DK11" i="2"/>
  <c r="DL11" i="2"/>
  <c r="DM11" i="2"/>
  <c r="DN11" i="2"/>
  <c r="DO11" i="2"/>
  <c r="DJ12" i="2"/>
  <c r="DK12" i="2"/>
  <c r="DL12" i="2"/>
  <c r="DM12" i="2"/>
  <c r="DN12" i="2"/>
  <c r="DO12" i="2"/>
  <c r="DJ13" i="2"/>
  <c r="DK13" i="2"/>
  <c r="DL13" i="2"/>
  <c r="DM13" i="2"/>
  <c r="DN13" i="2"/>
  <c r="DO13" i="2"/>
  <c r="DJ14" i="2"/>
  <c r="DK14" i="2"/>
  <c r="DL14" i="2"/>
  <c r="DM14" i="2"/>
  <c r="DN14" i="2"/>
  <c r="DO14" i="2"/>
  <c r="DJ15" i="2"/>
  <c r="DK15" i="2"/>
  <c r="DL15" i="2"/>
  <c r="DM15" i="2"/>
  <c r="DN15" i="2"/>
  <c r="DO15" i="2"/>
  <c r="DJ16" i="2"/>
  <c r="DK16" i="2"/>
  <c r="DL16" i="2"/>
  <c r="DM16" i="2"/>
  <c r="DN16" i="2"/>
  <c r="DO16" i="2"/>
  <c r="DJ17" i="2"/>
  <c r="DK17" i="2"/>
  <c r="DL17" i="2"/>
  <c r="DM17" i="2"/>
  <c r="DN17" i="2"/>
  <c r="DO17" i="2"/>
  <c r="DJ18" i="2"/>
  <c r="DK18" i="2"/>
  <c r="DL18" i="2"/>
  <c r="DM18" i="2"/>
  <c r="DN18" i="2"/>
  <c r="DO18" i="2"/>
  <c r="DJ19" i="2"/>
  <c r="DK19" i="2"/>
  <c r="DL19" i="2"/>
  <c r="DM19" i="2"/>
  <c r="DN19" i="2"/>
  <c r="DO19" i="2"/>
  <c r="DJ20" i="2"/>
  <c r="DK20" i="2"/>
  <c r="DL20" i="2"/>
  <c r="DM20" i="2"/>
  <c r="DN20" i="2"/>
  <c r="DO20" i="2"/>
  <c r="DJ21" i="2"/>
  <c r="DK21" i="2"/>
  <c r="DL21" i="2"/>
  <c r="DM21" i="2"/>
  <c r="DN21" i="2"/>
  <c r="DO21" i="2"/>
  <c r="DJ22" i="2"/>
  <c r="DK22" i="2"/>
  <c r="DL22" i="2"/>
  <c r="DM22" i="2"/>
  <c r="DN22" i="2"/>
  <c r="DO22" i="2"/>
  <c r="DJ23" i="2"/>
  <c r="DK23" i="2"/>
  <c r="DL23" i="2"/>
  <c r="DM23" i="2"/>
  <c r="DN23" i="2"/>
  <c r="DO23" i="2"/>
  <c r="DJ24" i="2"/>
  <c r="DK24" i="2"/>
  <c r="DL24" i="2"/>
  <c r="DM24" i="2"/>
  <c r="DN24" i="2"/>
  <c r="DO24" i="2"/>
  <c r="DJ25" i="2"/>
  <c r="DK25" i="2"/>
  <c r="DL25" i="2"/>
  <c r="DM25" i="2"/>
  <c r="DN25" i="2"/>
  <c r="DO25" i="2"/>
  <c r="DJ26" i="2"/>
  <c r="DK26" i="2"/>
  <c r="DL26" i="2"/>
  <c r="DM26" i="2"/>
  <c r="DN26" i="2"/>
  <c r="DO26" i="2"/>
  <c r="DJ27" i="2"/>
  <c r="DK27" i="2"/>
  <c r="DL27" i="2"/>
  <c r="DM27" i="2"/>
  <c r="DN27" i="2"/>
  <c r="DO27" i="2"/>
  <c r="DJ28" i="2"/>
  <c r="DK28" i="2"/>
  <c r="DL28" i="2"/>
  <c r="DM28" i="2"/>
  <c r="DN28" i="2"/>
  <c r="DO28" i="2"/>
  <c r="DJ29" i="2"/>
  <c r="DK29" i="2"/>
  <c r="DL29" i="2"/>
  <c r="DM29" i="2"/>
  <c r="DN29" i="2"/>
  <c r="DO29" i="2"/>
  <c r="DJ30" i="2"/>
  <c r="DK30" i="2"/>
  <c r="DL30" i="2"/>
  <c r="DM30" i="2"/>
  <c r="DN30" i="2"/>
  <c r="DO30" i="2"/>
  <c r="DJ31" i="2"/>
  <c r="DK31" i="2"/>
  <c r="DL31" i="2"/>
  <c r="DM31" i="2"/>
  <c r="DN31" i="2"/>
  <c r="DO31" i="2"/>
  <c r="DK2" i="2"/>
  <c r="DL2" i="2"/>
  <c r="DM2" i="2"/>
  <c r="DN2" i="2"/>
  <c r="DO2" i="2"/>
  <c r="DJ2" i="2"/>
  <c r="DK1" i="2"/>
  <c r="DL1" i="2"/>
  <c r="DM1" i="2"/>
  <c r="DN1" i="2"/>
  <c r="DO1" i="2"/>
  <c r="DJ1" i="2"/>
  <c r="CV3" i="2"/>
  <c r="CW3" i="2"/>
  <c r="CX3" i="2"/>
  <c r="CY3" i="2"/>
  <c r="CZ3" i="2"/>
  <c r="DA3" i="2"/>
  <c r="DB3" i="2"/>
  <c r="DC3" i="2"/>
  <c r="DD3" i="2"/>
  <c r="DE3" i="2"/>
  <c r="DF3" i="2"/>
  <c r="DG3" i="2"/>
  <c r="CV4" i="2"/>
  <c r="CW4" i="2"/>
  <c r="CX4" i="2"/>
  <c r="CY4" i="2"/>
  <c r="CZ4" i="2"/>
  <c r="DA4" i="2"/>
  <c r="DB4" i="2"/>
  <c r="DC4" i="2"/>
  <c r="DD4" i="2"/>
  <c r="DE4" i="2"/>
  <c r="DF4" i="2"/>
  <c r="DG4" i="2"/>
  <c r="CV5" i="2"/>
  <c r="CW5" i="2"/>
  <c r="CX5" i="2"/>
  <c r="CY5" i="2"/>
  <c r="CZ5" i="2"/>
  <c r="DA5" i="2"/>
  <c r="DB5" i="2"/>
  <c r="DC5" i="2"/>
  <c r="DD5" i="2"/>
  <c r="DE5" i="2"/>
  <c r="DF5" i="2"/>
  <c r="DG5" i="2"/>
  <c r="CV6" i="2"/>
  <c r="CW6" i="2"/>
  <c r="CX6" i="2"/>
  <c r="CY6" i="2"/>
  <c r="CZ6" i="2"/>
  <c r="DA6" i="2"/>
  <c r="DB6" i="2"/>
  <c r="DC6" i="2"/>
  <c r="DD6" i="2"/>
  <c r="DE6" i="2"/>
  <c r="DF6" i="2"/>
  <c r="DG6" i="2"/>
  <c r="CV7" i="2"/>
  <c r="CW7" i="2"/>
  <c r="CX7" i="2"/>
  <c r="CY7" i="2"/>
  <c r="CZ7" i="2"/>
  <c r="DA7" i="2"/>
  <c r="DB7" i="2"/>
  <c r="DC7" i="2"/>
  <c r="DD7" i="2"/>
  <c r="DE7" i="2"/>
  <c r="DF7" i="2"/>
  <c r="DG7" i="2"/>
  <c r="CV8" i="2"/>
  <c r="CW8" i="2"/>
  <c r="CX8" i="2"/>
  <c r="CY8" i="2"/>
  <c r="CZ8" i="2"/>
  <c r="DA8" i="2"/>
  <c r="DB8" i="2"/>
  <c r="DC8" i="2"/>
  <c r="DD8" i="2"/>
  <c r="DE8" i="2"/>
  <c r="DF8" i="2"/>
  <c r="DG8" i="2"/>
  <c r="CV9" i="2"/>
  <c r="CW9" i="2"/>
  <c r="CX9" i="2"/>
  <c r="CY9" i="2"/>
  <c r="CZ9" i="2"/>
  <c r="DA9" i="2"/>
  <c r="DB9" i="2"/>
  <c r="DC9" i="2"/>
  <c r="DD9" i="2"/>
  <c r="DE9" i="2"/>
  <c r="DF9" i="2"/>
  <c r="DG9" i="2"/>
  <c r="CV10" i="2"/>
  <c r="CW10" i="2"/>
  <c r="CX10" i="2"/>
  <c r="CY10" i="2"/>
  <c r="CZ10" i="2"/>
  <c r="DA10" i="2"/>
  <c r="DB10" i="2"/>
  <c r="DC10" i="2"/>
  <c r="DD10" i="2"/>
  <c r="DE10" i="2"/>
  <c r="DF10" i="2"/>
  <c r="DG10" i="2"/>
  <c r="CV11" i="2"/>
  <c r="CW11" i="2"/>
  <c r="CX11" i="2"/>
  <c r="CY11" i="2"/>
  <c r="CZ11" i="2"/>
  <c r="DA11" i="2"/>
  <c r="DB11" i="2"/>
  <c r="DC11" i="2"/>
  <c r="DD11" i="2"/>
  <c r="DE11" i="2"/>
  <c r="DF11" i="2"/>
  <c r="DG11" i="2"/>
  <c r="CV12" i="2"/>
  <c r="CW12" i="2"/>
  <c r="CX12" i="2"/>
  <c r="CY12" i="2"/>
  <c r="CZ12" i="2"/>
  <c r="DA12" i="2"/>
  <c r="DB12" i="2"/>
  <c r="DC12" i="2"/>
  <c r="DD12" i="2"/>
  <c r="DE12" i="2"/>
  <c r="DF12" i="2"/>
  <c r="DG12" i="2"/>
  <c r="CV13" i="2"/>
  <c r="CW13" i="2"/>
  <c r="CX13" i="2"/>
  <c r="CY13" i="2"/>
  <c r="CZ13" i="2"/>
  <c r="DA13" i="2"/>
  <c r="DB13" i="2"/>
  <c r="DC13" i="2"/>
  <c r="DD13" i="2"/>
  <c r="DE13" i="2"/>
  <c r="DF13" i="2"/>
  <c r="DG13" i="2"/>
  <c r="CV14" i="2"/>
  <c r="CW14" i="2"/>
  <c r="CX14" i="2"/>
  <c r="CY14" i="2"/>
  <c r="CZ14" i="2"/>
  <c r="DA14" i="2"/>
  <c r="DB14" i="2"/>
  <c r="DC14" i="2"/>
  <c r="DD14" i="2"/>
  <c r="DE14" i="2"/>
  <c r="DF14" i="2"/>
  <c r="DG14" i="2"/>
  <c r="CV15" i="2"/>
  <c r="CW15" i="2"/>
  <c r="CX15" i="2"/>
  <c r="CY15" i="2"/>
  <c r="CZ15" i="2"/>
  <c r="DA15" i="2"/>
  <c r="DB15" i="2"/>
  <c r="DC15" i="2"/>
  <c r="DD15" i="2"/>
  <c r="DE15" i="2"/>
  <c r="DF15" i="2"/>
  <c r="DG15" i="2"/>
  <c r="CV16" i="2"/>
  <c r="CW16" i="2"/>
  <c r="CX16" i="2"/>
  <c r="CY16" i="2"/>
  <c r="CZ16" i="2"/>
  <c r="DA16" i="2"/>
  <c r="DB16" i="2"/>
  <c r="DC16" i="2"/>
  <c r="DD16" i="2"/>
  <c r="DE16" i="2"/>
  <c r="DF16" i="2"/>
  <c r="DG16" i="2"/>
  <c r="CV17" i="2"/>
  <c r="CW17" i="2"/>
  <c r="CX17" i="2"/>
  <c r="CY17" i="2"/>
  <c r="CZ17" i="2"/>
  <c r="DA17" i="2"/>
  <c r="DB17" i="2"/>
  <c r="DC17" i="2"/>
  <c r="DD17" i="2"/>
  <c r="DE17" i="2"/>
  <c r="DF17" i="2"/>
  <c r="DG17" i="2"/>
  <c r="CV18" i="2"/>
  <c r="CW18" i="2"/>
  <c r="CX18" i="2"/>
  <c r="CY18" i="2"/>
  <c r="CZ18" i="2"/>
  <c r="DA18" i="2"/>
  <c r="DB18" i="2"/>
  <c r="DC18" i="2"/>
  <c r="DD18" i="2"/>
  <c r="DE18" i="2"/>
  <c r="DF18" i="2"/>
  <c r="DG18" i="2"/>
  <c r="CV19" i="2"/>
  <c r="CW19" i="2"/>
  <c r="CX19" i="2"/>
  <c r="CY19" i="2"/>
  <c r="CZ19" i="2"/>
  <c r="DA19" i="2"/>
  <c r="DB19" i="2"/>
  <c r="DC19" i="2"/>
  <c r="DD19" i="2"/>
  <c r="DE19" i="2"/>
  <c r="DF19" i="2"/>
  <c r="DG19" i="2"/>
  <c r="CV20" i="2"/>
  <c r="CW20" i="2"/>
  <c r="CX20" i="2"/>
  <c r="CY20" i="2"/>
  <c r="CZ20" i="2"/>
  <c r="DA20" i="2"/>
  <c r="DB20" i="2"/>
  <c r="DC20" i="2"/>
  <c r="DD20" i="2"/>
  <c r="DE20" i="2"/>
  <c r="DF20" i="2"/>
  <c r="DG20" i="2"/>
  <c r="CV21" i="2"/>
  <c r="CW21" i="2"/>
  <c r="CX21" i="2"/>
  <c r="CY21" i="2"/>
  <c r="CZ21" i="2"/>
  <c r="DA21" i="2"/>
  <c r="DB21" i="2"/>
  <c r="DC21" i="2"/>
  <c r="DD21" i="2"/>
  <c r="DE21" i="2"/>
  <c r="DF21" i="2"/>
  <c r="DG21" i="2"/>
  <c r="CV22" i="2"/>
  <c r="CW22" i="2"/>
  <c r="CX22" i="2"/>
  <c r="CY22" i="2"/>
  <c r="CZ22" i="2"/>
  <c r="DA22" i="2"/>
  <c r="DB22" i="2"/>
  <c r="DC22" i="2"/>
  <c r="DD22" i="2"/>
  <c r="DE22" i="2"/>
  <c r="DF22" i="2"/>
  <c r="DG22" i="2"/>
  <c r="CV23" i="2"/>
  <c r="CW23" i="2"/>
  <c r="CX23" i="2"/>
  <c r="CY23" i="2"/>
  <c r="CZ23" i="2"/>
  <c r="DA23" i="2"/>
  <c r="DB23" i="2"/>
  <c r="DC23" i="2"/>
  <c r="DD23" i="2"/>
  <c r="DE23" i="2"/>
  <c r="DF23" i="2"/>
  <c r="DG23" i="2"/>
  <c r="CV24" i="2"/>
  <c r="CW24" i="2"/>
  <c r="CX24" i="2"/>
  <c r="CY24" i="2"/>
  <c r="CZ24" i="2"/>
  <c r="DA24" i="2"/>
  <c r="DB24" i="2"/>
  <c r="DC24" i="2"/>
  <c r="DD24" i="2"/>
  <c r="DE24" i="2"/>
  <c r="DF24" i="2"/>
  <c r="DG24" i="2"/>
  <c r="CV25" i="2"/>
  <c r="CW25" i="2"/>
  <c r="CX25" i="2"/>
  <c r="CY25" i="2"/>
  <c r="CZ25" i="2"/>
  <c r="DA25" i="2"/>
  <c r="DB25" i="2"/>
  <c r="DC25" i="2"/>
  <c r="DD25" i="2"/>
  <c r="DE25" i="2"/>
  <c r="DF25" i="2"/>
  <c r="DG25" i="2"/>
  <c r="CV26" i="2"/>
  <c r="CW26" i="2"/>
  <c r="CX26" i="2"/>
  <c r="CY26" i="2"/>
  <c r="CZ26" i="2"/>
  <c r="DA26" i="2"/>
  <c r="DB26" i="2"/>
  <c r="DC26" i="2"/>
  <c r="DD26" i="2"/>
  <c r="DE26" i="2"/>
  <c r="DF26" i="2"/>
  <c r="DG26" i="2"/>
  <c r="CV27" i="2"/>
  <c r="CW27" i="2"/>
  <c r="CX27" i="2"/>
  <c r="CY27" i="2"/>
  <c r="CZ27" i="2"/>
  <c r="DA27" i="2"/>
  <c r="DB27" i="2"/>
  <c r="DC27" i="2"/>
  <c r="DD27" i="2"/>
  <c r="DE27" i="2"/>
  <c r="DF27" i="2"/>
  <c r="DG27" i="2"/>
  <c r="CV28" i="2"/>
  <c r="CW28" i="2"/>
  <c r="CX28" i="2"/>
  <c r="CY28" i="2"/>
  <c r="CZ28" i="2"/>
  <c r="DA28" i="2"/>
  <c r="DB28" i="2"/>
  <c r="DC28" i="2"/>
  <c r="DD28" i="2"/>
  <c r="DE28" i="2"/>
  <c r="DF28" i="2"/>
  <c r="DG28" i="2"/>
  <c r="CV29" i="2"/>
  <c r="CW29" i="2"/>
  <c r="CX29" i="2"/>
  <c r="CY29" i="2"/>
  <c r="CZ29" i="2"/>
  <c r="DA29" i="2"/>
  <c r="DB29" i="2"/>
  <c r="DC29" i="2"/>
  <c r="DD29" i="2"/>
  <c r="DE29" i="2"/>
  <c r="DF29" i="2"/>
  <c r="DG29" i="2"/>
  <c r="CV30" i="2"/>
  <c r="CW30" i="2"/>
  <c r="CX30" i="2"/>
  <c r="CY30" i="2"/>
  <c r="CZ30" i="2"/>
  <c r="DA30" i="2"/>
  <c r="DB30" i="2"/>
  <c r="DC30" i="2"/>
  <c r="DD30" i="2"/>
  <c r="DE30" i="2"/>
  <c r="DF30" i="2"/>
  <c r="DG30" i="2"/>
  <c r="CV31" i="2"/>
  <c r="CW31" i="2"/>
  <c r="CX31" i="2"/>
  <c r="CY31" i="2"/>
  <c r="CZ31" i="2"/>
  <c r="DA31" i="2"/>
  <c r="DB31" i="2"/>
  <c r="DC31" i="2"/>
  <c r="DD31" i="2"/>
  <c r="DE31" i="2"/>
  <c r="DF31" i="2"/>
  <c r="DG31" i="2"/>
  <c r="CW2" i="2"/>
  <c r="CX2" i="2"/>
  <c r="CY2" i="2"/>
  <c r="CZ2" i="2"/>
  <c r="DA2" i="2"/>
  <c r="DB2" i="2"/>
  <c r="DC2" i="2"/>
  <c r="DD2" i="2"/>
  <c r="DE2" i="2"/>
  <c r="DF2" i="2"/>
  <c r="DG2" i="2"/>
  <c r="CW1" i="2"/>
  <c r="CX1" i="2"/>
  <c r="CY1" i="2"/>
  <c r="CZ1" i="2"/>
  <c r="DA1" i="2"/>
  <c r="DB1" i="2"/>
  <c r="DC1" i="2"/>
  <c r="DD1" i="2"/>
  <c r="DE1" i="2"/>
  <c r="DF1" i="2"/>
  <c r="DG1" i="2"/>
  <c r="CV2" i="2"/>
  <c r="CB32" i="5" l="1"/>
  <c r="CB33" i="5" s="1"/>
  <c r="CD32" i="5"/>
  <c r="CD33" i="5" s="1"/>
  <c r="CH32" i="5"/>
  <c r="CH33" i="5" s="1"/>
  <c r="CH34" i="5" s="1"/>
  <c r="CA32" i="5"/>
  <c r="CJ32" i="5"/>
  <c r="CJ33" i="5" s="1"/>
  <c r="CK3" i="5"/>
  <c r="CI32" i="5"/>
  <c r="CI33" i="5" s="1"/>
  <c r="CI34" i="5" s="1"/>
  <c r="CE32" i="5"/>
  <c r="CE33" i="5" s="1"/>
  <c r="CK4" i="5"/>
  <c r="CL4" i="5" s="1"/>
  <c r="CC32" i="5"/>
  <c r="CC33" i="5" s="1"/>
  <c r="CF32" i="5"/>
  <c r="CF33" i="5" s="1"/>
  <c r="CF34" i="5" s="1"/>
  <c r="CD34" i="5"/>
  <c r="CB34" i="5"/>
  <c r="DC32" i="2"/>
  <c r="DC33" i="2" s="1"/>
  <c r="DC34" i="2" s="1"/>
  <c r="DB32" i="2"/>
  <c r="DB33" i="2" s="1"/>
  <c r="CG32" i="5"/>
  <c r="CG33" i="5" s="1"/>
  <c r="CG34" i="5" s="1"/>
  <c r="CK2" i="5"/>
  <c r="CL2" i="5" s="1"/>
  <c r="BX32" i="5"/>
  <c r="BX33" i="5" s="1"/>
  <c r="BX34" i="5" s="1"/>
  <c r="BW32" i="5"/>
  <c r="BW33" i="5" s="1"/>
  <c r="BT32" i="5"/>
  <c r="BT33" i="5" s="1"/>
  <c r="BT34" i="5" s="1"/>
  <c r="BS32" i="5"/>
  <c r="BS33" i="5" s="1"/>
  <c r="BR32" i="5"/>
  <c r="BR33" i="5" s="1"/>
  <c r="BR34" i="5" s="1"/>
  <c r="BQ32" i="5"/>
  <c r="BQ33" i="5" s="1"/>
  <c r="BQ34" i="5" s="1"/>
  <c r="BN32" i="5"/>
  <c r="BN33" i="5" s="1"/>
  <c r="BM32" i="5"/>
  <c r="BM33" i="5" s="1"/>
  <c r="BY2" i="5"/>
  <c r="BZ2" i="5" s="1"/>
  <c r="BV32" i="5"/>
  <c r="BV33" i="5" s="1"/>
  <c r="BV34" i="5" s="1"/>
  <c r="BU32" i="5"/>
  <c r="BU33" i="5" s="1"/>
  <c r="BP32" i="5"/>
  <c r="BP33" i="5" s="1"/>
  <c r="BP34" i="5" s="1"/>
  <c r="BO32" i="5"/>
  <c r="BO33" i="5" s="1"/>
  <c r="BO34" i="5" s="1"/>
  <c r="CX32" i="2"/>
  <c r="CX33" i="2" s="1"/>
  <c r="DA32" i="2"/>
  <c r="DA33" i="2" s="1"/>
  <c r="DA34" i="2" s="1"/>
  <c r="CZ32" i="2"/>
  <c r="CZ33" i="2" s="1"/>
  <c r="CZ34" i="2" s="1"/>
  <c r="CY32" i="2"/>
  <c r="CY33" i="2" s="1"/>
  <c r="CW32" i="2"/>
  <c r="CW33" i="2" s="1"/>
  <c r="DG32" i="2"/>
  <c r="DG33" i="2" s="1"/>
  <c r="DG34" i="2" s="1"/>
  <c r="DF32" i="2"/>
  <c r="DF33" i="2" s="1"/>
  <c r="DF34" i="2" s="1"/>
  <c r="DE32" i="2"/>
  <c r="DE33" i="2" s="1"/>
  <c r="DE34" i="2" s="1"/>
  <c r="DD32" i="2"/>
  <c r="DD33" i="2" s="1"/>
  <c r="A3" i="12"/>
  <c r="A4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24" i="6"/>
  <c r="B18" i="6"/>
  <c r="B19" i="6"/>
  <c r="B20" i="6"/>
  <c r="B21" i="6"/>
  <c r="B22" i="6"/>
  <c r="B23" i="6"/>
  <c r="B25" i="6"/>
  <c r="B26" i="6"/>
  <c r="B27" i="6"/>
  <c r="B28" i="6"/>
  <c r="B29" i="6"/>
  <c r="B30" i="6"/>
  <c r="B31" i="6"/>
  <c r="B32" i="6"/>
  <c r="A3" i="5"/>
  <c r="C4" i="6" s="1"/>
  <c r="B3" i="5"/>
  <c r="C3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D3" i="5"/>
  <c r="AE3" i="5"/>
  <c r="AF3" i="5"/>
  <c r="AG3" i="5"/>
  <c r="AH3" i="5"/>
  <c r="AI3" i="5"/>
  <c r="AJ3" i="5"/>
  <c r="AK3" i="5"/>
  <c r="AL3" i="5"/>
  <c r="AM3" i="5"/>
  <c r="AN3" i="5"/>
  <c r="AO3" i="5"/>
  <c r="AP3" i="5"/>
  <c r="AQ3" i="5"/>
  <c r="AR3" i="5"/>
  <c r="AS3" i="5"/>
  <c r="AT3" i="5"/>
  <c r="AU3" i="5"/>
  <c r="AV3" i="5"/>
  <c r="AW3" i="5"/>
  <c r="AX3" i="5"/>
  <c r="AY3" i="5"/>
  <c r="AZ3" i="5"/>
  <c r="BA3" i="5"/>
  <c r="BB3" i="5"/>
  <c r="CP3" i="5"/>
  <c r="CQ3" i="5"/>
  <c r="CR3" i="5"/>
  <c r="CS3" i="5"/>
  <c r="CT3" i="5"/>
  <c r="CU3" i="5"/>
  <c r="CV3" i="5"/>
  <c r="CW3" i="5"/>
  <c r="CX3" i="5"/>
  <c r="CY3" i="5"/>
  <c r="CZ3" i="5"/>
  <c r="DA3" i="5"/>
  <c r="DB3" i="5"/>
  <c r="DC3" i="5"/>
  <c r="DD3" i="5"/>
  <c r="DE3" i="5"/>
  <c r="DF3" i="5"/>
  <c r="DG3" i="5"/>
  <c r="DH3" i="5"/>
  <c r="DI3" i="5"/>
  <c r="DJ3" i="5"/>
  <c r="DK3" i="5"/>
  <c r="DL3" i="5"/>
  <c r="DM3" i="5"/>
  <c r="DN3" i="5"/>
  <c r="DO3" i="5"/>
  <c r="DP3" i="5"/>
  <c r="DQ3" i="5"/>
  <c r="DR3" i="5"/>
  <c r="DS3" i="5"/>
  <c r="DT3" i="5"/>
  <c r="DU3" i="5"/>
  <c r="DV3" i="5"/>
  <c r="DW3" i="5"/>
  <c r="DX3" i="5"/>
  <c r="DY3" i="5"/>
  <c r="DZ3" i="5"/>
  <c r="EA3" i="5"/>
  <c r="EB3" i="5"/>
  <c r="EC3" i="5"/>
  <c r="ED3" i="5"/>
  <c r="EE3" i="5"/>
  <c r="EF3" i="5"/>
  <c r="EG3" i="5"/>
  <c r="EH3" i="5"/>
  <c r="EI3" i="5"/>
  <c r="EJ3" i="5"/>
  <c r="EK3" i="5"/>
  <c r="EL3" i="5"/>
  <c r="EM3" i="5"/>
  <c r="EN3" i="5"/>
  <c r="EO3" i="5"/>
  <c r="EP3" i="5"/>
  <c r="EQ3" i="5"/>
  <c r="ER3" i="5"/>
  <c r="A4" i="5"/>
  <c r="C5" i="6" s="1"/>
  <c r="B4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D4" i="5"/>
  <c r="AE4" i="5"/>
  <c r="AF4" i="5"/>
  <c r="AG4" i="5"/>
  <c r="AH4" i="5"/>
  <c r="AI4" i="5"/>
  <c r="AJ4" i="5"/>
  <c r="AK4" i="5"/>
  <c r="AL4" i="5"/>
  <c r="AM4" i="5"/>
  <c r="AN4" i="5"/>
  <c r="AO4" i="5"/>
  <c r="AP4" i="5"/>
  <c r="AQ4" i="5"/>
  <c r="AR4" i="5"/>
  <c r="AS4" i="5"/>
  <c r="AT4" i="5"/>
  <c r="AU4" i="5"/>
  <c r="AV4" i="5"/>
  <c r="AW4" i="5"/>
  <c r="AX4" i="5"/>
  <c r="AY4" i="5"/>
  <c r="AZ4" i="5"/>
  <c r="BA4" i="5"/>
  <c r="BB4" i="5"/>
  <c r="CP4" i="5"/>
  <c r="CQ4" i="5"/>
  <c r="CR4" i="5"/>
  <c r="CS4" i="5"/>
  <c r="CT4" i="5"/>
  <c r="CU4" i="5"/>
  <c r="CV4" i="5"/>
  <c r="CW4" i="5"/>
  <c r="CX4" i="5"/>
  <c r="CY4" i="5"/>
  <c r="CZ4" i="5"/>
  <c r="DA4" i="5"/>
  <c r="DB4" i="5"/>
  <c r="DC4" i="5"/>
  <c r="DD4" i="5"/>
  <c r="DE4" i="5"/>
  <c r="DF4" i="5"/>
  <c r="DG4" i="5"/>
  <c r="DH4" i="5"/>
  <c r="DI4" i="5"/>
  <c r="DJ4" i="5"/>
  <c r="DK4" i="5"/>
  <c r="DL4" i="5"/>
  <c r="DM4" i="5"/>
  <c r="DN4" i="5"/>
  <c r="DO4" i="5"/>
  <c r="DP4" i="5"/>
  <c r="DQ4" i="5"/>
  <c r="DR4" i="5"/>
  <c r="DS4" i="5"/>
  <c r="DT4" i="5"/>
  <c r="DU4" i="5"/>
  <c r="DV4" i="5"/>
  <c r="DW4" i="5"/>
  <c r="DX4" i="5"/>
  <c r="DY4" i="5"/>
  <c r="DZ4" i="5"/>
  <c r="EA4" i="5"/>
  <c r="EB4" i="5"/>
  <c r="EC4" i="5"/>
  <c r="ED4" i="5"/>
  <c r="EE4" i="5"/>
  <c r="EF4" i="5"/>
  <c r="EG4" i="5"/>
  <c r="EH4" i="5"/>
  <c r="EI4" i="5"/>
  <c r="EJ4" i="5"/>
  <c r="EK4" i="5"/>
  <c r="EL4" i="5"/>
  <c r="EM4" i="5"/>
  <c r="EN4" i="5"/>
  <c r="EO4" i="5"/>
  <c r="EP4" i="5"/>
  <c r="EQ4" i="5"/>
  <c r="ER4" i="5"/>
  <c r="A5" i="5"/>
  <c r="C6" i="6" s="1"/>
  <c r="B5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AV5" i="5"/>
  <c r="AW5" i="5"/>
  <c r="AX5" i="5"/>
  <c r="AY5" i="5"/>
  <c r="AZ5" i="5"/>
  <c r="BA5" i="5"/>
  <c r="BB5" i="5"/>
  <c r="CP5" i="5"/>
  <c r="CQ5" i="5"/>
  <c r="CR5" i="5"/>
  <c r="CS5" i="5"/>
  <c r="CT5" i="5"/>
  <c r="CU5" i="5"/>
  <c r="CV5" i="5"/>
  <c r="CW5" i="5"/>
  <c r="CX5" i="5"/>
  <c r="CY5" i="5"/>
  <c r="CZ5" i="5"/>
  <c r="DA5" i="5"/>
  <c r="DB5" i="5"/>
  <c r="DC5" i="5"/>
  <c r="DD5" i="5"/>
  <c r="DE5" i="5"/>
  <c r="DF5" i="5"/>
  <c r="DG5" i="5"/>
  <c r="DH5" i="5"/>
  <c r="DI5" i="5"/>
  <c r="DJ5" i="5"/>
  <c r="DK5" i="5"/>
  <c r="DL5" i="5"/>
  <c r="DM5" i="5"/>
  <c r="DN5" i="5"/>
  <c r="DO5" i="5"/>
  <c r="DP5" i="5"/>
  <c r="DQ5" i="5"/>
  <c r="DR5" i="5"/>
  <c r="DS5" i="5"/>
  <c r="DT5" i="5"/>
  <c r="DU5" i="5"/>
  <c r="DV5" i="5"/>
  <c r="DW5" i="5"/>
  <c r="DX5" i="5"/>
  <c r="DY5" i="5"/>
  <c r="DZ5" i="5"/>
  <c r="EA5" i="5"/>
  <c r="EB5" i="5"/>
  <c r="EC5" i="5"/>
  <c r="ED5" i="5"/>
  <c r="EE5" i="5"/>
  <c r="EF5" i="5"/>
  <c r="EG5" i="5"/>
  <c r="EH5" i="5"/>
  <c r="EI5" i="5"/>
  <c r="EJ5" i="5"/>
  <c r="EK5" i="5"/>
  <c r="EL5" i="5"/>
  <c r="EM5" i="5"/>
  <c r="EN5" i="5"/>
  <c r="EO5" i="5"/>
  <c r="EP5" i="5"/>
  <c r="EQ5" i="5"/>
  <c r="ER5" i="5"/>
  <c r="A6" i="5"/>
  <c r="C7" i="6" s="1"/>
  <c r="B6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AZ6" i="5"/>
  <c r="BA6" i="5"/>
  <c r="BB6" i="5"/>
  <c r="CP6" i="5"/>
  <c r="CQ6" i="5"/>
  <c r="CR6" i="5"/>
  <c r="CS6" i="5"/>
  <c r="CT6" i="5"/>
  <c r="CU6" i="5"/>
  <c r="CV6" i="5"/>
  <c r="CW6" i="5"/>
  <c r="CX6" i="5"/>
  <c r="CY6" i="5"/>
  <c r="CZ6" i="5"/>
  <c r="DA6" i="5"/>
  <c r="DB6" i="5"/>
  <c r="DC6" i="5"/>
  <c r="DD6" i="5"/>
  <c r="DE6" i="5"/>
  <c r="DF6" i="5"/>
  <c r="DG6" i="5"/>
  <c r="DH6" i="5"/>
  <c r="DI6" i="5"/>
  <c r="DJ6" i="5"/>
  <c r="DK6" i="5"/>
  <c r="DL6" i="5"/>
  <c r="DM6" i="5"/>
  <c r="DN6" i="5"/>
  <c r="DO6" i="5"/>
  <c r="DP6" i="5"/>
  <c r="DQ6" i="5"/>
  <c r="DR6" i="5"/>
  <c r="DS6" i="5"/>
  <c r="DT6" i="5"/>
  <c r="DU6" i="5"/>
  <c r="DV6" i="5"/>
  <c r="DW6" i="5"/>
  <c r="DX6" i="5"/>
  <c r="DY6" i="5"/>
  <c r="DZ6" i="5"/>
  <c r="EA6" i="5"/>
  <c r="EB6" i="5"/>
  <c r="EC6" i="5"/>
  <c r="ED6" i="5"/>
  <c r="EE6" i="5"/>
  <c r="EF6" i="5"/>
  <c r="EG6" i="5"/>
  <c r="EH6" i="5"/>
  <c r="EI6" i="5"/>
  <c r="EJ6" i="5"/>
  <c r="EK6" i="5"/>
  <c r="EL6" i="5"/>
  <c r="EM6" i="5"/>
  <c r="EN6" i="5"/>
  <c r="EO6" i="5"/>
  <c r="EP6" i="5"/>
  <c r="EQ6" i="5"/>
  <c r="ER6" i="5"/>
  <c r="A7" i="5"/>
  <c r="C8" i="6" s="1"/>
  <c r="B7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CP7" i="5"/>
  <c r="CQ7" i="5"/>
  <c r="CR7" i="5"/>
  <c r="CS7" i="5"/>
  <c r="CT7" i="5"/>
  <c r="CU7" i="5"/>
  <c r="CV7" i="5"/>
  <c r="CW7" i="5"/>
  <c r="CX7" i="5"/>
  <c r="CY7" i="5"/>
  <c r="CZ7" i="5"/>
  <c r="DA7" i="5"/>
  <c r="DB7" i="5"/>
  <c r="DC7" i="5"/>
  <c r="DD7" i="5"/>
  <c r="DE7" i="5"/>
  <c r="DF7" i="5"/>
  <c r="DG7" i="5"/>
  <c r="DH7" i="5"/>
  <c r="DI7" i="5"/>
  <c r="DJ7" i="5"/>
  <c r="DK7" i="5"/>
  <c r="DL7" i="5"/>
  <c r="DM7" i="5"/>
  <c r="DN7" i="5"/>
  <c r="DO7" i="5"/>
  <c r="DP7" i="5"/>
  <c r="DQ7" i="5"/>
  <c r="DR7" i="5"/>
  <c r="DS7" i="5"/>
  <c r="DT7" i="5"/>
  <c r="DU7" i="5"/>
  <c r="DV7" i="5"/>
  <c r="DW7" i="5"/>
  <c r="DX7" i="5"/>
  <c r="DY7" i="5"/>
  <c r="DZ7" i="5"/>
  <c r="EA7" i="5"/>
  <c r="EB7" i="5"/>
  <c r="EC7" i="5"/>
  <c r="ED7" i="5"/>
  <c r="EE7" i="5"/>
  <c r="EF7" i="5"/>
  <c r="EG7" i="5"/>
  <c r="EH7" i="5"/>
  <c r="EI7" i="5"/>
  <c r="EJ7" i="5"/>
  <c r="EK7" i="5"/>
  <c r="EL7" i="5"/>
  <c r="EM7" i="5"/>
  <c r="EN7" i="5"/>
  <c r="EO7" i="5"/>
  <c r="EP7" i="5"/>
  <c r="EQ7" i="5"/>
  <c r="ER7" i="5"/>
  <c r="A8" i="5"/>
  <c r="C9" i="6" s="1"/>
  <c r="B8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CP8" i="5"/>
  <c r="CQ8" i="5"/>
  <c r="CR8" i="5"/>
  <c r="CS8" i="5"/>
  <c r="CT8" i="5"/>
  <c r="CU8" i="5"/>
  <c r="CV8" i="5"/>
  <c r="CW8" i="5"/>
  <c r="CX8" i="5"/>
  <c r="CY8" i="5"/>
  <c r="CZ8" i="5"/>
  <c r="DA8" i="5"/>
  <c r="DB8" i="5"/>
  <c r="DC8" i="5"/>
  <c r="DD8" i="5"/>
  <c r="DE8" i="5"/>
  <c r="DF8" i="5"/>
  <c r="DG8" i="5"/>
  <c r="DH8" i="5"/>
  <c r="DI8" i="5"/>
  <c r="DJ8" i="5"/>
  <c r="DK8" i="5"/>
  <c r="DL8" i="5"/>
  <c r="DM8" i="5"/>
  <c r="DN8" i="5"/>
  <c r="DO8" i="5"/>
  <c r="DP8" i="5"/>
  <c r="DQ8" i="5"/>
  <c r="DR8" i="5"/>
  <c r="DS8" i="5"/>
  <c r="DT8" i="5"/>
  <c r="DU8" i="5"/>
  <c r="DV8" i="5"/>
  <c r="DW8" i="5"/>
  <c r="DX8" i="5"/>
  <c r="DY8" i="5"/>
  <c r="DZ8" i="5"/>
  <c r="EA8" i="5"/>
  <c r="EB8" i="5"/>
  <c r="EC8" i="5"/>
  <c r="ED8" i="5"/>
  <c r="EE8" i="5"/>
  <c r="EF8" i="5"/>
  <c r="EG8" i="5"/>
  <c r="EH8" i="5"/>
  <c r="EI8" i="5"/>
  <c r="EJ8" i="5"/>
  <c r="EK8" i="5"/>
  <c r="EL8" i="5"/>
  <c r="EM8" i="5"/>
  <c r="EN8" i="5"/>
  <c r="EO8" i="5"/>
  <c r="EP8" i="5"/>
  <c r="EQ8" i="5"/>
  <c r="ER8" i="5"/>
  <c r="A9" i="5"/>
  <c r="C10" i="6" s="1"/>
  <c r="B9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BB9" i="5"/>
  <c r="CP9" i="5"/>
  <c r="CQ9" i="5"/>
  <c r="CR9" i="5"/>
  <c r="CS9" i="5"/>
  <c r="CT9" i="5"/>
  <c r="CU9" i="5"/>
  <c r="CV9" i="5"/>
  <c r="CW9" i="5"/>
  <c r="CX9" i="5"/>
  <c r="CY9" i="5"/>
  <c r="CZ9" i="5"/>
  <c r="DA9" i="5"/>
  <c r="DB9" i="5"/>
  <c r="DC9" i="5"/>
  <c r="DD9" i="5"/>
  <c r="DE9" i="5"/>
  <c r="DF9" i="5"/>
  <c r="DG9" i="5"/>
  <c r="DH9" i="5"/>
  <c r="DI9" i="5"/>
  <c r="DJ9" i="5"/>
  <c r="DK9" i="5"/>
  <c r="DL9" i="5"/>
  <c r="DM9" i="5"/>
  <c r="DN9" i="5"/>
  <c r="DO9" i="5"/>
  <c r="DP9" i="5"/>
  <c r="DQ9" i="5"/>
  <c r="DR9" i="5"/>
  <c r="DS9" i="5"/>
  <c r="DT9" i="5"/>
  <c r="DU9" i="5"/>
  <c r="DV9" i="5"/>
  <c r="DW9" i="5"/>
  <c r="DX9" i="5"/>
  <c r="DY9" i="5"/>
  <c r="DZ9" i="5"/>
  <c r="EA9" i="5"/>
  <c r="EB9" i="5"/>
  <c r="EC9" i="5"/>
  <c r="ED9" i="5"/>
  <c r="EE9" i="5"/>
  <c r="EF9" i="5"/>
  <c r="EG9" i="5"/>
  <c r="EH9" i="5"/>
  <c r="EI9" i="5"/>
  <c r="EJ9" i="5"/>
  <c r="EK9" i="5"/>
  <c r="EL9" i="5"/>
  <c r="EM9" i="5"/>
  <c r="EN9" i="5"/>
  <c r="EO9" i="5"/>
  <c r="EP9" i="5"/>
  <c r="EQ9" i="5"/>
  <c r="ER9" i="5"/>
  <c r="A10" i="5"/>
  <c r="C11" i="6" s="1"/>
  <c r="B10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AZ10" i="5"/>
  <c r="BA10" i="5"/>
  <c r="BB10" i="5"/>
  <c r="CP10" i="5"/>
  <c r="CQ10" i="5"/>
  <c r="CR10" i="5"/>
  <c r="CS10" i="5"/>
  <c r="CT10" i="5"/>
  <c r="CU10" i="5"/>
  <c r="CV10" i="5"/>
  <c r="CW10" i="5"/>
  <c r="CX10" i="5"/>
  <c r="CY10" i="5"/>
  <c r="CZ10" i="5"/>
  <c r="DA10" i="5"/>
  <c r="DB10" i="5"/>
  <c r="DC10" i="5"/>
  <c r="DD10" i="5"/>
  <c r="DE10" i="5"/>
  <c r="DF10" i="5"/>
  <c r="DG10" i="5"/>
  <c r="DH10" i="5"/>
  <c r="DI10" i="5"/>
  <c r="DJ10" i="5"/>
  <c r="DK10" i="5"/>
  <c r="DL10" i="5"/>
  <c r="DM10" i="5"/>
  <c r="DN10" i="5"/>
  <c r="DO10" i="5"/>
  <c r="DP10" i="5"/>
  <c r="DQ10" i="5"/>
  <c r="DR10" i="5"/>
  <c r="DS10" i="5"/>
  <c r="DT10" i="5"/>
  <c r="DU10" i="5"/>
  <c r="DV10" i="5"/>
  <c r="DW10" i="5"/>
  <c r="DX10" i="5"/>
  <c r="DY10" i="5"/>
  <c r="DZ10" i="5"/>
  <c r="EA10" i="5"/>
  <c r="EB10" i="5"/>
  <c r="EC10" i="5"/>
  <c r="ED10" i="5"/>
  <c r="EE10" i="5"/>
  <c r="EF10" i="5"/>
  <c r="EG10" i="5"/>
  <c r="EH10" i="5"/>
  <c r="EI10" i="5"/>
  <c r="EJ10" i="5"/>
  <c r="EK10" i="5"/>
  <c r="EL10" i="5"/>
  <c r="EM10" i="5"/>
  <c r="EN10" i="5"/>
  <c r="EO10" i="5"/>
  <c r="EP10" i="5"/>
  <c r="EQ10" i="5"/>
  <c r="ER10" i="5"/>
  <c r="A11" i="5"/>
  <c r="C12" i="6" s="1"/>
  <c r="B11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AX11" i="5"/>
  <c r="AY11" i="5"/>
  <c r="AZ11" i="5"/>
  <c r="BA11" i="5"/>
  <c r="BB11" i="5"/>
  <c r="CP11" i="5"/>
  <c r="CQ11" i="5"/>
  <c r="CR11" i="5"/>
  <c r="CS11" i="5"/>
  <c r="CT11" i="5"/>
  <c r="CU11" i="5"/>
  <c r="CV11" i="5"/>
  <c r="CW11" i="5"/>
  <c r="CX11" i="5"/>
  <c r="CY11" i="5"/>
  <c r="CZ11" i="5"/>
  <c r="DA11" i="5"/>
  <c r="DB11" i="5"/>
  <c r="DC11" i="5"/>
  <c r="DD11" i="5"/>
  <c r="DE11" i="5"/>
  <c r="DF11" i="5"/>
  <c r="DG11" i="5"/>
  <c r="DH11" i="5"/>
  <c r="DI11" i="5"/>
  <c r="DJ11" i="5"/>
  <c r="DK11" i="5"/>
  <c r="DL11" i="5"/>
  <c r="DM11" i="5"/>
  <c r="DN11" i="5"/>
  <c r="DO11" i="5"/>
  <c r="DP11" i="5"/>
  <c r="DQ11" i="5"/>
  <c r="DR11" i="5"/>
  <c r="DS11" i="5"/>
  <c r="DT11" i="5"/>
  <c r="DU11" i="5"/>
  <c r="DV11" i="5"/>
  <c r="DW11" i="5"/>
  <c r="DX11" i="5"/>
  <c r="DY11" i="5"/>
  <c r="DZ11" i="5"/>
  <c r="EA11" i="5"/>
  <c r="EB11" i="5"/>
  <c r="EC11" i="5"/>
  <c r="ED11" i="5"/>
  <c r="EE11" i="5"/>
  <c r="EF11" i="5"/>
  <c r="EG11" i="5"/>
  <c r="EH11" i="5"/>
  <c r="EI11" i="5"/>
  <c r="EJ11" i="5"/>
  <c r="EK11" i="5"/>
  <c r="EL11" i="5"/>
  <c r="EM11" i="5"/>
  <c r="EN11" i="5"/>
  <c r="EO11" i="5"/>
  <c r="EP11" i="5"/>
  <c r="EQ11" i="5"/>
  <c r="ER11" i="5"/>
  <c r="A12" i="5"/>
  <c r="C13" i="6" s="1"/>
  <c r="B12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BA12" i="5"/>
  <c r="BB12" i="5"/>
  <c r="CP12" i="5"/>
  <c r="CQ12" i="5"/>
  <c r="CR12" i="5"/>
  <c r="CS12" i="5"/>
  <c r="CT12" i="5"/>
  <c r="CU12" i="5"/>
  <c r="CV12" i="5"/>
  <c r="CW12" i="5"/>
  <c r="CX12" i="5"/>
  <c r="CY12" i="5"/>
  <c r="CZ12" i="5"/>
  <c r="DA12" i="5"/>
  <c r="DB12" i="5"/>
  <c r="DC12" i="5"/>
  <c r="DD12" i="5"/>
  <c r="DE12" i="5"/>
  <c r="DF12" i="5"/>
  <c r="DG12" i="5"/>
  <c r="DH12" i="5"/>
  <c r="DI12" i="5"/>
  <c r="DJ12" i="5"/>
  <c r="DK12" i="5"/>
  <c r="DL12" i="5"/>
  <c r="DM12" i="5"/>
  <c r="DN12" i="5"/>
  <c r="DO12" i="5"/>
  <c r="DP12" i="5"/>
  <c r="DQ12" i="5"/>
  <c r="DR12" i="5"/>
  <c r="DS12" i="5"/>
  <c r="DT12" i="5"/>
  <c r="DU12" i="5"/>
  <c r="DV12" i="5"/>
  <c r="DW12" i="5"/>
  <c r="DX12" i="5"/>
  <c r="DY12" i="5"/>
  <c r="DZ12" i="5"/>
  <c r="EA12" i="5"/>
  <c r="EB12" i="5"/>
  <c r="EC12" i="5"/>
  <c r="ED12" i="5"/>
  <c r="EE12" i="5"/>
  <c r="EF12" i="5"/>
  <c r="EG12" i="5"/>
  <c r="EH12" i="5"/>
  <c r="EI12" i="5"/>
  <c r="EJ12" i="5"/>
  <c r="EK12" i="5"/>
  <c r="EL12" i="5"/>
  <c r="EM12" i="5"/>
  <c r="EN12" i="5"/>
  <c r="EO12" i="5"/>
  <c r="EP12" i="5"/>
  <c r="EQ12" i="5"/>
  <c r="ER12" i="5"/>
  <c r="A13" i="5"/>
  <c r="C14" i="6" s="1"/>
  <c r="B13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AR13" i="5"/>
  <c r="AS13" i="5"/>
  <c r="AT13" i="5"/>
  <c r="AU13" i="5"/>
  <c r="AV13" i="5"/>
  <c r="AW13" i="5"/>
  <c r="AX13" i="5"/>
  <c r="AY13" i="5"/>
  <c r="AZ13" i="5"/>
  <c r="BA13" i="5"/>
  <c r="BB13" i="5"/>
  <c r="CP13" i="5"/>
  <c r="CQ13" i="5"/>
  <c r="CR13" i="5"/>
  <c r="CS13" i="5"/>
  <c r="CT13" i="5"/>
  <c r="CU13" i="5"/>
  <c r="CV13" i="5"/>
  <c r="CW13" i="5"/>
  <c r="CX13" i="5"/>
  <c r="CY13" i="5"/>
  <c r="CZ13" i="5"/>
  <c r="DA13" i="5"/>
  <c r="DB13" i="5"/>
  <c r="DC13" i="5"/>
  <c r="DD13" i="5"/>
  <c r="DE13" i="5"/>
  <c r="DF13" i="5"/>
  <c r="DG13" i="5"/>
  <c r="DH13" i="5"/>
  <c r="DI13" i="5"/>
  <c r="DJ13" i="5"/>
  <c r="DK13" i="5"/>
  <c r="DL13" i="5"/>
  <c r="DM13" i="5"/>
  <c r="DN13" i="5"/>
  <c r="DO13" i="5"/>
  <c r="DP13" i="5"/>
  <c r="DQ13" i="5"/>
  <c r="DR13" i="5"/>
  <c r="DS13" i="5"/>
  <c r="DT13" i="5"/>
  <c r="DU13" i="5"/>
  <c r="DV13" i="5"/>
  <c r="DW13" i="5"/>
  <c r="DX13" i="5"/>
  <c r="DY13" i="5"/>
  <c r="DZ13" i="5"/>
  <c r="EA13" i="5"/>
  <c r="EB13" i="5"/>
  <c r="EC13" i="5"/>
  <c r="ED13" i="5"/>
  <c r="EE13" i="5"/>
  <c r="EF13" i="5"/>
  <c r="EG13" i="5"/>
  <c r="EH13" i="5"/>
  <c r="EI13" i="5"/>
  <c r="EJ13" i="5"/>
  <c r="EK13" i="5"/>
  <c r="EL13" i="5"/>
  <c r="EM13" i="5"/>
  <c r="EN13" i="5"/>
  <c r="EO13" i="5"/>
  <c r="EP13" i="5"/>
  <c r="EQ13" i="5"/>
  <c r="ER13" i="5"/>
  <c r="A14" i="5"/>
  <c r="C15" i="6" s="1"/>
  <c r="B14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BA14" i="5"/>
  <c r="BB14" i="5"/>
  <c r="CP14" i="5"/>
  <c r="CQ14" i="5"/>
  <c r="CR14" i="5"/>
  <c r="CS14" i="5"/>
  <c r="CT14" i="5"/>
  <c r="CU14" i="5"/>
  <c r="CV14" i="5"/>
  <c r="CW14" i="5"/>
  <c r="CX14" i="5"/>
  <c r="CY14" i="5"/>
  <c r="CZ14" i="5"/>
  <c r="DA14" i="5"/>
  <c r="DB14" i="5"/>
  <c r="DC14" i="5"/>
  <c r="DD14" i="5"/>
  <c r="DE14" i="5"/>
  <c r="DF14" i="5"/>
  <c r="DG14" i="5"/>
  <c r="DH14" i="5"/>
  <c r="DI14" i="5"/>
  <c r="DJ14" i="5"/>
  <c r="DK14" i="5"/>
  <c r="DL14" i="5"/>
  <c r="DM14" i="5"/>
  <c r="DN14" i="5"/>
  <c r="DO14" i="5"/>
  <c r="DP14" i="5"/>
  <c r="DQ14" i="5"/>
  <c r="DR14" i="5"/>
  <c r="DS14" i="5"/>
  <c r="DT14" i="5"/>
  <c r="DU14" i="5"/>
  <c r="DV14" i="5"/>
  <c r="DW14" i="5"/>
  <c r="DX14" i="5"/>
  <c r="DY14" i="5"/>
  <c r="DZ14" i="5"/>
  <c r="EA14" i="5"/>
  <c r="EB14" i="5"/>
  <c r="EC14" i="5"/>
  <c r="ED14" i="5"/>
  <c r="EE14" i="5"/>
  <c r="EF14" i="5"/>
  <c r="EG14" i="5"/>
  <c r="EH14" i="5"/>
  <c r="EI14" i="5"/>
  <c r="EJ14" i="5"/>
  <c r="EK14" i="5"/>
  <c r="EL14" i="5"/>
  <c r="EM14" i="5"/>
  <c r="EN14" i="5"/>
  <c r="EO14" i="5"/>
  <c r="EP14" i="5"/>
  <c r="EQ14" i="5"/>
  <c r="ER14" i="5"/>
  <c r="A15" i="5"/>
  <c r="C16" i="6" s="1"/>
  <c r="B15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AY15" i="5"/>
  <c r="AZ15" i="5"/>
  <c r="BA15" i="5"/>
  <c r="BB15" i="5"/>
  <c r="CP15" i="5"/>
  <c r="CQ15" i="5"/>
  <c r="CR15" i="5"/>
  <c r="CS15" i="5"/>
  <c r="CT15" i="5"/>
  <c r="CU15" i="5"/>
  <c r="CV15" i="5"/>
  <c r="CW15" i="5"/>
  <c r="CX15" i="5"/>
  <c r="CY15" i="5"/>
  <c r="CZ15" i="5"/>
  <c r="DA15" i="5"/>
  <c r="DB15" i="5"/>
  <c r="DC15" i="5"/>
  <c r="DD15" i="5"/>
  <c r="DE15" i="5"/>
  <c r="DF15" i="5"/>
  <c r="DG15" i="5"/>
  <c r="DH15" i="5"/>
  <c r="DI15" i="5"/>
  <c r="DJ15" i="5"/>
  <c r="DK15" i="5"/>
  <c r="DL15" i="5"/>
  <c r="DM15" i="5"/>
  <c r="DN15" i="5"/>
  <c r="DO15" i="5"/>
  <c r="DP15" i="5"/>
  <c r="DQ15" i="5"/>
  <c r="DR15" i="5"/>
  <c r="DS15" i="5"/>
  <c r="DT15" i="5"/>
  <c r="DU15" i="5"/>
  <c r="DV15" i="5"/>
  <c r="DW15" i="5"/>
  <c r="DX15" i="5"/>
  <c r="DY15" i="5"/>
  <c r="DZ15" i="5"/>
  <c r="EA15" i="5"/>
  <c r="EB15" i="5"/>
  <c r="EC15" i="5"/>
  <c r="ED15" i="5"/>
  <c r="EE15" i="5"/>
  <c r="EF15" i="5"/>
  <c r="EG15" i="5"/>
  <c r="EH15" i="5"/>
  <c r="EI15" i="5"/>
  <c r="EJ15" i="5"/>
  <c r="EK15" i="5"/>
  <c r="EL15" i="5"/>
  <c r="EM15" i="5"/>
  <c r="EN15" i="5"/>
  <c r="EO15" i="5"/>
  <c r="EP15" i="5"/>
  <c r="EQ15" i="5"/>
  <c r="ER15" i="5"/>
  <c r="A16" i="5"/>
  <c r="C17" i="6" s="1"/>
  <c r="B16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AS16" i="5"/>
  <c r="AT16" i="5"/>
  <c r="AU16" i="5"/>
  <c r="AV16" i="5"/>
  <c r="AW16" i="5"/>
  <c r="AX16" i="5"/>
  <c r="AY16" i="5"/>
  <c r="AZ16" i="5"/>
  <c r="BA16" i="5"/>
  <c r="BB16" i="5"/>
  <c r="CP16" i="5"/>
  <c r="CQ16" i="5"/>
  <c r="CR16" i="5"/>
  <c r="CS16" i="5"/>
  <c r="CT16" i="5"/>
  <c r="CU16" i="5"/>
  <c r="CV16" i="5"/>
  <c r="CW16" i="5"/>
  <c r="CX16" i="5"/>
  <c r="CY16" i="5"/>
  <c r="CZ16" i="5"/>
  <c r="DA16" i="5"/>
  <c r="DB16" i="5"/>
  <c r="DC16" i="5"/>
  <c r="DD16" i="5"/>
  <c r="DE16" i="5"/>
  <c r="DF16" i="5"/>
  <c r="DG16" i="5"/>
  <c r="DH16" i="5"/>
  <c r="DI16" i="5"/>
  <c r="DJ16" i="5"/>
  <c r="DK16" i="5"/>
  <c r="DL16" i="5"/>
  <c r="DM16" i="5"/>
  <c r="DN16" i="5"/>
  <c r="DO16" i="5"/>
  <c r="DP16" i="5"/>
  <c r="DQ16" i="5"/>
  <c r="DR16" i="5"/>
  <c r="DS16" i="5"/>
  <c r="DT16" i="5"/>
  <c r="DU16" i="5"/>
  <c r="DV16" i="5"/>
  <c r="DW16" i="5"/>
  <c r="DX16" i="5"/>
  <c r="DY16" i="5"/>
  <c r="DZ16" i="5"/>
  <c r="EA16" i="5"/>
  <c r="EB16" i="5"/>
  <c r="EC16" i="5"/>
  <c r="ED16" i="5"/>
  <c r="EE16" i="5"/>
  <c r="EF16" i="5"/>
  <c r="EG16" i="5"/>
  <c r="EH16" i="5"/>
  <c r="EI16" i="5"/>
  <c r="EJ16" i="5"/>
  <c r="EK16" i="5"/>
  <c r="EL16" i="5"/>
  <c r="EM16" i="5"/>
  <c r="EN16" i="5"/>
  <c r="EO16" i="5"/>
  <c r="EP16" i="5"/>
  <c r="EQ16" i="5"/>
  <c r="ER16" i="5"/>
  <c r="A17" i="5"/>
  <c r="C24" i="6" s="1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CP17" i="5"/>
  <c r="CQ17" i="5"/>
  <c r="CR17" i="5"/>
  <c r="CS17" i="5"/>
  <c r="CT17" i="5"/>
  <c r="CU17" i="5"/>
  <c r="CV17" i="5"/>
  <c r="CW17" i="5"/>
  <c r="CX17" i="5"/>
  <c r="CY17" i="5"/>
  <c r="CZ17" i="5"/>
  <c r="DA17" i="5"/>
  <c r="DB17" i="5"/>
  <c r="DC17" i="5"/>
  <c r="DD17" i="5"/>
  <c r="DE17" i="5"/>
  <c r="DF17" i="5"/>
  <c r="DG17" i="5"/>
  <c r="DH17" i="5"/>
  <c r="DI17" i="5"/>
  <c r="DJ17" i="5"/>
  <c r="DK17" i="5"/>
  <c r="DL17" i="5"/>
  <c r="DM17" i="5"/>
  <c r="DN17" i="5"/>
  <c r="DO17" i="5"/>
  <c r="DP17" i="5"/>
  <c r="DQ17" i="5"/>
  <c r="DR17" i="5"/>
  <c r="DS17" i="5"/>
  <c r="DT17" i="5"/>
  <c r="DU17" i="5"/>
  <c r="DV17" i="5"/>
  <c r="DW17" i="5"/>
  <c r="DX17" i="5"/>
  <c r="DY17" i="5"/>
  <c r="DZ17" i="5"/>
  <c r="EA17" i="5"/>
  <c r="EB17" i="5"/>
  <c r="EC17" i="5"/>
  <c r="ED17" i="5"/>
  <c r="EE17" i="5"/>
  <c r="EF17" i="5"/>
  <c r="EG17" i="5"/>
  <c r="EH17" i="5"/>
  <c r="EI17" i="5"/>
  <c r="EJ17" i="5"/>
  <c r="EK17" i="5"/>
  <c r="EL17" i="5"/>
  <c r="EM17" i="5"/>
  <c r="EN17" i="5"/>
  <c r="EO17" i="5"/>
  <c r="EP17" i="5"/>
  <c r="EQ17" i="5"/>
  <c r="ER17" i="5"/>
  <c r="A18" i="5"/>
  <c r="C18" i="6" s="1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CP18" i="5"/>
  <c r="CQ18" i="5"/>
  <c r="CR18" i="5"/>
  <c r="CS18" i="5"/>
  <c r="CT18" i="5"/>
  <c r="CU18" i="5"/>
  <c r="CV18" i="5"/>
  <c r="CW18" i="5"/>
  <c r="CX18" i="5"/>
  <c r="CY18" i="5"/>
  <c r="CZ18" i="5"/>
  <c r="DA18" i="5"/>
  <c r="DB18" i="5"/>
  <c r="DC18" i="5"/>
  <c r="DD18" i="5"/>
  <c r="DE18" i="5"/>
  <c r="DF18" i="5"/>
  <c r="DG18" i="5"/>
  <c r="DH18" i="5"/>
  <c r="DI18" i="5"/>
  <c r="DJ18" i="5"/>
  <c r="DK18" i="5"/>
  <c r="DL18" i="5"/>
  <c r="DM18" i="5"/>
  <c r="DN18" i="5"/>
  <c r="DO18" i="5"/>
  <c r="DP18" i="5"/>
  <c r="DQ18" i="5"/>
  <c r="DR18" i="5"/>
  <c r="DS18" i="5"/>
  <c r="DT18" i="5"/>
  <c r="DU18" i="5"/>
  <c r="DV18" i="5"/>
  <c r="DW18" i="5"/>
  <c r="DX18" i="5"/>
  <c r="DY18" i="5"/>
  <c r="DZ18" i="5"/>
  <c r="EA18" i="5"/>
  <c r="EB18" i="5"/>
  <c r="EC18" i="5"/>
  <c r="ED18" i="5"/>
  <c r="EE18" i="5"/>
  <c r="EF18" i="5"/>
  <c r="EG18" i="5"/>
  <c r="EH18" i="5"/>
  <c r="EI18" i="5"/>
  <c r="EJ18" i="5"/>
  <c r="EK18" i="5"/>
  <c r="EL18" i="5"/>
  <c r="EM18" i="5"/>
  <c r="EN18" i="5"/>
  <c r="EO18" i="5"/>
  <c r="EP18" i="5"/>
  <c r="EQ18" i="5"/>
  <c r="ER18" i="5"/>
  <c r="A19" i="5"/>
  <c r="C19" i="6" s="1"/>
  <c r="B19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AX19" i="5"/>
  <c r="AY19" i="5"/>
  <c r="AZ19" i="5"/>
  <c r="BA19" i="5"/>
  <c r="BB19" i="5"/>
  <c r="CP19" i="5"/>
  <c r="CQ19" i="5"/>
  <c r="CR19" i="5"/>
  <c r="CS19" i="5"/>
  <c r="CT19" i="5"/>
  <c r="CU19" i="5"/>
  <c r="CV19" i="5"/>
  <c r="CW19" i="5"/>
  <c r="CX19" i="5"/>
  <c r="CY19" i="5"/>
  <c r="CZ19" i="5"/>
  <c r="DA19" i="5"/>
  <c r="DB19" i="5"/>
  <c r="DC19" i="5"/>
  <c r="DD19" i="5"/>
  <c r="DE19" i="5"/>
  <c r="DF19" i="5"/>
  <c r="DG19" i="5"/>
  <c r="DH19" i="5"/>
  <c r="DI19" i="5"/>
  <c r="DJ19" i="5"/>
  <c r="DK19" i="5"/>
  <c r="DL19" i="5"/>
  <c r="DM19" i="5"/>
  <c r="DN19" i="5"/>
  <c r="DO19" i="5"/>
  <c r="DP19" i="5"/>
  <c r="DQ19" i="5"/>
  <c r="DR19" i="5"/>
  <c r="DS19" i="5"/>
  <c r="DT19" i="5"/>
  <c r="DU19" i="5"/>
  <c r="DV19" i="5"/>
  <c r="DW19" i="5"/>
  <c r="DX19" i="5"/>
  <c r="DY19" i="5"/>
  <c r="DZ19" i="5"/>
  <c r="EA19" i="5"/>
  <c r="EB19" i="5"/>
  <c r="EC19" i="5"/>
  <c r="ED19" i="5"/>
  <c r="EE19" i="5"/>
  <c r="EF19" i="5"/>
  <c r="EG19" i="5"/>
  <c r="EH19" i="5"/>
  <c r="EI19" i="5"/>
  <c r="EJ19" i="5"/>
  <c r="EK19" i="5"/>
  <c r="EL19" i="5"/>
  <c r="EM19" i="5"/>
  <c r="EN19" i="5"/>
  <c r="EO19" i="5"/>
  <c r="EP19" i="5"/>
  <c r="EQ19" i="5"/>
  <c r="ER19" i="5"/>
  <c r="A20" i="5"/>
  <c r="C20" i="6" s="1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AZ20" i="5"/>
  <c r="BA20" i="5"/>
  <c r="BB20" i="5"/>
  <c r="CP20" i="5"/>
  <c r="CQ20" i="5"/>
  <c r="CR20" i="5"/>
  <c r="CS20" i="5"/>
  <c r="CT20" i="5"/>
  <c r="CU20" i="5"/>
  <c r="CV20" i="5"/>
  <c r="CW20" i="5"/>
  <c r="CX20" i="5"/>
  <c r="CY20" i="5"/>
  <c r="CZ20" i="5"/>
  <c r="DA20" i="5"/>
  <c r="DB20" i="5"/>
  <c r="DC20" i="5"/>
  <c r="DD20" i="5"/>
  <c r="DE20" i="5"/>
  <c r="DF20" i="5"/>
  <c r="DG20" i="5"/>
  <c r="DH20" i="5"/>
  <c r="DI20" i="5"/>
  <c r="DJ20" i="5"/>
  <c r="DK20" i="5"/>
  <c r="DL20" i="5"/>
  <c r="DM20" i="5"/>
  <c r="DN20" i="5"/>
  <c r="DO20" i="5"/>
  <c r="DP20" i="5"/>
  <c r="DQ20" i="5"/>
  <c r="DR20" i="5"/>
  <c r="DS20" i="5"/>
  <c r="DT20" i="5"/>
  <c r="DU20" i="5"/>
  <c r="DV20" i="5"/>
  <c r="DW20" i="5"/>
  <c r="DX20" i="5"/>
  <c r="DY20" i="5"/>
  <c r="DZ20" i="5"/>
  <c r="EA20" i="5"/>
  <c r="EB20" i="5"/>
  <c r="EC20" i="5"/>
  <c r="ED20" i="5"/>
  <c r="EE20" i="5"/>
  <c r="EF20" i="5"/>
  <c r="EG20" i="5"/>
  <c r="EH20" i="5"/>
  <c r="EI20" i="5"/>
  <c r="EJ20" i="5"/>
  <c r="EK20" i="5"/>
  <c r="EL20" i="5"/>
  <c r="EM20" i="5"/>
  <c r="EN20" i="5"/>
  <c r="EO20" i="5"/>
  <c r="EP20" i="5"/>
  <c r="EQ20" i="5"/>
  <c r="ER20" i="5"/>
  <c r="A21" i="5"/>
  <c r="C21" i="6" s="1"/>
  <c r="B21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AS21" i="5"/>
  <c r="AT21" i="5"/>
  <c r="AU21" i="5"/>
  <c r="AV21" i="5"/>
  <c r="AW21" i="5"/>
  <c r="AX21" i="5"/>
  <c r="AY21" i="5"/>
  <c r="AZ21" i="5"/>
  <c r="BA21" i="5"/>
  <c r="BB21" i="5"/>
  <c r="CP21" i="5"/>
  <c r="CQ21" i="5"/>
  <c r="CR21" i="5"/>
  <c r="CS21" i="5"/>
  <c r="CT21" i="5"/>
  <c r="CU21" i="5"/>
  <c r="CV21" i="5"/>
  <c r="CW21" i="5"/>
  <c r="CX21" i="5"/>
  <c r="CY21" i="5"/>
  <c r="CZ21" i="5"/>
  <c r="DA21" i="5"/>
  <c r="DB21" i="5"/>
  <c r="DC21" i="5"/>
  <c r="DD21" i="5"/>
  <c r="DE21" i="5"/>
  <c r="DF21" i="5"/>
  <c r="DG21" i="5"/>
  <c r="DH21" i="5"/>
  <c r="DI21" i="5"/>
  <c r="DJ21" i="5"/>
  <c r="DK21" i="5"/>
  <c r="DL21" i="5"/>
  <c r="DM21" i="5"/>
  <c r="DN21" i="5"/>
  <c r="DO21" i="5"/>
  <c r="DP21" i="5"/>
  <c r="DQ21" i="5"/>
  <c r="DR21" i="5"/>
  <c r="DS21" i="5"/>
  <c r="DT21" i="5"/>
  <c r="DU21" i="5"/>
  <c r="DV21" i="5"/>
  <c r="DW21" i="5"/>
  <c r="DX21" i="5"/>
  <c r="DY21" i="5"/>
  <c r="DZ21" i="5"/>
  <c r="EA21" i="5"/>
  <c r="EB21" i="5"/>
  <c r="EC21" i="5"/>
  <c r="ED21" i="5"/>
  <c r="EE21" i="5"/>
  <c r="EF21" i="5"/>
  <c r="EG21" i="5"/>
  <c r="EH21" i="5"/>
  <c r="EI21" i="5"/>
  <c r="EJ21" i="5"/>
  <c r="EK21" i="5"/>
  <c r="EL21" i="5"/>
  <c r="EM21" i="5"/>
  <c r="EN21" i="5"/>
  <c r="EO21" i="5"/>
  <c r="EP21" i="5"/>
  <c r="EQ21" i="5"/>
  <c r="ER21" i="5"/>
  <c r="A22" i="5"/>
  <c r="C22" i="6" s="1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R22" i="5"/>
  <c r="AS22" i="5"/>
  <c r="AT22" i="5"/>
  <c r="AU22" i="5"/>
  <c r="AV22" i="5"/>
  <c r="AW22" i="5"/>
  <c r="AX22" i="5"/>
  <c r="AY22" i="5"/>
  <c r="AZ22" i="5"/>
  <c r="BA22" i="5"/>
  <c r="BB22" i="5"/>
  <c r="CP22" i="5"/>
  <c r="CQ22" i="5"/>
  <c r="CR22" i="5"/>
  <c r="CS22" i="5"/>
  <c r="CT22" i="5"/>
  <c r="CU22" i="5"/>
  <c r="CV22" i="5"/>
  <c r="CW22" i="5"/>
  <c r="CX22" i="5"/>
  <c r="CY22" i="5"/>
  <c r="CZ22" i="5"/>
  <c r="DA22" i="5"/>
  <c r="DB22" i="5"/>
  <c r="DC22" i="5"/>
  <c r="DD22" i="5"/>
  <c r="DE22" i="5"/>
  <c r="DF22" i="5"/>
  <c r="DG22" i="5"/>
  <c r="DH22" i="5"/>
  <c r="DI22" i="5"/>
  <c r="DJ22" i="5"/>
  <c r="DK22" i="5"/>
  <c r="DL22" i="5"/>
  <c r="DM22" i="5"/>
  <c r="DN22" i="5"/>
  <c r="DO22" i="5"/>
  <c r="DP22" i="5"/>
  <c r="DQ22" i="5"/>
  <c r="DR22" i="5"/>
  <c r="DS22" i="5"/>
  <c r="DT22" i="5"/>
  <c r="DU22" i="5"/>
  <c r="DV22" i="5"/>
  <c r="DW22" i="5"/>
  <c r="DX22" i="5"/>
  <c r="DY22" i="5"/>
  <c r="DZ22" i="5"/>
  <c r="EA22" i="5"/>
  <c r="EB22" i="5"/>
  <c r="EC22" i="5"/>
  <c r="ED22" i="5"/>
  <c r="EE22" i="5"/>
  <c r="EF22" i="5"/>
  <c r="EG22" i="5"/>
  <c r="EH22" i="5"/>
  <c r="EI22" i="5"/>
  <c r="EJ22" i="5"/>
  <c r="EK22" i="5"/>
  <c r="EL22" i="5"/>
  <c r="EM22" i="5"/>
  <c r="EN22" i="5"/>
  <c r="EO22" i="5"/>
  <c r="EP22" i="5"/>
  <c r="EQ22" i="5"/>
  <c r="ER22" i="5"/>
  <c r="A23" i="5"/>
  <c r="C23" i="6" s="1"/>
  <c r="B23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AT23" i="5"/>
  <c r="AU23" i="5"/>
  <c r="AV23" i="5"/>
  <c r="AW23" i="5"/>
  <c r="AX23" i="5"/>
  <c r="AY23" i="5"/>
  <c r="AZ23" i="5"/>
  <c r="BA23" i="5"/>
  <c r="BB23" i="5"/>
  <c r="CP23" i="5"/>
  <c r="CQ23" i="5"/>
  <c r="CR23" i="5"/>
  <c r="CS23" i="5"/>
  <c r="CT23" i="5"/>
  <c r="CU23" i="5"/>
  <c r="CV23" i="5"/>
  <c r="CW23" i="5"/>
  <c r="CX23" i="5"/>
  <c r="CY23" i="5"/>
  <c r="CZ23" i="5"/>
  <c r="DA23" i="5"/>
  <c r="DB23" i="5"/>
  <c r="DC23" i="5"/>
  <c r="DD23" i="5"/>
  <c r="DE23" i="5"/>
  <c r="DF23" i="5"/>
  <c r="DG23" i="5"/>
  <c r="DH23" i="5"/>
  <c r="DI23" i="5"/>
  <c r="DJ23" i="5"/>
  <c r="DK23" i="5"/>
  <c r="DL23" i="5"/>
  <c r="DM23" i="5"/>
  <c r="DN23" i="5"/>
  <c r="DO23" i="5"/>
  <c r="DP23" i="5"/>
  <c r="DQ23" i="5"/>
  <c r="DR23" i="5"/>
  <c r="DS23" i="5"/>
  <c r="DT23" i="5"/>
  <c r="DU23" i="5"/>
  <c r="DV23" i="5"/>
  <c r="DW23" i="5"/>
  <c r="DX23" i="5"/>
  <c r="DY23" i="5"/>
  <c r="DZ23" i="5"/>
  <c r="EA23" i="5"/>
  <c r="EB23" i="5"/>
  <c r="EC23" i="5"/>
  <c r="ED23" i="5"/>
  <c r="EE23" i="5"/>
  <c r="EF23" i="5"/>
  <c r="EG23" i="5"/>
  <c r="EH23" i="5"/>
  <c r="EI23" i="5"/>
  <c r="EJ23" i="5"/>
  <c r="EK23" i="5"/>
  <c r="EL23" i="5"/>
  <c r="EM23" i="5"/>
  <c r="EN23" i="5"/>
  <c r="EO23" i="5"/>
  <c r="EP23" i="5"/>
  <c r="EQ23" i="5"/>
  <c r="ER23" i="5"/>
  <c r="A24" i="5"/>
  <c r="C25" i="6" s="1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R24" i="5"/>
  <c r="AS24" i="5"/>
  <c r="AT24" i="5"/>
  <c r="AU24" i="5"/>
  <c r="AV24" i="5"/>
  <c r="AW24" i="5"/>
  <c r="AX24" i="5"/>
  <c r="AY24" i="5"/>
  <c r="AZ24" i="5"/>
  <c r="BA24" i="5"/>
  <c r="BB24" i="5"/>
  <c r="CP24" i="5"/>
  <c r="CQ24" i="5"/>
  <c r="CR24" i="5"/>
  <c r="CS24" i="5"/>
  <c r="CT24" i="5"/>
  <c r="CU24" i="5"/>
  <c r="CV24" i="5"/>
  <c r="CW24" i="5"/>
  <c r="CX24" i="5"/>
  <c r="CY24" i="5"/>
  <c r="CZ24" i="5"/>
  <c r="DA24" i="5"/>
  <c r="DB24" i="5"/>
  <c r="DC24" i="5"/>
  <c r="DD24" i="5"/>
  <c r="DE24" i="5"/>
  <c r="DF24" i="5"/>
  <c r="DG24" i="5"/>
  <c r="DH24" i="5"/>
  <c r="DI24" i="5"/>
  <c r="DJ24" i="5"/>
  <c r="DK24" i="5"/>
  <c r="DL24" i="5"/>
  <c r="DM24" i="5"/>
  <c r="DN24" i="5"/>
  <c r="DO24" i="5"/>
  <c r="DP24" i="5"/>
  <c r="DQ24" i="5"/>
  <c r="DR24" i="5"/>
  <c r="DS24" i="5"/>
  <c r="DT24" i="5"/>
  <c r="DU24" i="5"/>
  <c r="DV24" i="5"/>
  <c r="DW24" i="5"/>
  <c r="DX24" i="5"/>
  <c r="DY24" i="5"/>
  <c r="DZ24" i="5"/>
  <c r="EA24" i="5"/>
  <c r="EB24" i="5"/>
  <c r="EC24" i="5"/>
  <c r="ED24" i="5"/>
  <c r="EE24" i="5"/>
  <c r="EF24" i="5"/>
  <c r="EG24" i="5"/>
  <c r="EH24" i="5"/>
  <c r="EI24" i="5"/>
  <c r="EJ24" i="5"/>
  <c r="EK24" i="5"/>
  <c r="EL24" i="5"/>
  <c r="EM24" i="5"/>
  <c r="EN24" i="5"/>
  <c r="EO24" i="5"/>
  <c r="EP24" i="5"/>
  <c r="EQ24" i="5"/>
  <c r="ER24" i="5"/>
  <c r="A25" i="5"/>
  <c r="C26" i="6" s="1"/>
  <c r="B25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Y25" i="5"/>
  <c r="AZ25" i="5"/>
  <c r="BA25" i="5"/>
  <c r="BB25" i="5"/>
  <c r="CP25" i="5"/>
  <c r="CQ25" i="5"/>
  <c r="CR25" i="5"/>
  <c r="CS25" i="5"/>
  <c r="CT25" i="5"/>
  <c r="CU25" i="5"/>
  <c r="CV25" i="5"/>
  <c r="CW25" i="5"/>
  <c r="CX25" i="5"/>
  <c r="CY25" i="5"/>
  <c r="CZ25" i="5"/>
  <c r="DA25" i="5"/>
  <c r="DB25" i="5"/>
  <c r="DC25" i="5"/>
  <c r="DD25" i="5"/>
  <c r="DE25" i="5"/>
  <c r="DF25" i="5"/>
  <c r="DG25" i="5"/>
  <c r="DH25" i="5"/>
  <c r="DI25" i="5"/>
  <c r="DJ25" i="5"/>
  <c r="DK25" i="5"/>
  <c r="DL25" i="5"/>
  <c r="DM25" i="5"/>
  <c r="DN25" i="5"/>
  <c r="DO25" i="5"/>
  <c r="DP25" i="5"/>
  <c r="DQ25" i="5"/>
  <c r="DR25" i="5"/>
  <c r="DS25" i="5"/>
  <c r="DT25" i="5"/>
  <c r="DU25" i="5"/>
  <c r="DV25" i="5"/>
  <c r="DW25" i="5"/>
  <c r="DX25" i="5"/>
  <c r="DY25" i="5"/>
  <c r="DZ25" i="5"/>
  <c r="EA25" i="5"/>
  <c r="EB25" i="5"/>
  <c r="EC25" i="5"/>
  <c r="ED25" i="5"/>
  <c r="EE25" i="5"/>
  <c r="EF25" i="5"/>
  <c r="EG25" i="5"/>
  <c r="EH25" i="5"/>
  <c r="EI25" i="5"/>
  <c r="EJ25" i="5"/>
  <c r="EK25" i="5"/>
  <c r="EL25" i="5"/>
  <c r="EM25" i="5"/>
  <c r="EN25" i="5"/>
  <c r="EO25" i="5"/>
  <c r="EP25" i="5"/>
  <c r="EQ25" i="5"/>
  <c r="ER25" i="5"/>
  <c r="A26" i="5"/>
  <c r="C27" i="6" s="1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AY26" i="5"/>
  <c r="AZ26" i="5"/>
  <c r="BA26" i="5"/>
  <c r="BB26" i="5"/>
  <c r="CP26" i="5"/>
  <c r="CQ26" i="5"/>
  <c r="CR26" i="5"/>
  <c r="CS26" i="5"/>
  <c r="CT26" i="5"/>
  <c r="CU26" i="5"/>
  <c r="CV26" i="5"/>
  <c r="CW26" i="5"/>
  <c r="CX26" i="5"/>
  <c r="CY26" i="5"/>
  <c r="CZ26" i="5"/>
  <c r="DA26" i="5"/>
  <c r="DB26" i="5"/>
  <c r="DC26" i="5"/>
  <c r="DD26" i="5"/>
  <c r="DE26" i="5"/>
  <c r="DF26" i="5"/>
  <c r="DG26" i="5"/>
  <c r="DH26" i="5"/>
  <c r="DI26" i="5"/>
  <c r="DJ26" i="5"/>
  <c r="DK26" i="5"/>
  <c r="DL26" i="5"/>
  <c r="DM26" i="5"/>
  <c r="DN26" i="5"/>
  <c r="DO26" i="5"/>
  <c r="DP26" i="5"/>
  <c r="DQ26" i="5"/>
  <c r="DR26" i="5"/>
  <c r="DS26" i="5"/>
  <c r="DT26" i="5"/>
  <c r="DU26" i="5"/>
  <c r="DV26" i="5"/>
  <c r="DW26" i="5"/>
  <c r="DX26" i="5"/>
  <c r="DY26" i="5"/>
  <c r="DZ26" i="5"/>
  <c r="EA26" i="5"/>
  <c r="EB26" i="5"/>
  <c r="EC26" i="5"/>
  <c r="ED26" i="5"/>
  <c r="EE26" i="5"/>
  <c r="EF26" i="5"/>
  <c r="EG26" i="5"/>
  <c r="EH26" i="5"/>
  <c r="EI26" i="5"/>
  <c r="EJ26" i="5"/>
  <c r="EK26" i="5"/>
  <c r="EL26" i="5"/>
  <c r="EM26" i="5"/>
  <c r="EN26" i="5"/>
  <c r="EO26" i="5"/>
  <c r="EP26" i="5"/>
  <c r="EQ26" i="5"/>
  <c r="ER26" i="5"/>
  <c r="A27" i="5"/>
  <c r="C28" i="6" s="1"/>
  <c r="B27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S27" i="5"/>
  <c r="AT27" i="5"/>
  <c r="AU27" i="5"/>
  <c r="AV27" i="5"/>
  <c r="AW27" i="5"/>
  <c r="AX27" i="5"/>
  <c r="AY27" i="5"/>
  <c r="AZ27" i="5"/>
  <c r="BA27" i="5"/>
  <c r="BB27" i="5"/>
  <c r="CP27" i="5"/>
  <c r="CQ27" i="5"/>
  <c r="CR27" i="5"/>
  <c r="CS27" i="5"/>
  <c r="CT27" i="5"/>
  <c r="CU27" i="5"/>
  <c r="CV27" i="5"/>
  <c r="CW27" i="5"/>
  <c r="CX27" i="5"/>
  <c r="CY27" i="5"/>
  <c r="CZ27" i="5"/>
  <c r="DA27" i="5"/>
  <c r="DB27" i="5"/>
  <c r="DC27" i="5"/>
  <c r="DD27" i="5"/>
  <c r="DE27" i="5"/>
  <c r="DF27" i="5"/>
  <c r="DG27" i="5"/>
  <c r="DH27" i="5"/>
  <c r="DI27" i="5"/>
  <c r="DJ27" i="5"/>
  <c r="DK27" i="5"/>
  <c r="DL27" i="5"/>
  <c r="DM27" i="5"/>
  <c r="DN27" i="5"/>
  <c r="DO27" i="5"/>
  <c r="DP27" i="5"/>
  <c r="DQ27" i="5"/>
  <c r="DR27" i="5"/>
  <c r="DS27" i="5"/>
  <c r="DT27" i="5"/>
  <c r="DU27" i="5"/>
  <c r="DV27" i="5"/>
  <c r="DW27" i="5"/>
  <c r="DX27" i="5"/>
  <c r="DY27" i="5"/>
  <c r="DZ27" i="5"/>
  <c r="EA27" i="5"/>
  <c r="EB27" i="5"/>
  <c r="EC27" i="5"/>
  <c r="ED27" i="5"/>
  <c r="EE27" i="5"/>
  <c r="EF27" i="5"/>
  <c r="EG27" i="5"/>
  <c r="EH27" i="5"/>
  <c r="EI27" i="5"/>
  <c r="EJ27" i="5"/>
  <c r="EK27" i="5"/>
  <c r="EL27" i="5"/>
  <c r="EM27" i="5"/>
  <c r="EN27" i="5"/>
  <c r="EO27" i="5"/>
  <c r="EP27" i="5"/>
  <c r="EQ27" i="5"/>
  <c r="ER27" i="5"/>
  <c r="A28" i="5"/>
  <c r="C29" i="6" s="1"/>
  <c r="B28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R28" i="5"/>
  <c r="AS28" i="5"/>
  <c r="AT28" i="5"/>
  <c r="AU28" i="5"/>
  <c r="AV28" i="5"/>
  <c r="AW28" i="5"/>
  <c r="AX28" i="5"/>
  <c r="AY28" i="5"/>
  <c r="AZ28" i="5"/>
  <c r="BA28" i="5"/>
  <c r="BB28" i="5"/>
  <c r="CP28" i="5"/>
  <c r="CQ28" i="5"/>
  <c r="CR28" i="5"/>
  <c r="CS28" i="5"/>
  <c r="CT28" i="5"/>
  <c r="CU28" i="5"/>
  <c r="CV28" i="5"/>
  <c r="CW28" i="5"/>
  <c r="CX28" i="5"/>
  <c r="CY28" i="5"/>
  <c r="CZ28" i="5"/>
  <c r="DA28" i="5"/>
  <c r="DB28" i="5"/>
  <c r="DC28" i="5"/>
  <c r="DD28" i="5"/>
  <c r="DE28" i="5"/>
  <c r="DF28" i="5"/>
  <c r="DG28" i="5"/>
  <c r="DH28" i="5"/>
  <c r="DI28" i="5"/>
  <c r="DJ28" i="5"/>
  <c r="DK28" i="5"/>
  <c r="DL28" i="5"/>
  <c r="DM28" i="5"/>
  <c r="DN28" i="5"/>
  <c r="DO28" i="5"/>
  <c r="DP28" i="5"/>
  <c r="DQ28" i="5"/>
  <c r="DR28" i="5"/>
  <c r="DS28" i="5"/>
  <c r="DT28" i="5"/>
  <c r="DU28" i="5"/>
  <c r="DV28" i="5"/>
  <c r="DW28" i="5"/>
  <c r="DX28" i="5"/>
  <c r="DY28" i="5"/>
  <c r="DZ28" i="5"/>
  <c r="EA28" i="5"/>
  <c r="EB28" i="5"/>
  <c r="EC28" i="5"/>
  <c r="ED28" i="5"/>
  <c r="EE28" i="5"/>
  <c r="EF28" i="5"/>
  <c r="EG28" i="5"/>
  <c r="EH28" i="5"/>
  <c r="EI28" i="5"/>
  <c r="EJ28" i="5"/>
  <c r="EK28" i="5"/>
  <c r="EL28" i="5"/>
  <c r="EM28" i="5"/>
  <c r="EN28" i="5"/>
  <c r="EO28" i="5"/>
  <c r="EP28" i="5"/>
  <c r="EQ28" i="5"/>
  <c r="ER28" i="5"/>
  <c r="A29" i="5"/>
  <c r="C30" i="6" s="1"/>
  <c r="B29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D29" i="5"/>
  <c r="AE29" i="5"/>
  <c r="AF29" i="5"/>
  <c r="AG29" i="5"/>
  <c r="AH29" i="5"/>
  <c r="AI29" i="5"/>
  <c r="AJ29" i="5"/>
  <c r="AK29" i="5"/>
  <c r="AL29" i="5"/>
  <c r="AM29" i="5"/>
  <c r="AN29" i="5"/>
  <c r="AO29" i="5"/>
  <c r="AP29" i="5"/>
  <c r="AQ29" i="5"/>
  <c r="AR29" i="5"/>
  <c r="AS29" i="5"/>
  <c r="AT29" i="5"/>
  <c r="AU29" i="5"/>
  <c r="AV29" i="5"/>
  <c r="AW29" i="5"/>
  <c r="AX29" i="5"/>
  <c r="AY29" i="5"/>
  <c r="AZ29" i="5"/>
  <c r="BA29" i="5"/>
  <c r="BB29" i="5"/>
  <c r="CP29" i="5"/>
  <c r="CQ29" i="5"/>
  <c r="CR29" i="5"/>
  <c r="CS29" i="5"/>
  <c r="CT29" i="5"/>
  <c r="CU29" i="5"/>
  <c r="CV29" i="5"/>
  <c r="CW29" i="5"/>
  <c r="CX29" i="5"/>
  <c r="CY29" i="5"/>
  <c r="CZ29" i="5"/>
  <c r="DA29" i="5"/>
  <c r="DB29" i="5"/>
  <c r="DC29" i="5"/>
  <c r="DD29" i="5"/>
  <c r="DE29" i="5"/>
  <c r="DF29" i="5"/>
  <c r="DG29" i="5"/>
  <c r="DH29" i="5"/>
  <c r="DI29" i="5"/>
  <c r="DJ29" i="5"/>
  <c r="DK29" i="5"/>
  <c r="DL29" i="5"/>
  <c r="DM29" i="5"/>
  <c r="DN29" i="5"/>
  <c r="DO29" i="5"/>
  <c r="DP29" i="5"/>
  <c r="DQ29" i="5"/>
  <c r="DR29" i="5"/>
  <c r="DS29" i="5"/>
  <c r="DT29" i="5"/>
  <c r="DU29" i="5"/>
  <c r="DV29" i="5"/>
  <c r="DW29" i="5"/>
  <c r="DX29" i="5"/>
  <c r="DY29" i="5"/>
  <c r="DZ29" i="5"/>
  <c r="EA29" i="5"/>
  <c r="EB29" i="5"/>
  <c r="EC29" i="5"/>
  <c r="ED29" i="5"/>
  <c r="EE29" i="5"/>
  <c r="EF29" i="5"/>
  <c r="EG29" i="5"/>
  <c r="EH29" i="5"/>
  <c r="EI29" i="5"/>
  <c r="EJ29" i="5"/>
  <c r="EK29" i="5"/>
  <c r="EL29" i="5"/>
  <c r="EM29" i="5"/>
  <c r="EN29" i="5"/>
  <c r="EO29" i="5"/>
  <c r="EP29" i="5"/>
  <c r="EQ29" i="5"/>
  <c r="ER29" i="5"/>
  <c r="A30" i="5"/>
  <c r="C31" i="6" s="1"/>
  <c r="B30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D30" i="5"/>
  <c r="AE30" i="5"/>
  <c r="AF30" i="5"/>
  <c r="AG30" i="5"/>
  <c r="AH30" i="5"/>
  <c r="AI30" i="5"/>
  <c r="AJ30" i="5"/>
  <c r="AK30" i="5"/>
  <c r="AL30" i="5"/>
  <c r="AM30" i="5"/>
  <c r="AN30" i="5"/>
  <c r="AO30" i="5"/>
  <c r="AP30" i="5"/>
  <c r="AQ30" i="5"/>
  <c r="AR30" i="5"/>
  <c r="AS30" i="5"/>
  <c r="AT30" i="5"/>
  <c r="AU30" i="5"/>
  <c r="AV30" i="5"/>
  <c r="AW30" i="5"/>
  <c r="AX30" i="5"/>
  <c r="AY30" i="5"/>
  <c r="AZ30" i="5"/>
  <c r="BA30" i="5"/>
  <c r="BB30" i="5"/>
  <c r="CP30" i="5"/>
  <c r="CQ30" i="5"/>
  <c r="CR30" i="5"/>
  <c r="CS30" i="5"/>
  <c r="CT30" i="5"/>
  <c r="CU30" i="5"/>
  <c r="CV30" i="5"/>
  <c r="CW30" i="5"/>
  <c r="CX30" i="5"/>
  <c r="CY30" i="5"/>
  <c r="CZ30" i="5"/>
  <c r="DA30" i="5"/>
  <c r="DB30" i="5"/>
  <c r="DC30" i="5"/>
  <c r="DD30" i="5"/>
  <c r="DE30" i="5"/>
  <c r="DF30" i="5"/>
  <c r="DG30" i="5"/>
  <c r="DH30" i="5"/>
  <c r="DI30" i="5"/>
  <c r="DJ30" i="5"/>
  <c r="DK30" i="5"/>
  <c r="DL30" i="5"/>
  <c r="DM30" i="5"/>
  <c r="DN30" i="5"/>
  <c r="DO30" i="5"/>
  <c r="DP30" i="5"/>
  <c r="DQ30" i="5"/>
  <c r="DR30" i="5"/>
  <c r="DS30" i="5"/>
  <c r="DT30" i="5"/>
  <c r="DU30" i="5"/>
  <c r="DV30" i="5"/>
  <c r="DW30" i="5"/>
  <c r="DX30" i="5"/>
  <c r="DY30" i="5"/>
  <c r="DZ30" i="5"/>
  <c r="EA30" i="5"/>
  <c r="EB30" i="5"/>
  <c r="EC30" i="5"/>
  <c r="ED30" i="5"/>
  <c r="EE30" i="5"/>
  <c r="EF30" i="5"/>
  <c r="EG30" i="5"/>
  <c r="EH30" i="5"/>
  <c r="EI30" i="5"/>
  <c r="EJ30" i="5"/>
  <c r="EK30" i="5"/>
  <c r="EL30" i="5"/>
  <c r="EM30" i="5"/>
  <c r="EN30" i="5"/>
  <c r="EO30" i="5"/>
  <c r="EP30" i="5"/>
  <c r="EQ30" i="5"/>
  <c r="ER30" i="5"/>
  <c r="A31" i="5"/>
  <c r="C32" i="6" s="1"/>
  <c r="B31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D31" i="5"/>
  <c r="AE31" i="5"/>
  <c r="AF31" i="5"/>
  <c r="AG31" i="5"/>
  <c r="AH31" i="5"/>
  <c r="AI31" i="5"/>
  <c r="AJ31" i="5"/>
  <c r="AK31" i="5"/>
  <c r="AL31" i="5"/>
  <c r="AM31" i="5"/>
  <c r="AN31" i="5"/>
  <c r="AO31" i="5"/>
  <c r="AP31" i="5"/>
  <c r="AQ31" i="5"/>
  <c r="AR31" i="5"/>
  <c r="AS31" i="5"/>
  <c r="AT31" i="5"/>
  <c r="AU31" i="5"/>
  <c r="AV31" i="5"/>
  <c r="AW31" i="5"/>
  <c r="AX31" i="5"/>
  <c r="AY31" i="5"/>
  <c r="AZ31" i="5"/>
  <c r="BA31" i="5"/>
  <c r="BB31" i="5"/>
  <c r="CP31" i="5"/>
  <c r="CQ31" i="5"/>
  <c r="CR31" i="5"/>
  <c r="CS31" i="5"/>
  <c r="CT31" i="5"/>
  <c r="CU31" i="5"/>
  <c r="CV31" i="5"/>
  <c r="CW31" i="5"/>
  <c r="CX31" i="5"/>
  <c r="CY31" i="5"/>
  <c r="CZ31" i="5"/>
  <c r="DA31" i="5"/>
  <c r="DB31" i="5"/>
  <c r="DC31" i="5"/>
  <c r="DD31" i="5"/>
  <c r="DE31" i="5"/>
  <c r="DF31" i="5"/>
  <c r="DG31" i="5"/>
  <c r="DH31" i="5"/>
  <c r="DI31" i="5"/>
  <c r="DJ31" i="5"/>
  <c r="DK31" i="5"/>
  <c r="DL31" i="5"/>
  <c r="DM31" i="5"/>
  <c r="DN31" i="5"/>
  <c r="DO31" i="5"/>
  <c r="DP31" i="5"/>
  <c r="DQ31" i="5"/>
  <c r="DR31" i="5"/>
  <c r="DS31" i="5"/>
  <c r="DT31" i="5"/>
  <c r="DU31" i="5"/>
  <c r="DV31" i="5"/>
  <c r="DW31" i="5"/>
  <c r="DX31" i="5"/>
  <c r="DY31" i="5"/>
  <c r="DZ31" i="5"/>
  <c r="EA31" i="5"/>
  <c r="EB31" i="5"/>
  <c r="EC31" i="5"/>
  <c r="ED31" i="5"/>
  <c r="EE31" i="5"/>
  <c r="EF31" i="5"/>
  <c r="EG31" i="5"/>
  <c r="EH31" i="5"/>
  <c r="EI31" i="5"/>
  <c r="EJ31" i="5"/>
  <c r="EK31" i="5"/>
  <c r="EL31" i="5"/>
  <c r="EM31" i="5"/>
  <c r="EN31" i="5"/>
  <c r="EO31" i="5"/>
  <c r="EP31" i="5"/>
  <c r="EQ31" i="5"/>
  <c r="ER31" i="5"/>
  <c r="A3" i="2"/>
  <c r="B3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Y3" i="2"/>
  <c r="AZ3" i="2"/>
  <c r="BA3" i="2"/>
  <c r="BB3" i="2"/>
  <c r="BC3" i="2"/>
  <c r="BD3" i="2"/>
  <c r="BE3" i="2"/>
  <c r="BF3" i="2"/>
  <c r="BG3" i="2"/>
  <c r="BH3" i="2"/>
  <c r="BI3" i="2"/>
  <c r="BJ3" i="2"/>
  <c r="BK3" i="2"/>
  <c r="BL3" i="2"/>
  <c r="BM3" i="2"/>
  <c r="BN3" i="2"/>
  <c r="BO3" i="2"/>
  <c r="BP3" i="2"/>
  <c r="BQ3" i="2"/>
  <c r="BR3" i="2"/>
  <c r="BU3" i="2"/>
  <c r="BV3" i="2"/>
  <c r="BW3" i="2"/>
  <c r="BX3" i="2"/>
  <c r="BY3" i="2"/>
  <c r="BZ3" i="2"/>
  <c r="CA3" i="2"/>
  <c r="CB3" i="2"/>
  <c r="CC3" i="2"/>
  <c r="CD3" i="2"/>
  <c r="CE3" i="2"/>
  <c r="CF3" i="2"/>
  <c r="CG3" i="2"/>
  <c r="CH3" i="2"/>
  <c r="CI3" i="2"/>
  <c r="CJ3" i="2"/>
  <c r="CK3" i="2"/>
  <c r="CL3" i="2"/>
  <c r="CM3" i="2"/>
  <c r="CN3" i="2"/>
  <c r="CO3" i="2"/>
  <c r="CP3" i="2"/>
  <c r="CQ3" i="2"/>
  <c r="CR3" i="2"/>
  <c r="CS3" i="2"/>
  <c r="A4" i="2"/>
  <c r="B4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Y4" i="2"/>
  <c r="AZ4" i="2"/>
  <c r="BA4" i="2"/>
  <c r="BB4" i="2"/>
  <c r="BC4" i="2"/>
  <c r="BD4" i="2"/>
  <c r="BE4" i="2"/>
  <c r="BF4" i="2"/>
  <c r="BG4" i="2"/>
  <c r="BH4" i="2"/>
  <c r="BI4" i="2"/>
  <c r="BJ4" i="2"/>
  <c r="BK4" i="2"/>
  <c r="BL4" i="2"/>
  <c r="BM4" i="2"/>
  <c r="BN4" i="2"/>
  <c r="BO4" i="2"/>
  <c r="BP4" i="2"/>
  <c r="BQ4" i="2"/>
  <c r="BR4" i="2"/>
  <c r="BU4" i="2"/>
  <c r="BV4" i="2"/>
  <c r="BW4" i="2"/>
  <c r="BX4" i="2"/>
  <c r="BY4" i="2"/>
  <c r="BZ4" i="2"/>
  <c r="CA4" i="2"/>
  <c r="CB4" i="2"/>
  <c r="CC4" i="2"/>
  <c r="CD4" i="2"/>
  <c r="CE4" i="2"/>
  <c r="CF4" i="2"/>
  <c r="CG4" i="2"/>
  <c r="CH4" i="2"/>
  <c r="CI4" i="2"/>
  <c r="CJ4" i="2"/>
  <c r="CK4" i="2"/>
  <c r="CL4" i="2"/>
  <c r="CM4" i="2"/>
  <c r="CN4" i="2"/>
  <c r="CO4" i="2"/>
  <c r="CP4" i="2"/>
  <c r="CQ4" i="2"/>
  <c r="CR4" i="2"/>
  <c r="CS4" i="2"/>
  <c r="A5" i="2"/>
  <c r="B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Y5" i="2"/>
  <c r="AZ5" i="2"/>
  <c r="BA5" i="2"/>
  <c r="BB5" i="2"/>
  <c r="BC5" i="2"/>
  <c r="BD5" i="2"/>
  <c r="BE5" i="2"/>
  <c r="BF5" i="2"/>
  <c r="BG5" i="2"/>
  <c r="BH5" i="2"/>
  <c r="BI5" i="2"/>
  <c r="BJ5" i="2"/>
  <c r="BK5" i="2"/>
  <c r="BL5" i="2"/>
  <c r="BM5" i="2"/>
  <c r="BN5" i="2"/>
  <c r="BO5" i="2"/>
  <c r="BP5" i="2"/>
  <c r="BQ5" i="2"/>
  <c r="BR5" i="2"/>
  <c r="BU5" i="2"/>
  <c r="BV5" i="2"/>
  <c r="BW5" i="2"/>
  <c r="BX5" i="2"/>
  <c r="BY5" i="2"/>
  <c r="BZ5" i="2"/>
  <c r="CA5" i="2"/>
  <c r="CB5" i="2"/>
  <c r="CC5" i="2"/>
  <c r="CD5" i="2"/>
  <c r="CE5" i="2"/>
  <c r="CF5" i="2"/>
  <c r="CG5" i="2"/>
  <c r="CH5" i="2"/>
  <c r="CI5" i="2"/>
  <c r="CJ5" i="2"/>
  <c r="CK5" i="2"/>
  <c r="CL5" i="2"/>
  <c r="CM5" i="2"/>
  <c r="CN5" i="2"/>
  <c r="CO5" i="2"/>
  <c r="CP5" i="2"/>
  <c r="CQ5" i="2"/>
  <c r="CR5" i="2"/>
  <c r="CS5" i="2"/>
  <c r="A6" i="2"/>
  <c r="B6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BA6" i="2"/>
  <c r="BB6" i="2"/>
  <c r="BC6" i="2"/>
  <c r="BD6" i="2"/>
  <c r="BE6" i="2"/>
  <c r="BF6" i="2"/>
  <c r="BG6" i="2"/>
  <c r="BH6" i="2"/>
  <c r="BI6" i="2"/>
  <c r="BJ6" i="2"/>
  <c r="BK6" i="2"/>
  <c r="BL6" i="2"/>
  <c r="BM6" i="2"/>
  <c r="BN6" i="2"/>
  <c r="BO6" i="2"/>
  <c r="BP6" i="2"/>
  <c r="BQ6" i="2"/>
  <c r="BR6" i="2"/>
  <c r="BU6" i="2"/>
  <c r="BV6" i="2"/>
  <c r="BW6" i="2"/>
  <c r="BX6" i="2"/>
  <c r="BY6" i="2"/>
  <c r="BZ6" i="2"/>
  <c r="CA6" i="2"/>
  <c r="CB6" i="2"/>
  <c r="CC6" i="2"/>
  <c r="CD6" i="2"/>
  <c r="CE6" i="2"/>
  <c r="CF6" i="2"/>
  <c r="CG6" i="2"/>
  <c r="CH6" i="2"/>
  <c r="CI6" i="2"/>
  <c r="CJ6" i="2"/>
  <c r="CK6" i="2"/>
  <c r="CL6" i="2"/>
  <c r="CM6" i="2"/>
  <c r="CN6" i="2"/>
  <c r="CO6" i="2"/>
  <c r="CP6" i="2"/>
  <c r="CQ6" i="2"/>
  <c r="CR6" i="2"/>
  <c r="CS6" i="2"/>
  <c r="A7" i="2"/>
  <c r="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AQ7" i="2"/>
  <c r="AR7" i="2"/>
  <c r="AS7" i="2"/>
  <c r="AT7" i="2"/>
  <c r="AU7" i="2"/>
  <c r="AV7" i="2"/>
  <c r="AW7" i="2"/>
  <c r="AX7" i="2"/>
  <c r="AY7" i="2"/>
  <c r="AZ7" i="2"/>
  <c r="BA7" i="2"/>
  <c r="BB7" i="2"/>
  <c r="BC7" i="2"/>
  <c r="BD7" i="2"/>
  <c r="BE7" i="2"/>
  <c r="BF7" i="2"/>
  <c r="BG7" i="2"/>
  <c r="BH7" i="2"/>
  <c r="BI7" i="2"/>
  <c r="BJ7" i="2"/>
  <c r="BK7" i="2"/>
  <c r="BL7" i="2"/>
  <c r="BM7" i="2"/>
  <c r="BN7" i="2"/>
  <c r="BO7" i="2"/>
  <c r="BP7" i="2"/>
  <c r="BQ7" i="2"/>
  <c r="BR7" i="2"/>
  <c r="BU7" i="2"/>
  <c r="BV7" i="2"/>
  <c r="BW7" i="2"/>
  <c r="BX7" i="2"/>
  <c r="BY7" i="2"/>
  <c r="BZ7" i="2"/>
  <c r="CA7" i="2"/>
  <c r="CB7" i="2"/>
  <c r="CC7" i="2"/>
  <c r="CD7" i="2"/>
  <c r="CE7" i="2"/>
  <c r="CF7" i="2"/>
  <c r="CG7" i="2"/>
  <c r="CH7" i="2"/>
  <c r="CI7" i="2"/>
  <c r="CJ7" i="2"/>
  <c r="CK7" i="2"/>
  <c r="CL7" i="2"/>
  <c r="CM7" i="2"/>
  <c r="CN7" i="2"/>
  <c r="CO7" i="2"/>
  <c r="CP7" i="2"/>
  <c r="CQ7" i="2"/>
  <c r="CR7" i="2"/>
  <c r="CS7" i="2"/>
  <c r="A8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Y8" i="2"/>
  <c r="AZ8" i="2"/>
  <c r="BA8" i="2"/>
  <c r="BB8" i="2"/>
  <c r="BC8" i="2"/>
  <c r="BD8" i="2"/>
  <c r="BE8" i="2"/>
  <c r="BF8" i="2"/>
  <c r="BG8" i="2"/>
  <c r="BH8" i="2"/>
  <c r="BI8" i="2"/>
  <c r="BJ8" i="2"/>
  <c r="BK8" i="2"/>
  <c r="BL8" i="2"/>
  <c r="BM8" i="2"/>
  <c r="BN8" i="2"/>
  <c r="BO8" i="2"/>
  <c r="BP8" i="2"/>
  <c r="BQ8" i="2"/>
  <c r="BR8" i="2"/>
  <c r="BU8" i="2"/>
  <c r="BV8" i="2"/>
  <c r="BW8" i="2"/>
  <c r="BX8" i="2"/>
  <c r="BY8" i="2"/>
  <c r="BZ8" i="2"/>
  <c r="CA8" i="2"/>
  <c r="CB8" i="2"/>
  <c r="CC8" i="2"/>
  <c r="CD8" i="2"/>
  <c r="CE8" i="2"/>
  <c r="CF8" i="2"/>
  <c r="CG8" i="2"/>
  <c r="CH8" i="2"/>
  <c r="CI8" i="2"/>
  <c r="CJ8" i="2"/>
  <c r="CK8" i="2"/>
  <c r="CL8" i="2"/>
  <c r="CM8" i="2"/>
  <c r="CN8" i="2"/>
  <c r="CO8" i="2"/>
  <c r="CP8" i="2"/>
  <c r="CQ8" i="2"/>
  <c r="CR8" i="2"/>
  <c r="CS8" i="2"/>
  <c r="A9" i="2"/>
  <c r="B9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BA9" i="2"/>
  <c r="BB9" i="2"/>
  <c r="BC9" i="2"/>
  <c r="BD9" i="2"/>
  <c r="BE9" i="2"/>
  <c r="BF9" i="2"/>
  <c r="BG9" i="2"/>
  <c r="BH9" i="2"/>
  <c r="BI9" i="2"/>
  <c r="BJ9" i="2"/>
  <c r="BK9" i="2"/>
  <c r="BL9" i="2"/>
  <c r="BM9" i="2"/>
  <c r="BN9" i="2"/>
  <c r="BO9" i="2"/>
  <c r="BP9" i="2"/>
  <c r="BQ9" i="2"/>
  <c r="BR9" i="2"/>
  <c r="BU9" i="2"/>
  <c r="BV9" i="2"/>
  <c r="BW9" i="2"/>
  <c r="BX9" i="2"/>
  <c r="BY9" i="2"/>
  <c r="BZ9" i="2"/>
  <c r="CA9" i="2"/>
  <c r="CB9" i="2"/>
  <c r="CC9" i="2"/>
  <c r="CD9" i="2"/>
  <c r="CE9" i="2"/>
  <c r="CF9" i="2"/>
  <c r="CG9" i="2"/>
  <c r="CH9" i="2"/>
  <c r="CI9" i="2"/>
  <c r="CJ9" i="2"/>
  <c r="CK9" i="2"/>
  <c r="CL9" i="2"/>
  <c r="CM9" i="2"/>
  <c r="CN9" i="2"/>
  <c r="CO9" i="2"/>
  <c r="CP9" i="2"/>
  <c r="CQ9" i="2"/>
  <c r="CR9" i="2"/>
  <c r="CS9" i="2"/>
  <c r="A10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BA10" i="2"/>
  <c r="BB10" i="2"/>
  <c r="BC10" i="2"/>
  <c r="BD10" i="2"/>
  <c r="BE10" i="2"/>
  <c r="BF10" i="2"/>
  <c r="BG10" i="2"/>
  <c r="BH10" i="2"/>
  <c r="BI10" i="2"/>
  <c r="BJ10" i="2"/>
  <c r="BK10" i="2"/>
  <c r="BL10" i="2"/>
  <c r="BM10" i="2"/>
  <c r="BN10" i="2"/>
  <c r="BO10" i="2"/>
  <c r="BP10" i="2"/>
  <c r="BQ10" i="2"/>
  <c r="BR10" i="2"/>
  <c r="BU10" i="2"/>
  <c r="BV10" i="2"/>
  <c r="BW10" i="2"/>
  <c r="BX10" i="2"/>
  <c r="BY10" i="2"/>
  <c r="BZ10" i="2"/>
  <c r="CA10" i="2"/>
  <c r="CB10" i="2"/>
  <c r="CC10" i="2"/>
  <c r="CD10" i="2"/>
  <c r="CE10" i="2"/>
  <c r="CF10" i="2"/>
  <c r="CG10" i="2"/>
  <c r="CH10" i="2"/>
  <c r="CI10" i="2"/>
  <c r="CJ10" i="2"/>
  <c r="CK10" i="2"/>
  <c r="CL10" i="2"/>
  <c r="CM10" i="2"/>
  <c r="CN10" i="2"/>
  <c r="CO10" i="2"/>
  <c r="CP10" i="2"/>
  <c r="CQ10" i="2"/>
  <c r="CR10" i="2"/>
  <c r="CS10" i="2"/>
  <c r="A11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AX11" i="2"/>
  <c r="AY11" i="2"/>
  <c r="AZ11" i="2"/>
  <c r="BA11" i="2"/>
  <c r="BB11" i="2"/>
  <c r="BC11" i="2"/>
  <c r="BD11" i="2"/>
  <c r="BE11" i="2"/>
  <c r="BF11" i="2"/>
  <c r="BG11" i="2"/>
  <c r="BH11" i="2"/>
  <c r="BI11" i="2"/>
  <c r="BJ11" i="2"/>
  <c r="BK11" i="2"/>
  <c r="BL11" i="2"/>
  <c r="BM11" i="2"/>
  <c r="BN11" i="2"/>
  <c r="BO11" i="2"/>
  <c r="BP11" i="2"/>
  <c r="BQ11" i="2"/>
  <c r="BR11" i="2"/>
  <c r="BU11" i="2"/>
  <c r="BV11" i="2"/>
  <c r="BW11" i="2"/>
  <c r="BX11" i="2"/>
  <c r="BY11" i="2"/>
  <c r="BZ11" i="2"/>
  <c r="CA11" i="2"/>
  <c r="CB11" i="2"/>
  <c r="CC11" i="2"/>
  <c r="CD11" i="2"/>
  <c r="CE11" i="2"/>
  <c r="CF11" i="2"/>
  <c r="CG11" i="2"/>
  <c r="CH11" i="2"/>
  <c r="CI11" i="2"/>
  <c r="CJ11" i="2"/>
  <c r="CK11" i="2"/>
  <c r="CL11" i="2"/>
  <c r="CM11" i="2"/>
  <c r="CN11" i="2"/>
  <c r="CO11" i="2"/>
  <c r="CP11" i="2"/>
  <c r="CQ11" i="2"/>
  <c r="CR11" i="2"/>
  <c r="CS11" i="2"/>
  <c r="A12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Y12" i="2"/>
  <c r="AZ12" i="2"/>
  <c r="BA12" i="2"/>
  <c r="BB12" i="2"/>
  <c r="BC12" i="2"/>
  <c r="BD12" i="2"/>
  <c r="BE12" i="2"/>
  <c r="BF12" i="2"/>
  <c r="BG12" i="2"/>
  <c r="BH12" i="2"/>
  <c r="BI12" i="2"/>
  <c r="BJ12" i="2"/>
  <c r="BK12" i="2"/>
  <c r="BL12" i="2"/>
  <c r="BM12" i="2"/>
  <c r="BN12" i="2"/>
  <c r="BO12" i="2"/>
  <c r="BP12" i="2"/>
  <c r="BQ12" i="2"/>
  <c r="BR12" i="2"/>
  <c r="BU12" i="2"/>
  <c r="BV12" i="2"/>
  <c r="BW12" i="2"/>
  <c r="BX12" i="2"/>
  <c r="BY12" i="2"/>
  <c r="BZ12" i="2"/>
  <c r="CA12" i="2"/>
  <c r="CB12" i="2"/>
  <c r="CC12" i="2"/>
  <c r="CD12" i="2"/>
  <c r="CE12" i="2"/>
  <c r="CF12" i="2"/>
  <c r="CG12" i="2"/>
  <c r="CH12" i="2"/>
  <c r="CI12" i="2"/>
  <c r="CJ12" i="2"/>
  <c r="CK12" i="2"/>
  <c r="CL12" i="2"/>
  <c r="CM12" i="2"/>
  <c r="CN12" i="2"/>
  <c r="CO12" i="2"/>
  <c r="CP12" i="2"/>
  <c r="CQ12" i="2"/>
  <c r="CR12" i="2"/>
  <c r="CS12" i="2"/>
  <c r="A13" i="2"/>
  <c r="B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X13" i="2"/>
  <c r="AY13" i="2"/>
  <c r="AZ13" i="2"/>
  <c r="BA13" i="2"/>
  <c r="BB13" i="2"/>
  <c r="BC13" i="2"/>
  <c r="BD13" i="2"/>
  <c r="BE13" i="2"/>
  <c r="BF13" i="2"/>
  <c r="BG13" i="2"/>
  <c r="BH13" i="2"/>
  <c r="BI13" i="2"/>
  <c r="BJ13" i="2"/>
  <c r="BK13" i="2"/>
  <c r="BL13" i="2"/>
  <c r="BM13" i="2"/>
  <c r="BN13" i="2"/>
  <c r="BO13" i="2"/>
  <c r="BP13" i="2"/>
  <c r="BQ13" i="2"/>
  <c r="BR13" i="2"/>
  <c r="BU13" i="2"/>
  <c r="BV13" i="2"/>
  <c r="BW13" i="2"/>
  <c r="BX13" i="2"/>
  <c r="BY13" i="2"/>
  <c r="BZ13" i="2"/>
  <c r="CA13" i="2"/>
  <c r="CB13" i="2"/>
  <c r="CC13" i="2"/>
  <c r="CD13" i="2"/>
  <c r="CE13" i="2"/>
  <c r="CF13" i="2"/>
  <c r="CG13" i="2"/>
  <c r="CH13" i="2"/>
  <c r="CI13" i="2"/>
  <c r="CJ13" i="2"/>
  <c r="CK13" i="2"/>
  <c r="CL13" i="2"/>
  <c r="CM13" i="2"/>
  <c r="CN13" i="2"/>
  <c r="CO13" i="2"/>
  <c r="CP13" i="2"/>
  <c r="CQ13" i="2"/>
  <c r="CR13" i="2"/>
  <c r="CS13" i="2"/>
  <c r="A14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AQ14" i="2"/>
  <c r="AR14" i="2"/>
  <c r="AS14" i="2"/>
  <c r="AT14" i="2"/>
  <c r="AU14" i="2"/>
  <c r="AV14" i="2"/>
  <c r="AW14" i="2"/>
  <c r="AX14" i="2"/>
  <c r="AY14" i="2"/>
  <c r="AZ14" i="2"/>
  <c r="BA14" i="2"/>
  <c r="BB14" i="2"/>
  <c r="BC14" i="2"/>
  <c r="BD14" i="2"/>
  <c r="BE14" i="2"/>
  <c r="BF14" i="2"/>
  <c r="BG14" i="2"/>
  <c r="BH14" i="2"/>
  <c r="BI14" i="2"/>
  <c r="BJ14" i="2"/>
  <c r="BK14" i="2"/>
  <c r="BL14" i="2"/>
  <c r="BM14" i="2"/>
  <c r="BN14" i="2"/>
  <c r="BO14" i="2"/>
  <c r="BP14" i="2"/>
  <c r="BQ14" i="2"/>
  <c r="BR14" i="2"/>
  <c r="BU14" i="2"/>
  <c r="BV14" i="2"/>
  <c r="BW14" i="2"/>
  <c r="BX14" i="2"/>
  <c r="BY14" i="2"/>
  <c r="BZ14" i="2"/>
  <c r="CA14" i="2"/>
  <c r="CB14" i="2"/>
  <c r="CC14" i="2"/>
  <c r="CD14" i="2"/>
  <c r="CE14" i="2"/>
  <c r="CF14" i="2"/>
  <c r="CG14" i="2"/>
  <c r="CH14" i="2"/>
  <c r="CI14" i="2"/>
  <c r="CJ14" i="2"/>
  <c r="CK14" i="2"/>
  <c r="CL14" i="2"/>
  <c r="CM14" i="2"/>
  <c r="CN14" i="2"/>
  <c r="CO14" i="2"/>
  <c r="CP14" i="2"/>
  <c r="CQ14" i="2"/>
  <c r="CR14" i="2"/>
  <c r="CS14" i="2"/>
  <c r="A15" i="2"/>
  <c r="B15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AQ15" i="2"/>
  <c r="AR15" i="2"/>
  <c r="AS15" i="2"/>
  <c r="AT15" i="2"/>
  <c r="AU15" i="2"/>
  <c r="AV15" i="2"/>
  <c r="AW15" i="2"/>
  <c r="AX15" i="2"/>
  <c r="AY15" i="2"/>
  <c r="AZ15" i="2"/>
  <c r="BA15" i="2"/>
  <c r="BB15" i="2"/>
  <c r="BC15" i="2"/>
  <c r="BD15" i="2"/>
  <c r="BE15" i="2"/>
  <c r="BF15" i="2"/>
  <c r="BG15" i="2"/>
  <c r="BH15" i="2"/>
  <c r="BI15" i="2"/>
  <c r="BJ15" i="2"/>
  <c r="BK15" i="2"/>
  <c r="BL15" i="2"/>
  <c r="BM15" i="2"/>
  <c r="BN15" i="2"/>
  <c r="BO15" i="2"/>
  <c r="BP15" i="2"/>
  <c r="BQ15" i="2"/>
  <c r="BR15" i="2"/>
  <c r="BU15" i="2"/>
  <c r="BV15" i="2"/>
  <c r="BW15" i="2"/>
  <c r="BX15" i="2"/>
  <c r="BY15" i="2"/>
  <c r="BZ15" i="2"/>
  <c r="CA15" i="2"/>
  <c r="CB15" i="2"/>
  <c r="CC15" i="2"/>
  <c r="CD15" i="2"/>
  <c r="CE15" i="2"/>
  <c r="CF15" i="2"/>
  <c r="CG15" i="2"/>
  <c r="CH15" i="2"/>
  <c r="CI15" i="2"/>
  <c r="CJ15" i="2"/>
  <c r="CK15" i="2"/>
  <c r="CL15" i="2"/>
  <c r="CM15" i="2"/>
  <c r="CN15" i="2"/>
  <c r="CO15" i="2"/>
  <c r="CP15" i="2"/>
  <c r="CQ15" i="2"/>
  <c r="CR15" i="2"/>
  <c r="CS15" i="2"/>
  <c r="A16" i="2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AY16" i="2"/>
  <c r="AZ16" i="2"/>
  <c r="BA16" i="2"/>
  <c r="BB16" i="2"/>
  <c r="BC16" i="2"/>
  <c r="BD16" i="2"/>
  <c r="BE16" i="2"/>
  <c r="BF16" i="2"/>
  <c r="BG16" i="2"/>
  <c r="BH16" i="2"/>
  <c r="BI16" i="2"/>
  <c r="BJ16" i="2"/>
  <c r="BK16" i="2"/>
  <c r="BL16" i="2"/>
  <c r="BM16" i="2"/>
  <c r="BN16" i="2"/>
  <c r="BO16" i="2"/>
  <c r="BP16" i="2"/>
  <c r="BQ16" i="2"/>
  <c r="BR16" i="2"/>
  <c r="BU16" i="2"/>
  <c r="BV16" i="2"/>
  <c r="BW16" i="2"/>
  <c r="BX16" i="2"/>
  <c r="BY16" i="2"/>
  <c r="BZ16" i="2"/>
  <c r="CA16" i="2"/>
  <c r="CB16" i="2"/>
  <c r="CC16" i="2"/>
  <c r="CD16" i="2"/>
  <c r="CE16" i="2"/>
  <c r="CF16" i="2"/>
  <c r="CG16" i="2"/>
  <c r="CH16" i="2"/>
  <c r="CI16" i="2"/>
  <c r="CJ16" i="2"/>
  <c r="CK16" i="2"/>
  <c r="CL16" i="2"/>
  <c r="CM16" i="2"/>
  <c r="CN16" i="2"/>
  <c r="CO16" i="2"/>
  <c r="CP16" i="2"/>
  <c r="CQ16" i="2"/>
  <c r="CR16" i="2"/>
  <c r="CS16" i="2"/>
  <c r="A17" i="2"/>
  <c r="B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AX17" i="2"/>
  <c r="AY17" i="2"/>
  <c r="AZ17" i="2"/>
  <c r="BA17" i="2"/>
  <c r="BB17" i="2"/>
  <c r="BC17" i="2"/>
  <c r="BD17" i="2"/>
  <c r="BE17" i="2"/>
  <c r="BF17" i="2"/>
  <c r="BG17" i="2"/>
  <c r="BH17" i="2"/>
  <c r="BI17" i="2"/>
  <c r="BJ17" i="2"/>
  <c r="BK17" i="2"/>
  <c r="BL17" i="2"/>
  <c r="BM17" i="2"/>
  <c r="BN17" i="2"/>
  <c r="BO17" i="2"/>
  <c r="BP17" i="2"/>
  <c r="BQ17" i="2"/>
  <c r="BR17" i="2"/>
  <c r="BU17" i="2"/>
  <c r="BV17" i="2"/>
  <c r="BW17" i="2"/>
  <c r="BX17" i="2"/>
  <c r="BY17" i="2"/>
  <c r="BZ17" i="2"/>
  <c r="CA17" i="2"/>
  <c r="CB17" i="2"/>
  <c r="CC17" i="2"/>
  <c r="CD17" i="2"/>
  <c r="CE17" i="2"/>
  <c r="CF17" i="2"/>
  <c r="CG17" i="2"/>
  <c r="CH17" i="2"/>
  <c r="CI17" i="2"/>
  <c r="CJ17" i="2"/>
  <c r="CK17" i="2"/>
  <c r="CL17" i="2"/>
  <c r="CM17" i="2"/>
  <c r="CN17" i="2"/>
  <c r="CO17" i="2"/>
  <c r="CP17" i="2"/>
  <c r="CQ17" i="2"/>
  <c r="CR17" i="2"/>
  <c r="CS17" i="2"/>
  <c r="A18" i="2"/>
  <c r="B18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R18" i="2"/>
  <c r="AS18" i="2"/>
  <c r="AT18" i="2"/>
  <c r="AU18" i="2"/>
  <c r="AV18" i="2"/>
  <c r="AW18" i="2"/>
  <c r="AX18" i="2"/>
  <c r="AY18" i="2"/>
  <c r="AZ18" i="2"/>
  <c r="BA18" i="2"/>
  <c r="BB18" i="2"/>
  <c r="BC18" i="2"/>
  <c r="BD18" i="2"/>
  <c r="BE18" i="2"/>
  <c r="BF18" i="2"/>
  <c r="BG18" i="2"/>
  <c r="BH18" i="2"/>
  <c r="BI18" i="2"/>
  <c r="BJ18" i="2"/>
  <c r="BK18" i="2"/>
  <c r="BL18" i="2"/>
  <c r="BM18" i="2"/>
  <c r="BN18" i="2"/>
  <c r="BO18" i="2"/>
  <c r="BP18" i="2"/>
  <c r="BQ18" i="2"/>
  <c r="BR18" i="2"/>
  <c r="BU18" i="2"/>
  <c r="BV18" i="2"/>
  <c r="BW18" i="2"/>
  <c r="BX18" i="2"/>
  <c r="BY18" i="2"/>
  <c r="BZ18" i="2"/>
  <c r="CA18" i="2"/>
  <c r="CB18" i="2"/>
  <c r="CC18" i="2"/>
  <c r="CD18" i="2"/>
  <c r="CE18" i="2"/>
  <c r="CF18" i="2"/>
  <c r="CG18" i="2"/>
  <c r="CH18" i="2"/>
  <c r="CI18" i="2"/>
  <c r="CJ18" i="2"/>
  <c r="CK18" i="2"/>
  <c r="CL18" i="2"/>
  <c r="CM18" i="2"/>
  <c r="CN18" i="2"/>
  <c r="CO18" i="2"/>
  <c r="CP18" i="2"/>
  <c r="CQ18" i="2"/>
  <c r="CR18" i="2"/>
  <c r="CS18" i="2"/>
  <c r="A19" i="2"/>
  <c r="B19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AZ19" i="2"/>
  <c r="BA19" i="2"/>
  <c r="BB19" i="2"/>
  <c r="BC19" i="2"/>
  <c r="BD19" i="2"/>
  <c r="BE19" i="2"/>
  <c r="BF19" i="2"/>
  <c r="BG19" i="2"/>
  <c r="BH19" i="2"/>
  <c r="BI19" i="2"/>
  <c r="BJ19" i="2"/>
  <c r="BK19" i="2"/>
  <c r="BL19" i="2"/>
  <c r="BM19" i="2"/>
  <c r="BN19" i="2"/>
  <c r="BO19" i="2"/>
  <c r="BP19" i="2"/>
  <c r="BQ19" i="2"/>
  <c r="BR19" i="2"/>
  <c r="BU19" i="2"/>
  <c r="BV19" i="2"/>
  <c r="BW19" i="2"/>
  <c r="BX19" i="2"/>
  <c r="BY19" i="2"/>
  <c r="BZ19" i="2"/>
  <c r="CA19" i="2"/>
  <c r="CB19" i="2"/>
  <c r="CC19" i="2"/>
  <c r="CD19" i="2"/>
  <c r="CE19" i="2"/>
  <c r="CF19" i="2"/>
  <c r="CG19" i="2"/>
  <c r="CH19" i="2"/>
  <c r="CI19" i="2"/>
  <c r="CJ19" i="2"/>
  <c r="CK19" i="2"/>
  <c r="CL19" i="2"/>
  <c r="CM19" i="2"/>
  <c r="CN19" i="2"/>
  <c r="CO19" i="2"/>
  <c r="CP19" i="2"/>
  <c r="CQ19" i="2"/>
  <c r="CR19" i="2"/>
  <c r="CS19" i="2"/>
  <c r="A20" i="2"/>
  <c r="B20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AV20" i="2"/>
  <c r="AW20" i="2"/>
  <c r="AX20" i="2"/>
  <c r="AY20" i="2"/>
  <c r="AZ20" i="2"/>
  <c r="BA20" i="2"/>
  <c r="BB20" i="2"/>
  <c r="BC20" i="2"/>
  <c r="BD20" i="2"/>
  <c r="BE20" i="2"/>
  <c r="BF20" i="2"/>
  <c r="BG20" i="2"/>
  <c r="BH20" i="2"/>
  <c r="BI20" i="2"/>
  <c r="BJ20" i="2"/>
  <c r="BK20" i="2"/>
  <c r="BL20" i="2"/>
  <c r="BM20" i="2"/>
  <c r="BN20" i="2"/>
  <c r="BO20" i="2"/>
  <c r="BP20" i="2"/>
  <c r="BQ20" i="2"/>
  <c r="BR20" i="2"/>
  <c r="BU20" i="2"/>
  <c r="BV20" i="2"/>
  <c r="BW20" i="2"/>
  <c r="BX20" i="2"/>
  <c r="BY20" i="2"/>
  <c r="BZ20" i="2"/>
  <c r="CA20" i="2"/>
  <c r="CB20" i="2"/>
  <c r="CC20" i="2"/>
  <c r="CD20" i="2"/>
  <c r="CE20" i="2"/>
  <c r="CF20" i="2"/>
  <c r="CG20" i="2"/>
  <c r="CH20" i="2"/>
  <c r="CI20" i="2"/>
  <c r="CJ20" i="2"/>
  <c r="CK20" i="2"/>
  <c r="CL20" i="2"/>
  <c r="CM20" i="2"/>
  <c r="CN20" i="2"/>
  <c r="CO20" i="2"/>
  <c r="CP20" i="2"/>
  <c r="CQ20" i="2"/>
  <c r="CR20" i="2"/>
  <c r="CS20" i="2"/>
  <c r="A21" i="2"/>
  <c r="B21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AX21" i="2"/>
  <c r="AY21" i="2"/>
  <c r="AZ21" i="2"/>
  <c r="BA21" i="2"/>
  <c r="BB21" i="2"/>
  <c r="BC21" i="2"/>
  <c r="BD21" i="2"/>
  <c r="BE21" i="2"/>
  <c r="BF21" i="2"/>
  <c r="BG21" i="2"/>
  <c r="BH21" i="2"/>
  <c r="BI21" i="2"/>
  <c r="BJ21" i="2"/>
  <c r="BK21" i="2"/>
  <c r="BL21" i="2"/>
  <c r="BM21" i="2"/>
  <c r="BN21" i="2"/>
  <c r="BO21" i="2"/>
  <c r="BP21" i="2"/>
  <c r="BQ21" i="2"/>
  <c r="BR21" i="2"/>
  <c r="BU21" i="2"/>
  <c r="BV21" i="2"/>
  <c r="BW21" i="2"/>
  <c r="BX21" i="2"/>
  <c r="BY21" i="2"/>
  <c r="BZ21" i="2"/>
  <c r="CA21" i="2"/>
  <c r="CB21" i="2"/>
  <c r="CC21" i="2"/>
  <c r="CD21" i="2"/>
  <c r="CE21" i="2"/>
  <c r="CF21" i="2"/>
  <c r="CG21" i="2"/>
  <c r="CH21" i="2"/>
  <c r="CI21" i="2"/>
  <c r="CJ21" i="2"/>
  <c r="CK21" i="2"/>
  <c r="CL21" i="2"/>
  <c r="CM21" i="2"/>
  <c r="CN21" i="2"/>
  <c r="CO21" i="2"/>
  <c r="CP21" i="2"/>
  <c r="CQ21" i="2"/>
  <c r="CR21" i="2"/>
  <c r="CS21" i="2"/>
  <c r="A22" i="2"/>
  <c r="B22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AS22" i="2"/>
  <c r="AT22" i="2"/>
  <c r="AU22" i="2"/>
  <c r="AV22" i="2"/>
  <c r="AW22" i="2"/>
  <c r="AX22" i="2"/>
  <c r="AY22" i="2"/>
  <c r="AZ22" i="2"/>
  <c r="BA22" i="2"/>
  <c r="BB22" i="2"/>
  <c r="BC22" i="2"/>
  <c r="BD22" i="2"/>
  <c r="BE22" i="2"/>
  <c r="BF22" i="2"/>
  <c r="BG22" i="2"/>
  <c r="BH22" i="2"/>
  <c r="BI22" i="2"/>
  <c r="BJ22" i="2"/>
  <c r="BK22" i="2"/>
  <c r="BL22" i="2"/>
  <c r="BM22" i="2"/>
  <c r="BN22" i="2"/>
  <c r="BO22" i="2"/>
  <c r="BP22" i="2"/>
  <c r="BQ22" i="2"/>
  <c r="BR22" i="2"/>
  <c r="BU22" i="2"/>
  <c r="BV22" i="2"/>
  <c r="BW22" i="2"/>
  <c r="BX22" i="2"/>
  <c r="BY22" i="2"/>
  <c r="BZ22" i="2"/>
  <c r="CA22" i="2"/>
  <c r="CB22" i="2"/>
  <c r="CC22" i="2"/>
  <c r="CD22" i="2"/>
  <c r="CE22" i="2"/>
  <c r="CF22" i="2"/>
  <c r="CG22" i="2"/>
  <c r="CH22" i="2"/>
  <c r="CI22" i="2"/>
  <c r="CJ22" i="2"/>
  <c r="CK22" i="2"/>
  <c r="CL22" i="2"/>
  <c r="CM22" i="2"/>
  <c r="CN22" i="2"/>
  <c r="CO22" i="2"/>
  <c r="CP22" i="2"/>
  <c r="CQ22" i="2"/>
  <c r="CR22" i="2"/>
  <c r="CS22" i="2"/>
  <c r="A23" i="2"/>
  <c r="B23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AQ23" i="2"/>
  <c r="AR23" i="2"/>
  <c r="AS23" i="2"/>
  <c r="AT23" i="2"/>
  <c r="AU23" i="2"/>
  <c r="AV23" i="2"/>
  <c r="AW23" i="2"/>
  <c r="AX23" i="2"/>
  <c r="AY23" i="2"/>
  <c r="AZ23" i="2"/>
  <c r="BA23" i="2"/>
  <c r="BB23" i="2"/>
  <c r="BC23" i="2"/>
  <c r="BD23" i="2"/>
  <c r="BE23" i="2"/>
  <c r="BF23" i="2"/>
  <c r="BG23" i="2"/>
  <c r="BH23" i="2"/>
  <c r="BI23" i="2"/>
  <c r="BJ23" i="2"/>
  <c r="BK23" i="2"/>
  <c r="BL23" i="2"/>
  <c r="BM23" i="2"/>
  <c r="BN23" i="2"/>
  <c r="BO23" i="2"/>
  <c r="BP23" i="2"/>
  <c r="BQ23" i="2"/>
  <c r="BR23" i="2"/>
  <c r="BU23" i="2"/>
  <c r="BV23" i="2"/>
  <c r="BW23" i="2"/>
  <c r="BX23" i="2"/>
  <c r="BY23" i="2"/>
  <c r="BZ23" i="2"/>
  <c r="CA23" i="2"/>
  <c r="CB23" i="2"/>
  <c r="CC23" i="2"/>
  <c r="CD23" i="2"/>
  <c r="CE23" i="2"/>
  <c r="CF23" i="2"/>
  <c r="CG23" i="2"/>
  <c r="CH23" i="2"/>
  <c r="CI23" i="2"/>
  <c r="CJ23" i="2"/>
  <c r="CK23" i="2"/>
  <c r="CL23" i="2"/>
  <c r="CM23" i="2"/>
  <c r="CN23" i="2"/>
  <c r="CO23" i="2"/>
  <c r="CP23" i="2"/>
  <c r="CQ23" i="2"/>
  <c r="CR23" i="2"/>
  <c r="CS23" i="2"/>
  <c r="A24" i="2"/>
  <c r="B24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AP24" i="2"/>
  <c r="AQ24" i="2"/>
  <c r="AR24" i="2"/>
  <c r="AS24" i="2"/>
  <c r="AT24" i="2"/>
  <c r="AU24" i="2"/>
  <c r="AV24" i="2"/>
  <c r="AW24" i="2"/>
  <c r="AX24" i="2"/>
  <c r="AY24" i="2"/>
  <c r="AZ24" i="2"/>
  <c r="BA24" i="2"/>
  <c r="BB24" i="2"/>
  <c r="BC24" i="2"/>
  <c r="BD24" i="2"/>
  <c r="BE24" i="2"/>
  <c r="BF24" i="2"/>
  <c r="BG24" i="2"/>
  <c r="BH24" i="2"/>
  <c r="BI24" i="2"/>
  <c r="BJ24" i="2"/>
  <c r="BK24" i="2"/>
  <c r="BL24" i="2"/>
  <c r="BM24" i="2"/>
  <c r="BN24" i="2"/>
  <c r="BO24" i="2"/>
  <c r="BP24" i="2"/>
  <c r="BQ24" i="2"/>
  <c r="BR24" i="2"/>
  <c r="BU24" i="2"/>
  <c r="BV24" i="2"/>
  <c r="BW24" i="2"/>
  <c r="BX24" i="2"/>
  <c r="BY24" i="2"/>
  <c r="BZ24" i="2"/>
  <c r="CA24" i="2"/>
  <c r="CB24" i="2"/>
  <c r="CC24" i="2"/>
  <c r="CD24" i="2"/>
  <c r="CE24" i="2"/>
  <c r="CF24" i="2"/>
  <c r="CG24" i="2"/>
  <c r="CH24" i="2"/>
  <c r="CI24" i="2"/>
  <c r="CJ24" i="2"/>
  <c r="CK24" i="2"/>
  <c r="CL24" i="2"/>
  <c r="CM24" i="2"/>
  <c r="CN24" i="2"/>
  <c r="CO24" i="2"/>
  <c r="CP24" i="2"/>
  <c r="CQ24" i="2"/>
  <c r="CR24" i="2"/>
  <c r="CS24" i="2"/>
  <c r="A25" i="2"/>
  <c r="B25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P25" i="2"/>
  <c r="AQ25" i="2"/>
  <c r="AR25" i="2"/>
  <c r="AS25" i="2"/>
  <c r="AT25" i="2"/>
  <c r="AU25" i="2"/>
  <c r="AV25" i="2"/>
  <c r="AW25" i="2"/>
  <c r="AX25" i="2"/>
  <c r="AY25" i="2"/>
  <c r="AZ25" i="2"/>
  <c r="BA25" i="2"/>
  <c r="BB25" i="2"/>
  <c r="BC25" i="2"/>
  <c r="BD25" i="2"/>
  <c r="BE25" i="2"/>
  <c r="BF25" i="2"/>
  <c r="BG25" i="2"/>
  <c r="BH25" i="2"/>
  <c r="BI25" i="2"/>
  <c r="BJ25" i="2"/>
  <c r="BK25" i="2"/>
  <c r="BL25" i="2"/>
  <c r="BM25" i="2"/>
  <c r="BN25" i="2"/>
  <c r="BO25" i="2"/>
  <c r="BP25" i="2"/>
  <c r="BQ25" i="2"/>
  <c r="BR25" i="2"/>
  <c r="BU25" i="2"/>
  <c r="BV25" i="2"/>
  <c r="BW25" i="2"/>
  <c r="BX25" i="2"/>
  <c r="BY25" i="2"/>
  <c r="BZ25" i="2"/>
  <c r="CA25" i="2"/>
  <c r="CB25" i="2"/>
  <c r="CC25" i="2"/>
  <c r="CD25" i="2"/>
  <c r="CE25" i="2"/>
  <c r="CF25" i="2"/>
  <c r="CG25" i="2"/>
  <c r="CH25" i="2"/>
  <c r="CI25" i="2"/>
  <c r="CJ25" i="2"/>
  <c r="CK25" i="2"/>
  <c r="CL25" i="2"/>
  <c r="CM25" i="2"/>
  <c r="CN25" i="2"/>
  <c r="CO25" i="2"/>
  <c r="CP25" i="2"/>
  <c r="CQ25" i="2"/>
  <c r="CR25" i="2"/>
  <c r="CS25" i="2"/>
  <c r="A26" i="2"/>
  <c r="B26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P26" i="2"/>
  <c r="AQ26" i="2"/>
  <c r="AR26" i="2"/>
  <c r="AS26" i="2"/>
  <c r="AT26" i="2"/>
  <c r="AU26" i="2"/>
  <c r="AV26" i="2"/>
  <c r="AW26" i="2"/>
  <c r="AX26" i="2"/>
  <c r="AY26" i="2"/>
  <c r="AZ26" i="2"/>
  <c r="BA26" i="2"/>
  <c r="BB26" i="2"/>
  <c r="BC26" i="2"/>
  <c r="BD26" i="2"/>
  <c r="BE26" i="2"/>
  <c r="BF26" i="2"/>
  <c r="BG26" i="2"/>
  <c r="BH26" i="2"/>
  <c r="BI26" i="2"/>
  <c r="BJ26" i="2"/>
  <c r="BK26" i="2"/>
  <c r="BL26" i="2"/>
  <c r="BM26" i="2"/>
  <c r="BN26" i="2"/>
  <c r="BO26" i="2"/>
  <c r="BP26" i="2"/>
  <c r="BQ26" i="2"/>
  <c r="BR26" i="2"/>
  <c r="BU26" i="2"/>
  <c r="BV26" i="2"/>
  <c r="BW26" i="2"/>
  <c r="BX26" i="2"/>
  <c r="BY26" i="2"/>
  <c r="BZ26" i="2"/>
  <c r="CA26" i="2"/>
  <c r="CB26" i="2"/>
  <c r="CC26" i="2"/>
  <c r="CD26" i="2"/>
  <c r="CE26" i="2"/>
  <c r="CF26" i="2"/>
  <c r="CG26" i="2"/>
  <c r="CH26" i="2"/>
  <c r="CI26" i="2"/>
  <c r="CJ26" i="2"/>
  <c r="CK26" i="2"/>
  <c r="CL26" i="2"/>
  <c r="CM26" i="2"/>
  <c r="CN26" i="2"/>
  <c r="CO26" i="2"/>
  <c r="CP26" i="2"/>
  <c r="CQ26" i="2"/>
  <c r="CR26" i="2"/>
  <c r="CS26" i="2"/>
  <c r="A27" i="2"/>
  <c r="B27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AQ27" i="2"/>
  <c r="AR27" i="2"/>
  <c r="AS27" i="2"/>
  <c r="AT27" i="2"/>
  <c r="AU27" i="2"/>
  <c r="AV27" i="2"/>
  <c r="AW27" i="2"/>
  <c r="AX27" i="2"/>
  <c r="AY27" i="2"/>
  <c r="AZ27" i="2"/>
  <c r="BA27" i="2"/>
  <c r="BB27" i="2"/>
  <c r="BC27" i="2"/>
  <c r="BD27" i="2"/>
  <c r="BE27" i="2"/>
  <c r="BF27" i="2"/>
  <c r="BG27" i="2"/>
  <c r="BH27" i="2"/>
  <c r="BI27" i="2"/>
  <c r="BJ27" i="2"/>
  <c r="BK27" i="2"/>
  <c r="BL27" i="2"/>
  <c r="BM27" i="2"/>
  <c r="BN27" i="2"/>
  <c r="BO27" i="2"/>
  <c r="BP27" i="2"/>
  <c r="BQ27" i="2"/>
  <c r="BR27" i="2"/>
  <c r="BU27" i="2"/>
  <c r="BV27" i="2"/>
  <c r="BW27" i="2"/>
  <c r="BX27" i="2"/>
  <c r="BY27" i="2"/>
  <c r="BZ27" i="2"/>
  <c r="CA27" i="2"/>
  <c r="CB27" i="2"/>
  <c r="CC27" i="2"/>
  <c r="CD27" i="2"/>
  <c r="CE27" i="2"/>
  <c r="CF27" i="2"/>
  <c r="CG27" i="2"/>
  <c r="CH27" i="2"/>
  <c r="CI27" i="2"/>
  <c r="CJ27" i="2"/>
  <c r="CK27" i="2"/>
  <c r="CL27" i="2"/>
  <c r="CM27" i="2"/>
  <c r="CN27" i="2"/>
  <c r="CO27" i="2"/>
  <c r="CP27" i="2"/>
  <c r="CQ27" i="2"/>
  <c r="CR27" i="2"/>
  <c r="CS27" i="2"/>
  <c r="A28" i="2"/>
  <c r="B28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AR28" i="2"/>
  <c r="AS28" i="2"/>
  <c r="AT28" i="2"/>
  <c r="AU28" i="2"/>
  <c r="AV28" i="2"/>
  <c r="AW28" i="2"/>
  <c r="AX28" i="2"/>
  <c r="AY28" i="2"/>
  <c r="AZ28" i="2"/>
  <c r="BA28" i="2"/>
  <c r="BB28" i="2"/>
  <c r="BC28" i="2"/>
  <c r="BD28" i="2"/>
  <c r="BE28" i="2"/>
  <c r="BF28" i="2"/>
  <c r="BG28" i="2"/>
  <c r="BH28" i="2"/>
  <c r="BI28" i="2"/>
  <c r="BJ28" i="2"/>
  <c r="BK28" i="2"/>
  <c r="BL28" i="2"/>
  <c r="BM28" i="2"/>
  <c r="BN28" i="2"/>
  <c r="BO28" i="2"/>
  <c r="BP28" i="2"/>
  <c r="BQ28" i="2"/>
  <c r="BR28" i="2"/>
  <c r="BU28" i="2"/>
  <c r="BV28" i="2"/>
  <c r="BW28" i="2"/>
  <c r="BX28" i="2"/>
  <c r="BY28" i="2"/>
  <c r="BZ28" i="2"/>
  <c r="CA28" i="2"/>
  <c r="CB28" i="2"/>
  <c r="CC28" i="2"/>
  <c r="CD28" i="2"/>
  <c r="CE28" i="2"/>
  <c r="CF28" i="2"/>
  <c r="CG28" i="2"/>
  <c r="CH28" i="2"/>
  <c r="CI28" i="2"/>
  <c r="CJ28" i="2"/>
  <c r="CK28" i="2"/>
  <c r="CL28" i="2"/>
  <c r="CM28" i="2"/>
  <c r="CN28" i="2"/>
  <c r="CO28" i="2"/>
  <c r="CP28" i="2"/>
  <c r="CQ28" i="2"/>
  <c r="CR28" i="2"/>
  <c r="CS28" i="2"/>
  <c r="A29" i="2"/>
  <c r="B29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D29" i="2"/>
  <c r="AE29" i="2"/>
  <c r="AF29" i="2"/>
  <c r="AG29" i="2"/>
  <c r="AH29" i="2"/>
  <c r="AI29" i="2"/>
  <c r="AJ29" i="2"/>
  <c r="AK29" i="2"/>
  <c r="AL29" i="2"/>
  <c r="AM29" i="2"/>
  <c r="AN29" i="2"/>
  <c r="AO29" i="2"/>
  <c r="AP29" i="2"/>
  <c r="AQ29" i="2"/>
  <c r="AR29" i="2"/>
  <c r="AS29" i="2"/>
  <c r="AT29" i="2"/>
  <c r="AU29" i="2"/>
  <c r="AV29" i="2"/>
  <c r="AW29" i="2"/>
  <c r="AX29" i="2"/>
  <c r="AY29" i="2"/>
  <c r="AZ29" i="2"/>
  <c r="BA29" i="2"/>
  <c r="BB29" i="2"/>
  <c r="BC29" i="2"/>
  <c r="BD29" i="2"/>
  <c r="BE29" i="2"/>
  <c r="BF29" i="2"/>
  <c r="BG29" i="2"/>
  <c r="BH29" i="2"/>
  <c r="BI29" i="2"/>
  <c r="BJ29" i="2"/>
  <c r="BK29" i="2"/>
  <c r="BL29" i="2"/>
  <c r="BM29" i="2"/>
  <c r="BN29" i="2"/>
  <c r="BO29" i="2"/>
  <c r="BP29" i="2"/>
  <c r="BQ29" i="2"/>
  <c r="BR29" i="2"/>
  <c r="BU29" i="2"/>
  <c r="BV29" i="2"/>
  <c r="BW29" i="2"/>
  <c r="BX29" i="2"/>
  <c r="BY29" i="2"/>
  <c r="BZ29" i="2"/>
  <c r="CA29" i="2"/>
  <c r="CB29" i="2"/>
  <c r="CC29" i="2"/>
  <c r="CD29" i="2"/>
  <c r="CE29" i="2"/>
  <c r="CF29" i="2"/>
  <c r="CG29" i="2"/>
  <c r="CH29" i="2"/>
  <c r="CI29" i="2"/>
  <c r="CJ29" i="2"/>
  <c r="CK29" i="2"/>
  <c r="CL29" i="2"/>
  <c r="CM29" i="2"/>
  <c r="CN29" i="2"/>
  <c r="CO29" i="2"/>
  <c r="CP29" i="2"/>
  <c r="CQ29" i="2"/>
  <c r="CR29" i="2"/>
  <c r="CS29" i="2"/>
  <c r="A30" i="2"/>
  <c r="B30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AP30" i="2"/>
  <c r="AQ30" i="2"/>
  <c r="AR30" i="2"/>
  <c r="AS30" i="2"/>
  <c r="AT30" i="2"/>
  <c r="AU30" i="2"/>
  <c r="AV30" i="2"/>
  <c r="AW30" i="2"/>
  <c r="AX30" i="2"/>
  <c r="AY30" i="2"/>
  <c r="AZ30" i="2"/>
  <c r="BA30" i="2"/>
  <c r="BB30" i="2"/>
  <c r="BC30" i="2"/>
  <c r="BD30" i="2"/>
  <c r="BE30" i="2"/>
  <c r="BF30" i="2"/>
  <c r="BG30" i="2"/>
  <c r="BH30" i="2"/>
  <c r="BI30" i="2"/>
  <c r="BJ30" i="2"/>
  <c r="BK30" i="2"/>
  <c r="BL30" i="2"/>
  <c r="BM30" i="2"/>
  <c r="BN30" i="2"/>
  <c r="BO30" i="2"/>
  <c r="BP30" i="2"/>
  <c r="BQ30" i="2"/>
  <c r="BR30" i="2"/>
  <c r="BU30" i="2"/>
  <c r="BV30" i="2"/>
  <c r="BW30" i="2"/>
  <c r="BX30" i="2"/>
  <c r="BY30" i="2"/>
  <c r="BZ30" i="2"/>
  <c r="CA30" i="2"/>
  <c r="CB30" i="2"/>
  <c r="CC30" i="2"/>
  <c r="CD30" i="2"/>
  <c r="CE30" i="2"/>
  <c r="CF30" i="2"/>
  <c r="CG30" i="2"/>
  <c r="CH30" i="2"/>
  <c r="CI30" i="2"/>
  <c r="CJ30" i="2"/>
  <c r="CK30" i="2"/>
  <c r="CL30" i="2"/>
  <c r="CM30" i="2"/>
  <c r="CN30" i="2"/>
  <c r="CO30" i="2"/>
  <c r="CP30" i="2"/>
  <c r="CQ30" i="2"/>
  <c r="CR30" i="2"/>
  <c r="CS30" i="2"/>
  <c r="A31" i="2"/>
  <c r="B31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P31" i="2"/>
  <c r="AQ31" i="2"/>
  <c r="AR31" i="2"/>
  <c r="AS31" i="2"/>
  <c r="AT31" i="2"/>
  <c r="AU31" i="2"/>
  <c r="AV31" i="2"/>
  <c r="AW31" i="2"/>
  <c r="AX31" i="2"/>
  <c r="AY31" i="2"/>
  <c r="AZ31" i="2"/>
  <c r="BA31" i="2"/>
  <c r="BB31" i="2"/>
  <c r="BC31" i="2"/>
  <c r="BD31" i="2"/>
  <c r="BE31" i="2"/>
  <c r="BF31" i="2"/>
  <c r="BG31" i="2"/>
  <c r="BH31" i="2"/>
  <c r="BI31" i="2"/>
  <c r="BJ31" i="2"/>
  <c r="BK31" i="2"/>
  <c r="BL31" i="2"/>
  <c r="BM31" i="2"/>
  <c r="BN31" i="2"/>
  <c r="BO31" i="2"/>
  <c r="BP31" i="2"/>
  <c r="BQ31" i="2"/>
  <c r="BR31" i="2"/>
  <c r="BU31" i="2"/>
  <c r="BV31" i="2"/>
  <c r="BW31" i="2"/>
  <c r="BX31" i="2"/>
  <c r="BY31" i="2"/>
  <c r="BZ31" i="2"/>
  <c r="CA31" i="2"/>
  <c r="CB31" i="2"/>
  <c r="CC31" i="2"/>
  <c r="CD31" i="2"/>
  <c r="CE31" i="2"/>
  <c r="CF31" i="2"/>
  <c r="CG31" i="2"/>
  <c r="CH31" i="2"/>
  <c r="CI31" i="2"/>
  <c r="CJ31" i="2"/>
  <c r="CK31" i="2"/>
  <c r="CL31" i="2"/>
  <c r="CM31" i="2"/>
  <c r="CN31" i="2"/>
  <c r="CO31" i="2"/>
  <c r="CP31" i="2"/>
  <c r="CQ31" i="2"/>
  <c r="CR31" i="2"/>
  <c r="CS31" i="2"/>
  <c r="ED40" i="1"/>
  <c r="EE40" i="1"/>
  <c r="EF40" i="1"/>
  <c r="EG40" i="1"/>
  <c r="EH40" i="1"/>
  <c r="EI40" i="1"/>
  <c r="EJ40" i="1"/>
  <c r="EK40" i="1"/>
  <c r="EL40" i="1"/>
  <c r="EM40" i="1"/>
  <c r="EN40" i="1"/>
  <c r="EO40" i="1"/>
  <c r="EP40" i="1"/>
  <c r="EQ40" i="1"/>
  <c r="ER40" i="1"/>
  <c r="ES40" i="1"/>
  <c r="ET40" i="1"/>
  <c r="EU40" i="1"/>
  <c r="EV40" i="1"/>
  <c r="EW40" i="1"/>
  <c r="EX40" i="1"/>
  <c r="EY40" i="1"/>
  <c r="EZ40" i="1"/>
  <c r="FA40" i="1"/>
  <c r="FB40" i="1"/>
  <c r="FC40" i="1"/>
  <c r="FD40" i="1"/>
  <c r="FE40" i="1"/>
  <c r="FF40" i="1"/>
  <c r="FG40" i="1"/>
  <c r="FH40" i="1"/>
  <c r="FI40" i="1"/>
  <c r="FJ40" i="1"/>
  <c r="FK40" i="1"/>
  <c r="FL40" i="1"/>
  <c r="FM40" i="1"/>
  <c r="FN40" i="1"/>
  <c r="FO40" i="1"/>
  <c r="FP40" i="1"/>
  <c r="FQ40" i="1"/>
  <c r="FR40" i="1"/>
  <c r="FS40" i="1"/>
  <c r="FT40" i="1"/>
  <c r="FU40" i="1"/>
  <c r="FV40" i="1"/>
  <c r="FW40" i="1"/>
  <c r="FX40" i="1"/>
  <c r="FY40" i="1"/>
  <c r="FZ40" i="1"/>
  <c r="GA40" i="1"/>
  <c r="GB40" i="1"/>
  <c r="GC40" i="1"/>
  <c r="GD40" i="1"/>
  <c r="GE40" i="1"/>
  <c r="GF40" i="1"/>
  <c r="GG40" i="1"/>
  <c r="GH40" i="1"/>
  <c r="GI40" i="1"/>
  <c r="GJ40" i="1"/>
  <c r="GK40" i="1"/>
  <c r="GL40" i="1"/>
  <c r="GM40" i="1"/>
  <c r="GN40" i="1"/>
  <c r="GO40" i="1"/>
  <c r="GP40" i="1"/>
  <c r="GQ40" i="1"/>
  <c r="GR40" i="1"/>
  <c r="GS40" i="1"/>
  <c r="GT40" i="1"/>
  <c r="GU40" i="1"/>
  <c r="GV40" i="1"/>
  <c r="GW40" i="1"/>
  <c r="GX40" i="1"/>
  <c r="GY40" i="1"/>
  <c r="GZ40" i="1"/>
  <c r="HA40" i="1"/>
  <c r="HB40" i="1"/>
  <c r="HC40" i="1"/>
  <c r="HD40" i="1"/>
  <c r="HE40" i="1"/>
  <c r="HF40" i="1"/>
  <c r="HG40" i="1"/>
  <c r="HH40" i="1"/>
  <c r="HI40" i="1"/>
  <c r="HJ40" i="1"/>
  <c r="HK40" i="1"/>
  <c r="HL40" i="1"/>
  <c r="HM40" i="1"/>
  <c r="HN40" i="1"/>
  <c r="HO40" i="1"/>
  <c r="HP40" i="1"/>
  <c r="HQ40" i="1"/>
  <c r="HR40" i="1"/>
  <c r="HS40" i="1"/>
  <c r="HT40" i="1"/>
  <c r="HU40" i="1"/>
  <c r="HV40" i="1"/>
  <c r="HW40" i="1"/>
  <c r="HX40" i="1"/>
  <c r="HY40" i="1"/>
  <c r="HZ40" i="1"/>
  <c r="IA40" i="1"/>
  <c r="IB40" i="1"/>
  <c r="IC40" i="1"/>
  <c r="ID40" i="1"/>
  <c r="IE40" i="1"/>
  <c r="IF40" i="1"/>
  <c r="IG40" i="1"/>
  <c r="IH40" i="1"/>
  <c r="II40" i="1"/>
  <c r="IJ40" i="1"/>
  <c r="IK40" i="1"/>
  <c r="IL40" i="1"/>
  <c r="IM40" i="1"/>
  <c r="IN40" i="1"/>
  <c r="IO40" i="1"/>
  <c r="IP40" i="1"/>
  <c r="IQ40" i="1"/>
  <c r="IR40" i="1"/>
  <c r="EC40" i="1"/>
  <c r="CK41" i="5" l="1"/>
  <c r="EB41" i="2" s="1"/>
  <c r="CC2" i="12" s="1"/>
  <c r="CK38" i="5"/>
  <c r="BU34" i="5"/>
  <c r="CJ44" i="5"/>
  <c r="BM34" i="5"/>
  <c r="CJ39" i="5"/>
  <c r="EA39" i="2" s="1"/>
  <c r="BR2" i="12" s="1"/>
  <c r="BN34" i="5"/>
  <c r="CJ43" i="5"/>
  <c r="EA43" i="2" s="1"/>
  <c r="BV2" i="12" s="1"/>
  <c r="CC34" i="5"/>
  <c r="CK43" i="5"/>
  <c r="EB43" i="2" s="1"/>
  <c r="CE2" i="12" s="1"/>
  <c r="BS34" i="5"/>
  <c r="CJ45" i="5"/>
  <c r="EA45" i="2" s="1"/>
  <c r="BX2" i="12" s="1"/>
  <c r="ES3" i="5"/>
  <c r="ET3" i="5" s="1"/>
  <c r="CE34" i="5"/>
  <c r="CK40" i="5"/>
  <c r="EB40" i="2" s="1"/>
  <c r="BW34" i="5"/>
  <c r="CJ41" i="5"/>
  <c r="CJ34" i="5"/>
  <c r="CK45" i="5"/>
  <c r="CX34" i="2"/>
  <c r="DU38" i="2"/>
  <c r="DD34" i="2"/>
  <c r="DU45" i="2"/>
  <c r="DZ45" i="2" s="1"/>
  <c r="BO2" i="12" s="1"/>
  <c r="CW34" i="2"/>
  <c r="DU39" i="2"/>
  <c r="DZ39" i="2" s="1"/>
  <c r="BI2" i="12" s="1"/>
  <c r="CY34" i="2"/>
  <c r="DU41" i="2"/>
  <c r="DB34" i="2"/>
  <c r="DU40" i="2"/>
  <c r="C30" i="10"/>
  <c r="B29" i="12" s="1"/>
  <c r="C21" i="10"/>
  <c r="B20" i="12" s="1"/>
  <c r="C12" i="10"/>
  <c r="B11" i="12" s="1"/>
  <c r="C17" i="10"/>
  <c r="B16" i="12" s="1"/>
  <c r="C28" i="10"/>
  <c r="B27" i="12" s="1"/>
  <c r="C23" i="10"/>
  <c r="B22" i="12" s="1"/>
  <c r="C25" i="10"/>
  <c r="B24" i="12" s="1"/>
  <c r="C31" i="10"/>
  <c r="B30" i="12" s="1"/>
  <c r="C32" i="10"/>
  <c r="B31" i="12" s="1"/>
  <c r="C14" i="10"/>
  <c r="B13" i="12" s="1"/>
  <c r="C16" i="10"/>
  <c r="B15" i="12" s="1"/>
  <c r="C18" i="10"/>
  <c r="B17" i="12" s="1"/>
  <c r="C19" i="10"/>
  <c r="B18" i="12" s="1"/>
  <c r="C27" i="10"/>
  <c r="B26" i="12" s="1"/>
  <c r="C13" i="10"/>
  <c r="B12" i="12" s="1"/>
  <c r="C7" i="10"/>
  <c r="B6" i="12" s="1"/>
  <c r="C4" i="10"/>
  <c r="B3" i="12" s="1"/>
  <c r="C6" i="10"/>
  <c r="B5" i="12" s="1"/>
  <c r="C10" i="10"/>
  <c r="B9" i="12" s="1"/>
  <c r="C15" i="10"/>
  <c r="B14" i="12" s="1"/>
  <c r="C26" i="10"/>
  <c r="B25" i="12" s="1"/>
  <c r="C24" i="10"/>
  <c r="B23" i="12" s="1"/>
  <c r="C8" i="10"/>
  <c r="B7" i="12" s="1"/>
  <c r="C20" i="10"/>
  <c r="B19" i="12" s="1"/>
  <c r="C29" i="10"/>
  <c r="B28" i="12" s="1"/>
  <c r="C9" i="10"/>
  <c r="B8" i="12" s="1"/>
  <c r="C22" i="10"/>
  <c r="B21" i="12" s="1"/>
  <c r="C5" i="10"/>
  <c r="B4" i="12" s="1"/>
  <c r="CN18" i="5"/>
  <c r="CO18" i="5" s="1"/>
  <c r="CN24" i="5"/>
  <c r="CO24" i="5" s="1"/>
  <c r="CN22" i="5"/>
  <c r="CO22" i="5" s="1"/>
  <c r="CN8" i="5"/>
  <c r="CO8" i="5" s="1"/>
  <c r="CO3" i="5"/>
  <c r="CN5" i="5"/>
  <c r="CO5" i="5" s="1"/>
  <c r="CN11" i="5"/>
  <c r="CO11" i="5" s="1"/>
  <c r="CK6" i="5"/>
  <c r="CL6" i="5" s="1"/>
  <c r="CN10" i="5"/>
  <c r="CO10" i="5" s="1"/>
  <c r="CN19" i="5"/>
  <c r="CO19" i="5" s="1"/>
  <c r="CN23" i="5"/>
  <c r="CO23" i="5" s="1"/>
  <c r="CK9" i="5"/>
  <c r="CL9" i="5" s="1"/>
  <c r="CN29" i="5"/>
  <c r="CO29" i="5" s="1"/>
  <c r="CN25" i="5"/>
  <c r="CO25" i="5" s="1"/>
  <c r="BJ14" i="5"/>
  <c r="BK14" i="5" s="1"/>
  <c r="BY3" i="5"/>
  <c r="BZ3" i="5" s="1"/>
  <c r="AB3" i="5"/>
  <c r="AC3" i="5" s="1"/>
  <c r="CK7" i="5"/>
  <c r="CL7" i="5" s="1"/>
  <c r="BY8" i="5"/>
  <c r="BZ8" i="5" s="1"/>
  <c r="CK27" i="5"/>
  <c r="CL27" i="5" s="1"/>
  <c r="BJ31" i="5"/>
  <c r="BK31" i="5" s="1"/>
  <c r="BC7" i="5"/>
  <c r="BD7" i="5" s="1"/>
  <c r="AB9" i="5"/>
  <c r="AC9" i="5" s="1"/>
  <c r="AB22" i="5"/>
  <c r="AC22" i="5" s="1"/>
  <c r="CN7" i="5"/>
  <c r="CO7" i="5" s="1"/>
  <c r="AB18" i="5"/>
  <c r="AC18" i="5" s="1"/>
  <c r="CN21" i="5"/>
  <c r="CO21" i="5" s="1"/>
  <c r="CN17" i="5"/>
  <c r="CO17" i="5" s="1"/>
  <c r="CN15" i="5"/>
  <c r="CO15" i="5" s="1"/>
  <c r="CN6" i="5"/>
  <c r="CO6" i="5" s="1"/>
  <c r="CL3" i="5"/>
  <c r="EE29" i="2"/>
  <c r="EE21" i="2"/>
  <c r="DP6" i="2"/>
  <c r="EE10" i="2"/>
  <c r="EE13" i="2"/>
  <c r="EE24" i="2"/>
  <c r="DZ6" i="2"/>
  <c r="EE8" i="2"/>
  <c r="BS12" i="2"/>
  <c r="BT12" i="2" s="1"/>
  <c r="F13" i="6" s="1"/>
  <c r="DH31" i="2"/>
  <c r="EE25" i="2"/>
  <c r="AB3" i="2"/>
  <c r="EE4" i="2"/>
  <c r="EE17" i="2"/>
  <c r="EE28" i="2"/>
  <c r="EE12" i="2"/>
  <c r="EE26" i="2"/>
  <c r="EE9" i="2"/>
  <c r="BS27" i="2"/>
  <c r="BT27" i="2" s="1"/>
  <c r="F28" i="6" s="1"/>
  <c r="AB7" i="2"/>
  <c r="G8" i="6" s="1"/>
  <c r="CT6" i="2"/>
  <c r="EE16" i="2"/>
  <c r="DP14" i="2"/>
  <c r="BS11" i="2"/>
  <c r="BT11" i="2" s="1"/>
  <c r="F12" i="6" s="1"/>
  <c r="DH15" i="2"/>
  <c r="AB19" i="2"/>
  <c r="DH3" i="2"/>
  <c r="EE20" i="2"/>
  <c r="EE5" i="2"/>
  <c r="BS21" i="2"/>
  <c r="BT21" i="2" s="1"/>
  <c r="F21" i="6" s="1"/>
  <c r="BS23" i="2"/>
  <c r="BT23" i="2" s="1"/>
  <c r="F23" i="6" s="1"/>
  <c r="DP18" i="2"/>
  <c r="AB31" i="2"/>
  <c r="DH19" i="2"/>
  <c r="EE3" i="2"/>
  <c r="M4" i="6" s="1"/>
  <c r="CK28" i="5"/>
  <c r="CL28" i="5" s="1"/>
  <c r="BJ10" i="5"/>
  <c r="BK10" i="5" s="1"/>
  <c r="BJ15" i="5"/>
  <c r="BK15" i="5" s="1"/>
  <c r="CN27" i="5"/>
  <c r="CO27" i="5" s="1"/>
  <c r="CK8" i="5"/>
  <c r="CL8" i="5" s="1"/>
  <c r="ES7" i="5"/>
  <c r="ET7" i="5" s="1"/>
  <c r="N8" i="6" s="1"/>
  <c r="CN4" i="5"/>
  <c r="CO4" i="5" s="1"/>
  <c r="CK31" i="5"/>
  <c r="CL31" i="5" s="1"/>
  <c r="AB26" i="5"/>
  <c r="AC26" i="5" s="1"/>
  <c r="CN12" i="5"/>
  <c r="CO12" i="5" s="1"/>
  <c r="BY24" i="5"/>
  <c r="BZ24" i="5" s="1"/>
  <c r="BJ24" i="5"/>
  <c r="BK24" i="5" s="1"/>
  <c r="BY19" i="5"/>
  <c r="BZ19" i="5" s="1"/>
  <c r="CK18" i="5"/>
  <c r="CL18" i="5" s="1"/>
  <c r="CK11" i="5"/>
  <c r="CL11" i="5" s="1"/>
  <c r="CK25" i="5"/>
  <c r="CL25" i="5" s="1"/>
  <c r="BC14" i="5"/>
  <c r="BD14" i="5" s="1"/>
  <c r="BY27" i="5"/>
  <c r="BZ27" i="5" s="1"/>
  <c r="ES12" i="5"/>
  <c r="ET12" i="5" s="1"/>
  <c r="N13" i="6" s="1"/>
  <c r="CN26" i="5"/>
  <c r="CO26" i="5" s="1"/>
  <c r="BY26" i="5"/>
  <c r="BZ26" i="5" s="1"/>
  <c r="BJ22" i="5"/>
  <c r="BK22" i="5" s="1"/>
  <c r="BJ20" i="5"/>
  <c r="BK20" i="5" s="1"/>
  <c r="ES23" i="5"/>
  <c r="ET23" i="5" s="1"/>
  <c r="N23" i="6" s="1"/>
  <c r="BJ23" i="5"/>
  <c r="BK23" i="5" s="1"/>
  <c r="CK26" i="5"/>
  <c r="CL26" i="5" s="1"/>
  <c r="AB21" i="5"/>
  <c r="AC21" i="5" s="1"/>
  <c r="BY10" i="5"/>
  <c r="BZ10" i="5" s="1"/>
  <c r="ES5" i="5"/>
  <c r="ET5" i="5" s="1"/>
  <c r="N6" i="6" s="1"/>
  <c r="CK30" i="5"/>
  <c r="CL30" i="5" s="1"/>
  <c r="BJ29" i="5"/>
  <c r="BK29" i="5" s="1"/>
  <c r="CN28" i="5"/>
  <c r="CO28" i="5" s="1"/>
  <c r="BJ26" i="5"/>
  <c r="BK26" i="5" s="1"/>
  <c r="CN20" i="5"/>
  <c r="CO20" i="5" s="1"/>
  <c r="CK12" i="5"/>
  <c r="CL12" i="5" s="1"/>
  <c r="CN13" i="5"/>
  <c r="CO13" i="5" s="1"/>
  <c r="CK23" i="5"/>
  <c r="CL23" i="5" s="1"/>
  <c r="BJ28" i="5"/>
  <c r="BK28" i="5" s="1"/>
  <c r="BJ17" i="5"/>
  <c r="BK17" i="5" s="1"/>
  <c r="CK24" i="5"/>
  <c r="CL24" i="5" s="1"/>
  <c r="CK22" i="5"/>
  <c r="CL22" i="5" s="1"/>
  <c r="BY16" i="5"/>
  <c r="BZ16" i="5" s="1"/>
  <c r="BJ7" i="5"/>
  <c r="BK7" i="5" s="1"/>
  <c r="CK14" i="5"/>
  <c r="CL14" i="5" s="1"/>
  <c r="CK19" i="5"/>
  <c r="CL19" i="5" s="1"/>
  <c r="BJ5" i="5"/>
  <c r="BK5" i="5" s="1"/>
  <c r="BC4" i="5"/>
  <c r="BD4" i="5" s="1"/>
  <c r="AB24" i="5"/>
  <c r="AC24" i="5" s="1"/>
  <c r="BY18" i="5"/>
  <c r="BZ18" i="5" s="1"/>
  <c r="BJ25" i="5"/>
  <c r="BK25" i="5" s="1"/>
  <c r="BY13" i="5"/>
  <c r="BZ13" i="5" s="1"/>
  <c r="CN31" i="5"/>
  <c r="CO31" i="5" s="1"/>
  <c r="BC31" i="5"/>
  <c r="BD31" i="5" s="1"/>
  <c r="CN16" i="5"/>
  <c r="CO16" i="5" s="1"/>
  <c r="AB5" i="5"/>
  <c r="AC5" i="5" s="1"/>
  <c r="ES18" i="5"/>
  <c r="ET18" i="5" s="1"/>
  <c r="N18" i="6" s="1"/>
  <c r="ES10" i="5"/>
  <c r="ET10" i="5" s="1"/>
  <c r="N11" i="6" s="1"/>
  <c r="AB10" i="5"/>
  <c r="AC10" i="5" s="1"/>
  <c r="AB19" i="5"/>
  <c r="AC19" i="5" s="1"/>
  <c r="ES9" i="5"/>
  <c r="ET9" i="5" s="1"/>
  <c r="N10" i="6" s="1"/>
  <c r="BC19" i="5"/>
  <c r="BD19" i="5" s="1"/>
  <c r="AB8" i="5"/>
  <c r="AC8" i="5" s="1"/>
  <c r="AB27" i="5"/>
  <c r="AC27" i="5" s="1"/>
  <c r="CK15" i="5"/>
  <c r="CL15" i="5" s="1"/>
  <c r="BC15" i="5"/>
  <c r="BD15" i="5" s="1"/>
  <c r="BY29" i="5"/>
  <c r="BZ29" i="5" s="1"/>
  <c r="ES17" i="5"/>
  <c r="ET17" i="5" s="1"/>
  <c r="N24" i="6" s="1"/>
  <c r="ES29" i="5"/>
  <c r="ET29" i="5" s="1"/>
  <c r="N30" i="6" s="1"/>
  <c r="AB29" i="5"/>
  <c r="AC29" i="5" s="1"/>
  <c r="BY5" i="5"/>
  <c r="BZ5" i="5" s="1"/>
  <c r="BY7" i="5"/>
  <c r="BZ7" i="5" s="1"/>
  <c r="BY28" i="5"/>
  <c r="BZ28" i="5" s="1"/>
  <c r="BC27" i="5"/>
  <c r="BD27" i="5" s="1"/>
  <c r="AB11" i="5"/>
  <c r="AC11" i="5" s="1"/>
  <c r="ES8" i="5"/>
  <c r="ET8" i="5" s="1"/>
  <c r="N9" i="6" s="1"/>
  <c r="BJ8" i="5"/>
  <c r="BK8" i="5" s="1"/>
  <c r="BJ11" i="5"/>
  <c r="BK11" i="5" s="1"/>
  <c r="CK17" i="5"/>
  <c r="CL17" i="5" s="1"/>
  <c r="BC28" i="5"/>
  <c r="BD28" i="5" s="1"/>
  <c r="BC26" i="5"/>
  <c r="BD26" i="5" s="1"/>
  <c r="ES22" i="5"/>
  <c r="ET22" i="5" s="1"/>
  <c r="N22" i="6" s="1"/>
  <c r="ES15" i="5"/>
  <c r="ET15" i="5" s="1"/>
  <c r="N16" i="6" s="1"/>
  <c r="BJ13" i="5"/>
  <c r="BK13" i="5" s="1"/>
  <c r="ES20" i="5"/>
  <c r="ET20" i="5" s="1"/>
  <c r="N20" i="6" s="1"/>
  <c r="BC18" i="5"/>
  <c r="BD18" i="5" s="1"/>
  <c r="BC22" i="5"/>
  <c r="BD22" i="5" s="1"/>
  <c r="BY21" i="5"/>
  <c r="BZ21" i="5" s="1"/>
  <c r="BJ21" i="5"/>
  <c r="BK21" i="5" s="1"/>
  <c r="BJ18" i="5"/>
  <c r="BK18" i="5" s="1"/>
  <c r="AB14" i="5"/>
  <c r="AC14" i="5" s="1"/>
  <c r="BJ12" i="5"/>
  <c r="BK12" i="5" s="1"/>
  <c r="BJ30" i="5"/>
  <c r="BK30" i="5" s="1"/>
  <c r="BC20" i="5"/>
  <c r="BD20" i="5" s="1"/>
  <c r="CN14" i="5"/>
  <c r="CO14" i="5" s="1"/>
  <c r="BC30" i="5"/>
  <c r="BD30" i="5" s="1"/>
  <c r="AB30" i="5"/>
  <c r="AC30" i="5" s="1"/>
  <c r="BC9" i="5"/>
  <c r="BD9" i="5" s="1"/>
  <c r="ES24" i="5"/>
  <c r="ET24" i="5" s="1"/>
  <c r="N25" i="6" s="1"/>
  <c r="BJ6" i="5"/>
  <c r="BK6" i="5" s="1"/>
  <c r="AB6" i="5"/>
  <c r="AC6" i="5" s="1"/>
  <c r="ES30" i="5"/>
  <c r="ET30" i="5" s="1"/>
  <c r="N31" i="6" s="1"/>
  <c r="ES21" i="5"/>
  <c r="ET21" i="5" s="1"/>
  <c r="N21" i="6" s="1"/>
  <c r="CK16" i="5"/>
  <c r="CL16" i="5" s="1"/>
  <c r="AB25" i="5"/>
  <c r="AC25" i="5" s="1"/>
  <c r="BC23" i="5"/>
  <c r="BD23" i="5" s="1"/>
  <c r="BC17" i="5"/>
  <c r="BD17" i="5" s="1"/>
  <c r="BC6" i="5"/>
  <c r="BD6" i="5" s="1"/>
  <c r="BY15" i="5"/>
  <c r="BZ15" i="5" s="1"/>
  <c r="ES25" i="5"/>
  <c r="ET25" i="5" s="1"/>
  <c r="BC3" i="5"/>
  <c r="BD3" i="5" s="1"/>
  <c r="ES31" i="5"/>
  <c r="ET31" i="5" s="1"/>
  <c r="N32" i="6" s="1"/>
  <c r="CN30" i="5"/>
  <c r="CO30" i="5" s="1"/>
  <c r="BC25" i="5"/>
  <c r="BD25" i="5" s="1"/>
  <c r="BC24" i="5"/>
  <c r="BD24" i="5" s="1"/>
  <c r="CK20" i="5"/>
  <c r="CL20" i="5" s="1"/>
  <c r="BY12" i="5"/>
  <c r="BZ12" i="5" s="1"/>
  <c r="AB12" i="5"/>
  <c r="AC12" i="5" s="1"/>
  <c r="BY11" i="5"/>
  <c r="BZ11" i="5" s="1"/>
  <c r="BJ9" i="5"/>
  <c r="BK9" i="5" s="1"/>
  <c r="BJ3" i="5"/>
  <c r="BK3" i="5" s="1"/>
  <c r="BY30" i="5"/>
  <c r="BZ30" i="5" s="1"/>
  <c r="ES26" i="5"/>
  <c r="ET26" i="5" s="1"/>
  <c r="BY31" i="5"/>
  <c r="BZ31" i="5" s="1"/>
  <c r="ES28" i="5"/>
  <c r="ET28" i="5" s="1"/>
  <c r="N29" i="6" s="1"/>
  <c r="AB13" i="5"/>
  <c r="AC13" i="5" s="1"/>
  <c r="CN9" i="5"/>
  <c r="CO9" i="5" s="1"/>
  <c r="ES4" i="5"/>
  <c r="ET4" i="5" s="1"/>
  <c r="N5" i="6" s="1"/>
  <c r="AB31" i="5"/>
  <c r="AC31" i="5" s="1"/>
  <c r="BJ27" i="5"/>
  <c r="BK27" i="5" s="1"/>
  <c r="AB17" i="5"/>
  <c r="AC17" i="5" s="1"/>
  <c r="AB16" i="5"/>
  <c r="AC16" i="5" s="1"/>
  <c r="BC12" i="5"/>
  <c r="BD12" i="5" s="1"/>
  <c r="BC16" i="5"/>
  <c r="BD16" i="5" s="1"/>
  <c r="BY9" i="5"/>
  <c r="BZ9" i="5" s="1"/>
  <c r="BJ4" i="5"/>
  <c r="BK4" i="5" s="1"/>
  <c r="BY17" i="5"/>
  <c r="BZ17" i="5" s="1"/>
  <c r="ES27" i="5"/>
  <c r="ET27" i="5" s="1"/>
  <c r="N28" i="6" s="1"/>
  <c r="CK21" i="5"/>
  <c r="CL21" i="5" s="1"/>
  <c r="BC21" i="5"/>
  <c r="BD21" i="5" s="1"/>
  <c r="AB15" i="5"/>
  <c r="AC15" i="5" s="1"/>
  <c r="BY14" i="5"/>
  <c r="BZ14" i="5" s="1"/>
  <c r="ES6" i="5"/>
  <c r="ET6" i="5" s="1"/>
  <c r="N7" i="6" s="1"/>
  <c r="AB28" i="5"/>
  <c r="AC28" i="5" s="1"/>
  <c r="ES19" i="5"/>
  <c r="ET19" i="5" s="1"/>
  <c r="N19" i="6" s="1"/>
  <c r="CK13" i="5"/>
  <c r="CL13" i="5" s="1"/>
  <c r="BC13" i="5"/>
  <c r="BD13" i="5" s="1"/>
  <c r="AB7" i="5"/>
  <c r="AC7" i="5" s="1"/>
  <c r="BY6" i="5"/>
  <c r="BZ6" i="5" s="1"/>
  <c r="BY4" i="5"/>
  <c r="BZ4" i="5" s="1"/>
  <c r="BY25" i="5"/>
  <c r="BZ25" i="5" s="1"/>
  <c r="AB4" i="5"/>
  <c r="AC4" i="5" s="1"/>
  <c r="BY23" i="5"/>
  <c r="BZ23" i="5" s="1"/>
  <c r="BJ19" i="5"/>
  <c r="BK19" i="5" s="1"/>
  <c r="ES16" i="5"/>
  <c r="ET16" i="5" s="1"/>
  <c r="N17" i="6" s="1"/>
  <c r="BC11" i="5"/>
  <c r="BD11" i="5" s="1"/>
  <c r="CK10" i="5"/>
  <c r="CL10" i="5" s="1"/>
  <c r="CK29" i="5"/>
  <c r="CL29" i="5" s="1"/>
  <c r="BC29" i="5"/>
  <c r="BD29" i="5" s="1"/>
  <c r="AB23" i="5"/>
  <c r="AC23" i="5" s="1"/>
  <c r="BY22" i="5"/>
  <c r="BZ22" i="5" s="1"/>
  <c r="ES14" i="5"/>
  <c r="ET14" i="5" s="1"/>
  <c r="BC10" i="5"/>
  <c r="BD10" i="5" s="1"/>
  <c r="BY20" i="5"/>
  <c r="BZ20" i="5" s="1"/>
  <c r="BJ16" i="5"/>
  <c r="BK16" i="5" s="1"/>
  <c r="ES13" i="5"/>
  <c r="ET13" i="5" s="1"/>
  <c r="BC8" i="5"/>
  <c r="BD8" i="5" s="1"/>
  <c r="AB20" i="5"/>
  <c r="AC20" i="5" s="1"/>
  <c r="ES11" i="5"/>
  <c r="ET11" i="5" s="1"/>
  <c r="N12" i="6" s="1"/>
  <c r="CK5" i="5"/>
  <c r="CL5" i="5" s="1"/>
  <c r="BC5" i="5"/>
  <c r="BD5" i="5" s="1"/>
  <c r="AB9" i="2"/>
  <c r="AB15" i="2"/>
  <c r="CT30" i="2"/>
  <c r="BS30" i="2"/>
  <c r="BT30" i="2" s="1"/>
  <c r="EE22" i="2"/>
  <c r="EE7" i="2"/>
  <c r="DZ26" i="2"/>
  <c r="CT4" i="2"/>
  <c r="DP30" i="2"/>
  <c r="DP22" i="2"/>
  <c r="AB11" i="2"/>
  <c r="CT8" i="2"/>
  <c r="EE31" i="2"/>
  <c r="DH17" i="2"/>
  <c r="BS9" i="2"/>
  <c r="BT9" i="2" s="1"/>
  <c r="F10" i="6" s="1"/>
  <c r="EE23" i="2"/>
  <c r="DZ22" i="2"/>
  <c r="L22" i="6" s="1"/>
  <c r="DH7" i="2"/>
  <c r="BS24" i="2"/>
  <c r="BT24" i="2" s="1"/>
  <c r="F25" i="6" s="1"/>
  <c r="EE19" i="2"/>
  <c r="EE15" i="2"/>
  <c r="EE27" i="2"/>
  <c r="EE11" i="2"/>
  <c r="DP24" i="2"/>
  <c r="DP26" i="2"/>
  <c r="BS31" i="2"/>
  <c r="BT31" i="2" s="1"/>
  <c r="F32" i="6" s="1"/>
  <c r="EE30" i="2"/>
  <c r="BS7" i="2"/>
  <c r="BT7" i="2" s="1"/>
  <c r="F8" i="6" s="1"/>
  <c r="BS5" i="2"/>
  <c r="BT5" i="2" s="1"/>
  <c r="F6" i="6" s="1"/>
  <c r="DH11" i="2"/>
  <c r="CT14" i="2"/>
  <c r="BS14" i="2"/>
  <c r="BT14" i="2" s="1"/>
  <c r="F15" i="6" s="1"/>
  <c r="CT3" i="2"/>
  <c r="BS3" i="2"/>
  <c r="BT3" i="2" s="1"/>
  <c r="F4" i="6" s="1"/>
  <c r="AB27" i="2"/>
  <c r="G28" i="6" s="1"/>
  <c r="DH23" i="2"/>
  <c r="AB23" i="2"/>
  <c r="CT18" i="2"/>
  <c r="DP3" i="2"/>
  <c r="CT22" i="2"/>
  <c r="BS6" i="2"/>
  <c r="BT6" i="2" s="1"/>
  <c r="F7" i="6" s="1"/>
  <c r="EE14" i="2"/>
  <c r="AB30" i="2"/>
  <c r="DZ28" i="2"/>
  <c r="EE6" i="2"/>
  <c r="DH29" i="2"/>
  <c r="EE18" i="2"/>
  <c r="BS8" i="2"/>
  <c r="BT8" i="2" s="1"/>
  <c r="F9" i="6" s="1"/>
  <c r="DP4" i="2"/>
  <c r="AB26" i="2"/>
  <c r="DH25" i="2"/>
  <c r="DZ16" i="2"/>
  <c r="DZ30" i="2"/>
  <c r="DH30" i="2"/>
  <c r="DZ29" i="2"/>
  <c r="BS29" i="2"/>
  <c r="BT29" i="2" s="1"/>
  <c r="F30" i="6" s="1"/>
  <c r="CT23" i="2"/>
  <c r="AB18" i="2"/>
  <c r="G18" i="6" s="1"/>
  <c r="DZ18" i="2"/>
  <c r="DH18" i="2"/>
  <c r="DZ17" i="2"/>
  <c r="BS17" i="2"/>
  <c r="BT17" i="2" s="1"/>
  <c r="F24" i="6" s="1"/>
  <c r="DZ12" i="2"/>
  <c r="BS19" i="2"/>
  <c r="BT19" i="2" s="1"/>
  <c r="F19" i="6" s="1"/>
  <c r="DP15" i="2"/>
  <c r="BS25" i="2"/>
  <c r="BT25" i="2" s="1"/>
  <c r="F26" i="6" s="1"/>
  <c r="BS18" i="2"/>
  <c r="BT18" i="2" s="1"/>
  <c r="F18" i="6" s="1"/>
  <c r="DP19" i="2"/>
  <c r="CT20" i="2"/>
  <c r="DP10" i="2"/>
  <c r="K11" i="6" s="1"/>
  <c r="CT26" i="2"/>
  <c r="DZ14" i="2"/>
  <c r="DH14" i="2"/>
  <c r="DZ13" i="2"/>
  <c r="BS13" i="2"/>
  <c r="BT13" i="2" s="1"/>
  <c r="F14" i="6" s="1"/>
  <c r="BS28" i="2"/>
  <c r="BT28" i="2" s="1"/>
  <c r="F29" i="6" s="1"/>
  <c r="BS22" i="2"/>
  <c r="BT22" i="2" s="1"/>
  <c r="F22" i="6" s="1"/>
  <c r="BS16" i="2"/>
  <c r="BT16" i="2" s="1"/>
  <c r="F17" i="6" s="1"/>
  <c r="AB10" i="2"/>
  <c r="DH9" i="2"/>
  <c r="AB25" i="2"/>
  <c r="BS15" i="2"/>
  <c r="BT15" i="2" s="1"/>
  <c r="F16" i="6" s="1"/>
  <c r="CT16" i="2"/>
  <c r="DP7" i="2"/>
  <c r="CT19" i="2"/>
  <c r="H19" i="6" s="1"/>
  <c r="AB13" i="2"/>
  <c r="BS4" i="2"/>
  <c r="BT4" i="2" s="1"/>
  <c r="F5" i="6" s="1"/>
  <c r="DZ10" i="2"/>
  <c r="CT7" i="2"/>
  <c r="DP31" i="2"/>
  <c r="DH27" i="2"/>
  <c r="CT24" i="2"/>
  <c r="DP20" i="2"/>
  <c r="DP8" i="2"/>
  <c r="DP23" i="2"/>
  <c r="AB14" i="2"/>
  <c r="AB29" i="2"/>
  <c r="BS20" i="2"/>
  <c r="BT20" i="2" s="1"/>
  <c r="F20" i="6" s="1"/>
  <c r="DH13" i="2"/>
  <c r="CT10" i="2"/>
  <c r="DH26" i="2"/>
  <c r="AB21" i="2"/>
  <c r="DH10" i="2"/>
  <c r="AB5" i="2"/>
  <c r="CT31" i="2"/>
  <c r="H32" i="6" s="1"/>
  <c r="DZ25" i="2"/>
  <c r="DZ24" i="2"/>
  <c r="DP16" i="2"/>
  <c r="CT15" i="2"/>
  <c r="H16" i="6" s="1"/>
  <c r="DZ9" i="2"/>
  <c r="DZ8" i="2"/>
  <c r="L9" i="6" s="1"/>
  <c r="CT28" i="2"/>
  <c r="AB22" i="2"/>
  <c r="CT12" i="2"/>
  <c r="AB6" i="2"/>
  <c r="DP27" i="2"/>
  <c r="K28" i="6" s="1"/>
  <c r="BS26" i="2"/>
  <c r="BT26" i="2" s="1"/>
  <c r="DH21" i="2"/>
  <c r="DP11" i="2"/>
  <c r="K12" i="6" s="1"/>
  <c r="BS10" i="2"/>
  <c r="BT10" i="2" s="1"/>
  <c r="F11" i="6" s="1"/>
  <c r="DH5" i="2"/>
  <c r="DH22" i="2"/>
  <c r="AB17" i="2"/>
  <c r="G24" i="6" s="1"/>
  <c r="DH6" i="2"/>
  <c r="DP28" i="2"/>
  <c r="CT27" i="2"/>
  <c r="DZ21" i="2"/>
  <c r="DZ20" i="2"/>
  <c r="DP12" i="2"/>
  <c r="CT11" i="2"/>
  <c r="DZ5" i="2"/>
  <c r="DZ4" i="2"/>
  <c r="L5" i="6" s="1"/>
  <c r="DH28" i="2"/>
  <c r="AB28" i="2"/>
  <c r="DH24" i="2"/>
  <c r="AB24" i="2"/>
  <c r="DH20" i="2"/>
  <c r="AB20" i="2"/>
  <c r="DH16" i="2"/>
  <c r="AB16" i="2"/>
  <c r="DH12" i="2"/>
  <c r="AB12" i="2"/>
  <c r="DH8" i="2"/>
  <c r="AB8" i="2"/>
  <c r="G9" i="6" s="1"/>
  <c r="DH4" i="2"/>
  <c r="AB4" i="2"/>
  <c r="DZ31" i="2"/>
  <c r="DP29" i="2"/>
  <c r="DZ27" i="2"/>
  <c r="DP25" i="2"/>
  <c r="DZ23" i="2"/>
  <c r="DP21" i="2"/>
  <c r="DZ19" i="2"/>
  <c r="DP17" i="2"/>
  <c r="DZ15" i="2"/>
  <c r="L16" i="6" s="1"/>
  <c r="DP13" i="2"/>
  <c r="DZ11" i="2"/>
  <c r="DP9" i="2"/>
  <c r="DZ7" i="2"/>
  <c r="DP5" i="2"/>
  <c r="K6" i="6" s="1"/>
  <c r="DZ3" i="2"/>
  <c r="L4" i="6" s="1"/>
  <c r="CT29" i="2"/>
  <c r="CT25" i="2"/>
  <c r="CT21" i="2"/>
  <c r="CT17" i="2"/>
  <c r="CT13" i="2"/>
  <c r="CT9" i="2"/>
  <c r="H10" i="6" s="1"/>
  <c r="CT5" i="2"/>
  <c r="H6" i="6" s="1"/>
  <c r="EQ32" i="4"/>
  <c r="EQ36" i="4" s="1"/>
  <c r="L12" i="6" l="1"/>
  <c r="K14" i="6"/>
  <c r="K24" i="6"/>
  <c r="K16" i="6"/>
  <c r="L23" i="6"/>
  <c r="H8" i="6"/>
  <c r="H5" i="6"/>
  <c r="H15" i="6"/>
  <c r="G20" i="6"/>
  <c r="K27" i="6"/>
  <c r="M28" i="6"/>
  <c r="H12" i="6"/>
  <c r="H26" i="6"/>
  <c r="L25" i="6"/>
  <c r="K4" i="6"/>
  <c r="H18" i="6"/>
  <c r="G17" i="6"/>
  <c r="K17" i="6"/>
  <c r="G29" i="6"/>
  <c r="M19" i="6"/>
  <c r="M6" i="6"/>
  <c r="K21" i="6"/>
  <c r="L6" i="6"/>
  <c r="L26" i="6"/>
  <c r="L30" i="6"/>
  <c r="L32" i="6"/>
  <c r="H28" i="6"/>
  <c r="H28" i="10" s="1"/>
  <c r="F27" i="12" s="1"/>
  <c r="L27" i="12" s="1"/>
  <c r="H11" i="6"/>
  <c r="K29" i="6"/>
  <c r="G22" i="6"/>
  <c r="M9" i="6"/>
  <c r="K23" i="6"/>
  <c r="M18" i="6"/>
  <c r="H27" i="6"/>
  <c r="G27" i="6"/>
  <c r="M7" i="6"/>
  <c r="L29" i="6"/>
  <c r="L8" i="6"/>
  <c r="K31" i="6"/>
  <c r="H21" i="6"/>
  <c r="G25" i="6"/>
  <c r="G26" i="6"/>
  <c r="G11" i="6"/>
  <c r="M15" i="6"/>
  <c r="K25" i="6"/>
  <c r="M16" i="6"/>
  <c r="H4" i="6"/>
  <c r="K5" i="6"/>
  <c r="L31" i="6"/>
  <c r="M23" i="6"/>
  <c r="L27" i="6"/>
  <c r="M22" i="6"/>
  <c r="L28" i="6"/>
  <c r="G5" i="6"/>
  <c r="L20" i="6"/>
  <c r="K19" i="6"/>
  <c r="H22" i="6"/>
  <c r="M32" i="6"/>
  <c r="M32" i="10" s="1"/>
  <c r="L10" i="6"/>
  <c r="L19" i="6"/>
  <c r="G14" i="6"/>
  <c r="K30" i="6"/>
  <c r="G6" i="6"/>
  <c r="K32" i="6"/>
  <c r="H13" i="6"/>
  <c r="H30" i="6"/>
  <c r="L18" i="6"/>
  <c r="G15" i="6"/>
  <c r="L17" i="6"/>
  <c r="H9" i="6"/>
  <c r="K8" i="6"/>
  <c r="K8" i="10" s="1"/>
  <c r="G13" i="6"/>
  <c r="H29" i="6"/>
  <c r="L15" i="6"/>
  <c r="G12" i="6"/>
  <c r="K20" i="6"/>
  <c r="L14" i="6"/>
  <c r="G10" i="6"/>
  <c r="L11" i="6"/>
  <c r="G23" i="6"/>
  <c r="H24" i="6"/>
  <c r="L13" i="6"/>
  <c r="H7" i="6"/>
  <c r="N4" i="6"/>
  <c r="N4" i="10" s="1"/>
  <c r="H3" i="12" s="1"/>
  <c r="N3" i="12" s="1"/>
  <c r="Z3" i="12" s="1"/>
  <c r="N15" i="6"/>
  <c r="N15" i="10" s="1"/>
  <c r="H14" i="12" s="1"/>
  <c r="N14" i="12" s="1"/>
  <c r="Z14" i="12" s="1"/>
  <c r="N30" i="10"/>
  <c r="H29" i="12" s="1"/>
  <c r="N29" i="12" s="1"/>
  <c r="Z29" i="12" s="1"/>
  <c r="M5" i="6"/>
  <c r="L24" i="6"/>
  <c r="H23" i="6"/>
  <c r="H24" i="10" s="1"/>
  <c r="F23" i="12" s="1"/>
  <c r="L23" i="12" s="1"/>
  <c r="M12" i="6"/>
  <c r="M20" i="6"/>
  <c r="M28" i="10" s="1"/>
  <c r="G19" i="6"/>
  <c r="M10" i="6"/>
  <c r="K26" i="6"/>
  <c r="K13" i="6"/>
  <c r="K13" i="10" s="1"/>
  <c r="H25" i="6"/>
  <c r="H17" i="6"/>
  <c r="M31" i="6"/>
  <c r="N22" i="10"/>
  <c r="H21" i="12" s="1"/>
  <c r="N21" i="12" s="1"/>
  <c r="Z21" i="12" s="1"/>
  <c r="N27" i="6"/>
  <c r="N27" i="10" s="1"/>
  <c r="H26" i="12" s="1"/>
  <c r="N26" i="12" s="1"/>
  <c r="Z26" i="12" s="1"/>
  <c r="G32" i="6"/>
  <c r="N31" i="10"/>
  <c r="H30" i="12" s="1"/>
  <c r="N30" i="12" s="1"/>
  <c r="Z30" i="12" s="1"/>
  <c r="K9" i="6"/>
  <c r="L21" i="6"/>
  <c r="G7" i="6"/>
  <c r="H20" i="6"/>
  <c r="G31" i="6"/>
  <c r="H31" i="6"/>
  <c r="K15" i="6"/>
  <c r="M17" i="6"/>
  <c r="M27" i="6"/>
  <c r="EQ35" i="4"/>
  <c r="G30" i="6"/>
  <c r="K22" i="6"/>
  <c r="M8" i="6"/>
  <c r="M8" i="10" s="1"/>
  <c r="N9" i="10"/>
  <c r="H8" i="12" s="1"/>
  <c r="N8" i="12" s="1"/>
  <c r="Z8" i="12" s="1"/>
  <c r="N14" i="6"/>
  <c r="N14" i="10" s="1"/>
  <c r="H13" i="12" s="1"/>
  <c r="N13" i="12" s="1"/>
  <c r="Z13" i="12" s="1"/>
  <c r="M14" i="6"/>
  <c r="G21" i="6"/>
  <c r="K10" i="6"/>
  <c r="K10" i="10" s="1"/>
  <c r="G16" i="6"/>
  <c r="N25" i="10"/>
  <c r="H24" i="12" s="1"/>
  <c r="N24" i="12" s="1"/>
  <c r="Z24" i="12" s="1"/>
  <c r="N26" i="6"/>
  <c r="N21" i="10"/>
  <c r="H20" i="12" s="1"/>
  <c r="N20" i="12" s="1"/>
  <c r="Z20" i="12" s="1"/>
  <c r="K18" i="6"/>
  <c r="M24" i="6"/>
  <c r="H14" i="6"/>
  <c r="EF4" i="2"/>
  <c r="I8" i="6"/>
  <c r="J8" i="6"/>
  <c r="I18" i="6"/>
  <c r="J18" i="6"/>
  <c r="EF21" i="2"/>
  <c r="M21" i="6"/>
  <c r="I31" i="6"/>
  <c r="J31" i="6"/>
  <c r="I30" i="6"/>
  <c r="I30" i="10" s="1"/>
  <c r="G29" i="12" s="1"/>
  <c r="M29" i="12" s="1"/>
  <c r="J30" i="6"/>
  <c r="I19" i="6"/>
  <c r="J19" i="6"/>
  <c r="DQ6" i="2"/>
  <c r="K7" i="6"/>
  <c r="I24" i="6"/>
  <c r="J24" i="6"/>
  <c r="I29" i="6"/>
  <c r="J29" i="6"/>
  <c r="F31" i="6"/>
  <c r="F31" i="10" s="1"/>
  <c r="D30" i="12" s="1"/>
  <c r="J30" i="12" s="1"/>
  <c r="V30" i="12" s="1"/>
  <c r="I5" i="6"/>
  <c r="J5" i="6"/>
  <c r="I6" i="6"/>
  <c r="J6" i="6"/>
  <c r="I11" i="6"/>
  <c r="J11" i="6"/>
  <c r="F28" i="10"/>
  <c r="D27" i="12" s="1"/>
  <c r="J27" i="12" s="1"/>
  <c r="V27" i="12" s="1"/>
  <c r="I27" i="6"/>
  <c r="J27" i="6"/>
  <c r="J27" i="10" s="1"/>
  <c r="I12" i="6"/>
  <c r="J12" i="6"/>
  <c r="AC3" i="2"/>
  <c r="G4" i="6"/>
  <c r="I4" i="6"/>
  <c r="J4" i="6"/>
  <c r="I28" i="6"/>
  <c r="J28" i="6"/>
  <c r="I15" i="6"/>
  <c r="J15" i="6"/>
  <c r="J15" i="10" s="1"/>
  <c r="I13" i="6"/>
  <c r="J13" i="6"/>
  <c r="J13" i="10" s="1"/>
  <c r="I21" i="6"/>
  <c r="J21" i="6"/>
  <c r="EF12" i="2"/>
  <c r="M13" i="6"/>
  <c r="EF29" i="2"/>
  <c r="M30" i="6"/>
  <c r="I9" i="6"/>
  <c r="J9" i="6"/>
  <c r="I14" i="6"/>
  <c r="J14" i="6"/>
  <c r="I26" i="6"/>
  <c r="J26" i="6"/>
  <c r="F22" i="10"/>
  <c r="D21" i="12" s="1"/>
  <c r="J21" i="12" s="1"/>
  <c r="V21" i="12" s="1"/>
  <c r="F27" i="6"/>
  <c r="F27" i="10" s="1"/>
  <c r="D26" i="12" s="1"/>
  <c r="J26" i="12" s="1"/>
  <c r="I23" i="6"/>
  <c r="J23" i="6"/>
  <c r="EF10" i="2"/>
  <c r="M11" i="6"/>
  <c r="F30" i="10"/>
  <c r="D29" i="12" s="1"/>
  <c r="J29" i="12" s="1"/>
  <c r="V29" i="12" s="1"/>
  <c r="J16" i="6"/>
  <c r="I16" i="6"/>
  <c r="EF25" i="2"/>
  <c r="M26" i="6"/>
  <c r="I20" i="6"/>
  <c r="J20" i="6"/>
  <c r="I10" i="6"/>
  <c r="J10" i="6"/>
  <c r="J32" i="6"/>
  <c r="I32" i="6"/>
  <c r="EA6" i="2"/>
  <c r="L7" i="6"/>
  <c r="J7" i="6"/>
  <c r="J7" i="10" s="1"/>
  <c r="I7" i="6"/>
  <c r="J22" i="6"/>
  <c r="I22" i="6"/>
  <c r="EF24" i="2"/>
  <c r="M25" i="6"/>
  <c r="I17" i="6"/>
  <c r="J17" i="6"/>
  <c r="I25" i="6"/>
  <c r="J25" i="6"/>
  <c r="EF28" i="2"/>
  <c r="M29" i="6"/>
  <c r="N16" i="10"/>
  <c r="H15" i="12" s="1"/>
  <c r="N15" i="12" s="1"/>
  <c r="Z15" i="12" s="1"/>
  <c r="N32" i="10"/>
  <c r="H31" i="12" s="1"/>
  <c r="N31" i="12" s="1"/>
  <c r="Z31" i="12" s="1"/>
  <c r="N18" i="10"/>
  <c r="H17" i="12" s="1"/>
  <c r="N17" i="12" s="1"/>
  <c r="Z17" i="12" s="1"/>
  <c r="F23" i="10"/>
  <c r="D22" i="12" s="1"/>
  <c r="J22" i="12" s="1"/>
  <c r="O22" i="12" s="1"/>
  <c r="N29" i="10"/>
  <c r="H28" i="12" s="1"/>
  <c r="N28" i="12" s="1"/>
  <c r="Z28" i="12" s="1"/>
  <c r="N12" i="10"/>
  <c r="H11" i="12" s="1"/>
  <c r="N11" i="12" s="1"/>
  <c r="Z11" i="12" s="1"/>
  <c r="N20" i="10"/>
  <c r="H19" i="12" s="1"/>
  <c r="N19" i="12" s="1"/>
  <c r="Z19" i="12" s="1"/>
  <c r="N10" i="10"/>
  <c r="H9" i="12" s="1"/>
  <c r="N9" i="12" s="1"/>
  <c r="Z9" i="12" s="1"/>
  <c r="F10" i="10"/>
  <c r="D9" i="12" s="1"/>
  <c r="J9" i="12" s="1"/>
  <c r="O9" i="12" s="1"/>
  <c r="N7" i="10"/>
  <c r="H6" i="12" s="1"/>
  <c r="N6" i="12" s="1"/>
  <c r="Z6" i="12" s="1"/>
  <c r="N6" i="10"/>
  <c r="H5" i="12" s="1"/>
  <c r="N5" i="12" s="1"/>
  <c r="Z5" i="12" s="1"/>
  <c r="N5" i="10"/>
  <c r="H4" i="12" s="1"/>
  <c r="N4" i="12" s="1"/>
  <c r="Z4" i="12" s="1"/>
  <c r="F12" i="10"/>
  <c r="D11" i="12" s="1"/>
  <c r="J11" i="12" s="1"/>
  <c r="V11" i="12" s="1"/>
  <c r="N17" i="10"/>
  <c r="H16" i="12" s="1"/>
  <c r="N16" i="12" s="1"/>
  <c r="Z16" i="12" s="1"/>
  <c r="F15" i="10"/>
  <c r="D14" i="12" s="1"/>
  <c r="J14" i="12" s="1"/>
  <c r="V14" i="12" s="1"/>
  <c r="F5" i="10"/>
  <c r="D4" i="12" s="1"/>
  <c r="J4" i="12" s="1"/>
  <c r="V4" i="12" s="1"/>
  <c r="N28" i="10"/>
  <c r="H27" i="12" s="1"/>
  <c r="N27" i="12" s="1"/>
  <c r="Z27" i="12" s="1"/>
  <c r="N8" i="10"/>
  <c r="H7" i="12" s="1"/>
  <c r="N7" i="12" s="1"/>
  <c r="Z7" i="12" s="1"/>
  <c r="N24" i="10"/>
  <c r="H23" i="12" s="1"/>
  <c r="N23" i="12" s="1"/>
  <c r="Z23" i="12" s="1"/>
  <c r="N23" i="10"/>
  <c r="H22" i="12" s="1"/>
  <c r="N22" i="12" s="1"/>
  <c r="Z22" i="12" s="1"/>
  <c r="F32" i="10"/>
  <c r="D31" i="12" s="1"/>
  <c r="J31" i="12" s="1"/>
  <c r="V31" i="12" s="1"/>
  <c r="F24" i="10"/>
  <c r="D23" i="12" s="1"/>
  <c r="J23" i="12" s="1"/>
  <c r="V23" i="12" s="1"/>
  <c r="N13" i="10"/>
  <c r="H12" i="12" s="1"/>
  <c r="N12" i="12" s="1"/>
  <c r="Z12" i="12" s="1"/>
  <c r="DI31" i="2"/>
  <c r="EF8" i="2"/>
  <c r="EQ34" i="4"/>
  <c r="EF13" i="2"/>
  <c r="EF26" i="2"/>
  <c r="EF17" i="2"/>
  <c r="EA29" i="2"/>
  <c r="DQ7" i="2"/>
  <c r="DQ25" i="2"/>
  <c r="DQ12" i="2"/>
  <c r="CU24" i="2"/>
  <c r="F20" i="10"/>
  <c r="D19" i="12" s="1"/>
  <c r="J19" i="12" s="1"/>
  <c r="EA31" i="2"/>
  <c r="CU27" i="2"/>
  <c r="DI8" i="2"/>
  <c r="DQ28" i="2"/>
  <c r="AC22" i="2"/>
  <c r="AC21" i="2"/>
  <c r="DI13" i="2"/>
  <c r="AC14" i="2"/>
  <c r="DI14" i="2"/>
  <c r="F25" i="10"/>
  <c r="D24" i="12" s="1"/>
  <c r="J24" i="12" s="1"/>
  <c r="EA16" i="2"/>
  <c r="F21" i="10"/>
  <c r="D20" i="12" s="1"/>
  <c r="J20" i="12" s="1"/>
  <c r="CU8" i="2"/>
  <c r="DQ23" i="2"/>
  <c r="EA14" i="2"/>
  <c r="DI25" i="2"/>
  <c r="CU18" i="2"/>
  <c r="DI11" i="2"/>
  <c r="AC11" i="2"/>
  <c r="CU26" i="2"/>
  <c r="AC26" i="2"/>
  <c r="EF6" i="2"/>
  <c r="AC23" i="2"/>
  <c r="DQ22" i="2"/>
  <c r="EF7" i="2"/>
  <c r="DI23" i="2"/>
  <c r="DQ30" i="2"/>
  <c r="F14" i="10"/>
  <c r="D13" i="12" s="1"/>
  <c r="J13" i="12" s="1"/>
  <c r="F17" i="10"/>
  <c r="D16" i="12" s="1"/>
  <c r="J16" i="12" s="1"/>
  <c r="DQ26" i="2"/>
  <c r="F8" i="10"/>
  <c r="D7" i="12" s="1"/>
  <c r="J7" i="12" s="1"/>
  <c r="AC15" i="2"/>
  <c r="EA4" i="2"/>
  <c r="AC12" i="2"/>
  <c r="DQ11" i="2"/>
  <c r="DQ5" i="2"/>
  <c r="EA7" i="2"/>
  <c r="AC16" i="2"/>
  <c r="CU9" i="2"/>
  <c r="DQ27" i="2"/>
  <c r="AC20" i="2"/>
  <c r="CU3" i="2"/>
  <c r="CU4" i="2"/>
  <c r="EA3" i="2"/>
  <c r="CU28" i="2"/>
  <c r="DQ15" i="2"/>
  <c r="CU13" i="2"/>
  <c r="CU17" i="2"/>
  <c r="DQ13" i="2"/>
  <c r="DI20" i="2"/>
  <c r="AC17" i="2"/>
  <c r="EA9" i="2"/>
  <c r="F26" i="10"/>
  <c r="D25" i="12" s="1"/>
  <c r="J25" i="12" s="1"/>
  <c r="DI9" i="2"/>
  <c r="EA12" i="2"/>
  <c r="EF18" i="2"/>
  <c r="CU29" i="2"/>
  <c r="DI26" i="2"/>
  <c r="DI12" i="2"/>
  <c r="DI21" i="2"/>
  <c r="CU5" i="2"/>
  <c r="DQ9" i="2"/>
  <c r="DI16" i="2"/>
  <c r="EA11" i="2"/>
  <c r="EA8" i="2"/>
  <c r="CU21" i="2"/>
  <c r="EA15" i="2"/>
  <c r="AC24" i="2"/>
  <c r="DI22" i="2"/>
  <c r="CU15" i="2"/>
  <c r="G21" i="10"/>
  <c r="E20" i="12" s="1"/>
  <c r="K20" i="12" s="1"/>
  <c r="AC25" i="2"/>
  <c r="AC10" i="2"/>
  <c r="AC18" i="2"/>
  <c r="CU14" i="2"/>
  <c r="EF27" i="2"/>
  <c r="EA19" i="2"/>
  <c r="F4" i="10"/>
  <c r="D3" i="12" s="1"/>
  <c r="J3" i="12" s="1"/>
  <c r="AC29" i="2"/>
  <c r="F6" i="10"/>
  <c r="D5" i="12" s="1"/>
  <c r="J5" i="12" s="1"/>
  <c r="AC27" i="2"/>
  <c r="DI6" i="2"/>
  <c r="CU25" i="2"/>
  <c r="DQ17" i="2"/>
  <c r="DI24" i="2"/>
  <c r="DQ16" i="2"/>
  <c r="F7" i="10"/>
  <c r="D6" i="12" s="1"/>
  <c r="J6" i="12" s="1"/>
  <c r="F18" i="10"/>
  <c r="D17" i="12" s="1"/>
  <c r="J17" i="12" s="1"/>
  <c r="EA17" i="2"/>
  <c r="CU23" i="2"/>
  <c r="EF14" i="2"/>
  <c r="DQ24" i="2"/>
  <c r="EF15" i="2"/>
  <c r="DI18" i="2"/>
  <c r="F19" i="10"/>
  <c r="D18" i="12" s="1"/>
  <c r="J18" i="12" s="1"/>
  <c r="DQ4" i="2"/>
  <c r="DQ3" i="2"/>
  <c r="EF19" i="2"/>
  <c r="CU19" i="2"/>
  <c r="DI7" i="2"/>
  <c r="DI29" i="2"/>
  <c r="EF11" i="2"/>
  <c r="EA22" i="2"/>
  <c r="K16" i="10"/>
  <c r="EF30" i="2"/>
  <c r="EF23" i="2"/>
  <c r="DI17" i="2"/>
  <c r="EA26" i="2"/>
  <c r="EF22" i="2"/>
  <c r="EA24" i="2"/>
  <c r="DQ21" i="2"/>
  <c r="EA18" i="2"/>
  <c r="CU16" i="2"/>
  <c r="EA27" i="2"/>
  <c r="AC4" i="2"/>
  <c r="EA20" i="2"/>
  <c r="DI27" i="2"/>
  <c r="DQ10" i="2"/>
  <c r="DQ19" i="2"/>
  <c r="EA28" i="2"/>
  <c r="CU22" i="2"/>
  <c r="F13" i="10"/>
  <c r="D12" i="12" s="1"/>
  <c r="J12" i="12" s="1"/>
  <c r="EF31" i="2"/>
  <c r="AC28" i="2"/>
  <c r="AC13" i="2"/>
  <c r="CU11" i="2"/>
  <c r="CU31" i="2"/>
  <c r="DQ20" i="2"/>
  <c r="EA30" i="2"/>
  <c r="DQ29" i="2"/>
  <c r="DI4" i="2"/>
  <c r="EA21" i="2"/>
  <c r="AC6" i="2"/>
  <c r="AC5" i="2"/>
  <c r="DQ31" i="2"/>
  <c r="CU7" i="2"/>
  <c r="F9" i="10"/>
  <c r="D8" i="12" s="1"/>
  <c r="J8" i="12" s="1"/>
  <c r="CU20" i="2"/>
  <c r="AC30" i="2"/>
  <c r="F16" i="10"/>
  <c r="D15" i="12" s="1"/>
  <c r="J15" i="12" s="1"/>
  <c r="CU30" i="2"/>
  <c r="H6" i="10"/>
  <c r="F5" i="12" s="1"/>
  <c r="L5" i="12" s="1"/>
  <c r="DI28" i="2"/>
  <c r="EA5" i="2"/>
  <c r="EA25" i="2"/>
  <c r="DQ8" i="2"/>
  <c r="EA23" i="2"/>
  <c r="DI30" i="2"/>
  <c r="AC8" i="2"/>
  <c r="DI5" i="2"/>
  <c r="CU12" i="2"/>
  <c r="DI10" i="2"/>
  <c r="CU10" i="2"/>
  <c r="EA10" i="2"/>
  <c r="EA13" i="2"/>
  <c r="L9" i="10"/>
  <c r="F29" i="10"/>
  <c r="D28" i="12" s="1"/>
  <c r="J28" i="12" s="1"/>
  <c r="AC9" i="2"/>
  <c r="DI15" i="2"/>
  <c r="DQ14" i="2"/>
  <c r="EF16" i="2"/>
  <c r="EF5" i="2"/>
  <c r="DI3" i="2"/>
  <c r="EF20" i="2"/>
  <c r="AC19" i="2"/>
  <c r="DQ18" i="2"/>
  <c r="EF9" i="2"/>
  <c r="CU6" i="2"/>
  <c r="H20" i="10"/>
  <c r="F19" i="12" s="1"/>
  <c r="L19" i="12" s="1"/>
  <c r="AC7" i="2"/>
  <c r="EF3" i="2"/>
  <c r="DI19" i="2"/>
  <c r="AC31" i="2"/>
  <c r="ER32" i="4"/>
  <c r="ER39" i="4" s="1"/>
  <c r="ES32" i="4"/>
  <c r="ES33" i="4" s="1"/>
  <c r="ET32" i="4"/>
  <c r="ET33" i="4" s="1"/>
  <c r="EU32" i="4"/>
  <c r="EU35" i="4" s="1"/>
  <c r="EV32" i="4"/>
  <c r="EV35" i="4" s="1"/>
  <c r="EW32" i="4"/>
  <c r="EW33" i="4" s="1"/>
  <c r="EX32" i="4"/>
  <c r="EX38" i="4" s="1"/>
  <c r="EY32" i="4"/>
  <c r="EY39" i="4" s="1"/>
  <c r="EZ32" i="4"/>
  <c r="EZ39" i="4" s="1"/>
  <c r="FA32" i="4"/>
  <c r="FA37" i="4" s="1"/>
  <c r="FB32" i="4"/>
  <c r="FB34" i="4" s="1"/>
  <c r="FC32" i="4"/>
  <c r="FD32" i="4"/>
  <c r="FD33" i="4" s="1"/>
  <c r="FE32" i="4"/>
  <c r="FE36" i="4" s="1"/>
  <c r="FF32" i="4"/>
  <c r="FF33" i="4" s="1"/>
  <c r="FG32" i="4"/>
  <c r="FH32" i="4"/>
  <c r="FH36" i="4" s="1"/>
  <c r="FI32" i="4"/>
  <c r="FI36" i="4" s="1"/>
  <c r="FJ32" i="4"/>
  <c r="FJ35" i="4" s="1"/>
  <c r="FK32" i="4"/>
  <c r="FK36" i="4" s="1"/>
  <c r="FL32" i="4"/>
  <c r="FL35" i="4" s="1"/>
  <c r="FM32" i="4"/>
  <c r="FM35" i="4" s="1"/>
  <c r="FN32" i="4"/>
  <c r="FN34" i="4" s="1"/>
  <c r="FO32" i="4"/>
  <c r="FO35" i="4" s="1"/>
  <c r="FP32" i="4"/>
  <c r="FP33" i="4" s="1"/>
  <c r="FQ32" i="4"/>
  <c r="FR32" i="4"/>
  <c r="FR34" i="4" s="1"/>
  <c r="FS32" i="4"/>
  <c r="FS37" i="4" s="1"/>
  <c r="FT32" i="4"/>
  <c r="FT33" i="4" s="1"/>
  <c r="FU32" i="4"/>
  <c r="FU36" i="4" s="1"/>
  <c r="FV32" i="4"/>
  <c r="FV39" i="4" s="1"/>
  <c r="FW32" i="4"/>
  <c r="FX32" i="4"/>
  <c r="FX37" i="4" s="1"/>
  <c r="FY32" i="4"/>
  <c r="FY34" i="4" s="1"/>
  <c r="FZ32" i="4"/>
  <c r="FZ35" i="4" s="1"/>
  <c r="GA32" i="4"/>
  <c r="GA37" i="4" s="1"/>
  <c r="GB32" i="4"/>
  <c r="GB35" i="4" s="1"/>
  <c r="GC32" i="4"/>
  <c r="GC33" i="4" s="1"/>
  <c r="GD32" i="4"/>
  <c r="GD33" i="4" s="1"/>
  <c r="GE32" i="4"/>
  <c r="GE36" i="4" s="1"/>
  <c r="GF32" i="4"/>
  <c r="GF33" i="4" s="1"/>
  <c r="GG32" i="4"/>
  <c r="GG38" i="4" s="1"/>
  <c r="GH32" i="4"/>
  <c r="GH37" i="4" s="1"/>
  <c r="GI32" i="4"/>
  <c r="GJ32" i="4"/>
  <c r="GJ33" i="4" s="1"/>
  <c r="GK32" i="4"/>
  <c r="GK36" i="4" s="1"/>
  <c r="GL32" i="4"/>
  <c r="GM32" i="4"/>
  <c r="GN32" i="4"/>
  <c r="GN36" i="4" s="1"/>
  <c r="GO32" i="4"/>
  <c r="GO39" i="4" s="1"/>
  <c r="GP32" i="4"/>
  <c r="GP35" i="4" s="1"/>
  <c r="GQ32" i="4"/>
  <c r="GQ33" i="4" s="1"/>
  <c r="GR32" i="4"/>
  <c r="GR35" i="4" s="1"/>
  <c r="GS32" i="4"/>
  <c r="GS36" i="4" s="1"/>
  <c r="GT32" i="4"/>
  <c r="GT37" i="4" s="1"/>
  <c r="GU32" i="4"/>
  <c r="GV32" i="4"/>
  <c r="GV37" i="4" s="1"/>
  <c r="GW32" i="4"/>
  <c r="GW34" i="4" s="1"/>
  <c r="GX32" i="4"/>
  <c r="GX38" i="4" s="1"/>
  <c r="GY32" i="4"/>
  <c r="GY36" i="4" s="1"/>
  <c r="GZ32" i="4"/>
  <c r="GZ33" i="4" s="1"/>
  <c r="HA32" i="4"/>
  <c r="HA36" i="4" s="1"/>
  <c r="HB32" i="4"/>
  <c r="HC32" i="4"/>
  <c r="HD32" i="4"/>
  <c r="HD33" i="4" s="1"/>
  <c r="HE32" i="4"/>
  <c r="HE37" i="4" s="1"/>
  <c r="HF32" i="4"/>
  <c r="HF35" i="4" s="1"/>
  <c r="HG32" i="4"/>
  <c r="HG33" i="4" s="1"/>
  <c r="HH32" i="4"/>
  <c r="HH35" i="4" s="1"/>
  <c r="HI32" i="4"/>
  <c r="HI34" i="4" s="1"/>
  <c r="HJ32" i="4"/>
  <c r="HJ36" i="4" s="1"/>
  <c r="HK32" i="4"/>
  <c r="HK35" i="4" s="1"/>
  <c r="HL32" i="4"/>
  <c r="HL36" i="4" s="1"/>
  <c r="HM32" i="4"/>
  <c r="HM39" i="4" s="1"/>
  <c r="HN32" i="4"/>
  <c r="HN34" i="4" s="1"/>
  <c r="HO32" i="4"/>
  <c r="HO39" i="4" s="1"/>
  <c r="HP32" i="4"/>
  <c r="HP33" i="4" s="1"/>
  <c r="HQ32" i="4"/>
  <c r="HQ36" i="4" s="1"/>
  <c r="HR32" i="4"/>
  <c r="HR35" i="4" s="1"/>
  <c r="HS32" i="4"/>
  <c r="HT32" i="4"/>
  <c r="HT35" i="4" s="1"/>
  <c r="HU32" i="4"/>
  <c r="HU36" i="4" s="1"/>
  <c r="HV32" i="4"/>
  <c r="HV35" i="4" s="1"/>
  <c r="HW32" i="4"/>
  <c r="HW38" i="4" s="1"/>
  <c r="HX32" i="4"/>
  <c r="HX35" i="4" s="1"/>
  <c r="HY32" i="4"/>
  <c r="HY39" i="4" s="1"/>
  <c r="HZ32" i="4"/>
  <c r="HZ38" i="4" s="1"/>
  <c r="IA32" i="4"/>
  <c r="IA36" i="4" s="1"/>
  <c r="IB32" i="4"/>
  <c r="IB35" i="4" s="1"/>
  <c r="IC32" i="4"/>
  <c r="IC37" i="4" s="1"/>
  <c r="ID32" i="4"/>
  <c r="IE32" i="4"/>
  <c r="IE37" i="4" s="1"/>
  <c r="IF32" i="4"/>
  <c r="IF33" i="4" s="1"/>
  <c r="IG32" i="4"/>
  <c r="IG36" i="4" s="1"/>
  <c r="IH32" i="4"/>
  <c r="II32" i="4"/>
  <c r="IJ32" i="4"/>
  <c r="IJ33" i="4" s="1"/>
  <c r="IK32" i="4"/>
  <c r="IK36" i="4" s="1"/>
  <c r="IL32" i="4"/>
  <c r="IL35" i="4" s="1"/>
  <c r="IM32" i="4"/>
  <c r="IM35" i="4" s="1"/>
  <c r="IN32" i="4"/>
  <c r="IN35" i="4" s="1"/>
  <c r="IO32" i="4"/>
  <c r="IO35" i="4" s="1"/>
  <c r="IP32" i="4"/>
  <c r="IP38" i="4" s="1"/>
  <c r="IQ32" i="4"/>
  <c r="IQ38" i="4" s="1"/>
  <c r="IR32" i="4"/>
  <c r="IR38" i="4" s="1"/>
  <c r="IS32" i="4"/>
  <c r="IS33" i="4" s="1"/>
  <c r="IT32" i="4"/>
  <c r="IT36" i="4" s="1"/>
  <c r="IU32" i="4"/>
  <c r="IU37" i="4" s="1"/>
  <c r="IV32" i="4"/>
  <c r="IV33" i="4" s="1"/>
  <c r="IW32" i="4"/>
  <c r="IW36" i="4" s="1"/>
  <c r="IX32" i="4"/>
  <c r="IX34" i="4" s="1"/>
  <c r="IY32" i="4"/>
  <c r="IY39" i="4" s="1"/>
  <c r="IZ32" i="4"/>
  <c r="IZ38" i="4" s="1"/>
  <c r="JA32" i="4"/>
  <c r="JA38" i="4" s="1"/>
  <c r="JB32" i="4"/>
  <c r="JB35" i="4" s="1"/>
  <c r="JC32" i="4"/>
  <c r="JC34" i="4" s="1"/>
  <c r="JD32" i="4"/>
  <c r="JD35" i="4" s="1"/>
  <c r="JE32" i="4"/>
  <c r="JE38" i="4" s="1"/>
  <c r="JF32" i="4"/>
  <c r="JF35" i="4" s="1"/>
  <c r="JG32" i="4"/>
  <c r="JG37" i="4" s="1"/>
  <c r="JH32" i="4"/>
  <c r="JH35" i="4" s="1"/>
  <c r="JI32" i="4"/>
  <c r="JI38" i="4" s="1"/>
  <c r="JJ32" i="4"/>
  <c r="JJ38" i="4" s="1"/>
  <c r="JK32" i="4"/>
  <c r="JK38" i="4" s="1"/>
  <c r="JL32" i="4"/>
  <c r="JL33" i="4" s="1"/>
  <c r="JM32" i="4"/>
  <c r="JM36" i="4" s="1"/>
  <c r="JN32" i="4"/>
  <c r="JN35" i="4" s="1"/>
  <c r="JO32" i="4"/>
  <c r="JP32" i="4"/>
  <c r="JP35" i="4" s="1"/>
  <c r="JQ32" i="4"/>
  <c r="JQ37" i="4" s="1"/>
  <c r="JR32" i="4"/>
  <c r="JR35" i="4" s="1"/>
  <c r="JS32" i="4"/>
  <c r="JS36" i="4" s="1"/>
  <c r="JT32" i="4"/>
  <c r="JT35" i="4" s="1"/>
  <c r="FK34" i="4"/>
  <c r="GJ35" i="4"/>
  <c r="GF36" i="4"/>
  <c r="GH36" i="4"/>
  <c r="HO37" i="4"/>
  <c r="HP37" i="4"/>
  <c r="FD39" i="4"/>
  <c r="FE39" i="4"/>
  <c r="FR39" i="4"/>
  <c r="FU39" i="4"/>
  <c r="GN39" i="4"/>
  <c r="IJ39" i="4"/>
  <c r="ER40" i="4"/>
  <c r="ES40" i="4"/>
  <c r="ET40" i="4"/>
  <c r="EU40" i="4"/>
  <c r="EV40" i="4"/>
  <c r="EW40" i="4"/>
  <c r="EX40" i="4"/>
  <c r="EY40" i="4"/>
  <c r="EZ40" i="4"/>
  <c r="FA40" i="4"/>
  <c r="FB40" i="4"/>
  <c r="FC40" i="4"/>
  <c r="FD40" i="4"/>
  <c r="FE40" i="4"/>
  <c r="FF40" i="4"/>
  <c r="FG40" i="4"/>
  <c r="FH40" i="4"/>
  <c r="FI40" i="4"/>
  <c r="FJ40" i="4"/>
  <c r="FK40" i="4"/>
  <c r="FL40" i="4"/>
  <c r="FM40" i="4"/>
  <c r="FN40" i="4"/>
  <c r="FO40" i="4"/>
  <c r="FP40" i="4"/>
  <c r="FQ40" i="4"/>
  <c r="FR40" i="4"/>
  <c r="FS40" i="4"/>
  <c r="FT40" i="4"/>
  <c r="FU40" i="4"/>
  <c r="FV40" i="4"/>
  <c r="FW40" i="4"/>
  <c r="FX40" i="4"/>
  <c r="FY40" i="4"/>
  <c r="FZ40" i="4"/>
  <c r="GA40" i="4"/>
  <c r="GB40" i="4"/>
  <c r="GC40" i="4"/>
  <c r="GD40" i="4"/>
  <c r="GE40" i="4"/>
  <c r="GF40" i="4"/>
  <c r="GG40" i="4"/>
  <c r="GH40" i="4"/>
  <c r="GI40" i="4"/>
  <c r="GJ40" i="4"/>
  <c r="GK40" i="4"/>
  <c r="GL40" i="4"/>
  <c r="GM40" i="4"/>
  <c r="GN40" i="4"/>
  <c r="GO40" i="4"/>
  <c r="GP40" i="4"/>
  <c r="GQ40" i="4"/>
  <c r="GR40" i="4"/>
  <c r="GS40" i="4"/>
  <c r="GT40" i="4"/>
  <c r="GU40" i="4"/>
  <c r="GV40" i="4"/>
  <c r="GW40" i="4"/>
  <c r="GX40" i="4"/>
  <c r="GY40" i="4"/>
  <c r="GZ40" i="4"/>
  <c r="HA40" i="4"/>
  <c r="HB40" i="4"/>
  <c r="HC40" i="4"/>
  <c r="HD40" i="4"/>
  <c r="HE40" i="4"/>
  <c r="HF40" i="4"/>
  <c r="HG40" i="4"/>
  <c r="HH40" i="4"/>
  <c r="HI40" i="4"/>
  <c r="HJ40" i="4"/>
  <c r="HK40" i="4"/>
  <c r="HL40" i="4"/>
  <c r="HM40" i="4"/>
  <c r="HN40" i="4"/>
  <c r="HO40" i="4"/>
  <c r="HP40" i="4"/>
  <c r="HQ40" i="4"/>
  <c r="HR40" i="4"/>
  <c r="HS40" i="4"/>
  <c r="HT40" i="4"/>
  <c r="HU40" i="4"/>
  <c r="HV40" i="4"/>
  <c r="HW40" i="4"/>
  <c r="HX40" i="4"/>
  <c r="HY40" i="4"/>
  <c r="HZ40" i="4"/>
  <c r="IA40" i="4"/>
  <c r="IB40" i="4"/>
  <c r="IC40" i="4"/>
  <c r="ID40" i="4"/>
  <c r="IE40" i="4"/>
  <c r="IF40" i="4"/>
  <c r="IG40" i="4"/>
  <c r="IH40" i="4"/>
  <c r="II40" i="4"/>
  <c r="IJ40" i="4"/>
  <c r="IK40" i="4"/>
  <c r="IL40" i="4"/>
  <c r="IM40" i="4"/>
  <c r="IN40" i="4"/>
  <c r="IO40" i="4"/>
  <c r="IP40" i="4"/>
  <c r="IQ40" i="4"/>
  <c r="IR40" i="4"/>
  <c r="IS40" i="4"/>
  <c r="IT40" i="4"/>
  <c r="IU40" i="4"/>
  <c r="IV40" i="4"/>
  <c r="IW40" i="4"/>
  <c r="IX40" i="4"/>
  <c r="IY40" i="4"/>
  <c r="IZ40" i="4"/>
  <c r="JA40" i="4"/>
  <c r="JB40" i="4"/>
  <c r="JC40" i="4"/>
  <c r="JD40" i="4"/>
  <c r="JE40" i="4"/>
  <c r="JF40" i="4"/>
  <c r="JG40" i="4"/>
  <c r="JH40" i="4"/>
  <c r="JI40" i="4"/>
  <c r="JJ40" i="4"/>
  <c r="JK40" i="4"/>
  <c r="JL40" i="4"/>
  <c r="JM40" i="4"/>
  <c r="JN40" i="4"/>
  <c r="JO40" i="4"/>
  <c r="JP40" i="4"/>
  <c r="JQ40" i="4"/>
  <c r="JR40" i="4"/>
  <c r="JS40" i="4"/>
  <c r="JT40" i="4"/>
  <c r="EQ40" i="4"/>
  <c r="ED32" i="1"/>
  <c r="ED36" i="1" s="1"/>
  <c r="EE32" i="1"/>
  <c r="EE37" i="1" s="1"/>
  <c r="EF32" i="1"/>
  <c r="EF39" i="1" s="1"/>
  <c r="EG32" i="1"/>
  <c r="EG36" i="1" s="1"/>
  <c r="EH32" i="1"/>
  <c r="EI32" i="1"/>
  <c r="EJ32" i="1"/>
  <c r="EJ38" i="1" s="1"/>
  <c r="EK32" i="1"/>
  <c r="EK33" i="1" s="1"/>
  <c r="EL32" i="1"/>
  <c r="EL34" i="1" s="1"/>
  <c r="EM32" i="1"/>
  <c r="EM33" i="1" s="1"/>
  <c r="EN32" i="1"/>
  <c r="EN34" i="1" s="1"/>
  <c r="EO32" i="1"/>
  <c r="EO35" i="1" s="1"/>
  <c r="EP32" i="1"/>
  <c r="EP39" i="1" s="1"/>
  <c r="EQ32" i="1"/>
  <c r="EQ38" i="1" s="1"/>
  <c r="ER32" i="1"/>
  <c r="ER38" i="1" s="1"/>
  <c r="ES32" i="1"/>
  <c r="ES38" i="1" s="1"/>
  <c r="ET32" i="1"/>
  <c r="ET38" i="1" s="1"/>
  <c r="EU32" i="1"/>
  <c r="EU36" i="1" s="1"/>
  <c r="EV32" i="1"/>
  <c r="EV39" i="1" s="1"/>
  <c r="EW32" i="1"/>
  <c r="EX32" i="1"/>
  <c r="EY32" i="1"/>
  <c r="EY41" i="1" s="1"/>
  <c r="EZ32" i="1"/>
  <c r="EZ38" i="1" s="1"/>
  <c r="FA32" i="1"/>
  <c r="FA38" i="1" s="1"/>
  <c r="FB32" i="1"/>
  <c r="FB34" i="1" s="1"/>
  <c r="FC32" i="1"/>
  <c r="FC33" i="1" s="1"/>
  <c r="FD32" i="1"/>
  <c r="FD33" i="1" s="1"/>
  <c r="FE32" i="1"/>
  <c r="FE33" i="1" s="1"/>
  <c r="FF32" i="1"/>
  <c r="FF34" i="1" s="1"/>
  <c r="FG32" i="1"/>
  <c r="FG37" i="1" s="1"/>
  <c r="FH32" i="1"/>
  <c r="FH39" i="1" s="1"/>
  <c r="FI32" i="1"/>
  <c r="FJ32" i="1"/>
  <c r="FJ34" i="1" s="1"/>
  <c r="FK32" i="1"/>
  <c r="FL32" i="1"/>
  <c r="FM32" i="1"/>
  <c r="FM34" i="1" s="1"/>
  <c r="FN32" i="1"/>
  <c r="FO32" i="1"/>
  <c r="FP32" i="1"/>
  <c r="FP38" i="1" s="1"/>
  <c r="FQ32" i="1"/>
  <c r="FQ35" i="1" s="1"/>
  <c r="FR32" i="1"/>
  <c r="FR36" i="1" s="1"/>
  <c r="FS32" i="1"/>
  <c r="FS33" i="1" s="1"/>
  <c r="FT32" i="1"/>
  <c r="FT37" i="1" s="1"/>
  <c r="FU32" i="1"/>
  <c r="FU41" i="1" s="1"/>
  <c r="FV32" i="1"/>
  <c r="FV33" i="1" s="1"/>
  <c r="FW32" i="1"/>
  <c r="FW35" i="1" s="1"/>
  <c r="FX32" i="1"/>
  <c r="FX38" i="1" s="1"/>
  <c r="FY32" i="1"/>
  <c r="FY36" i="1" s="1"/>
  <c r="FZ32" i="1"/>
  <c r="FZ37" i="1" s="1"/>
  <c r="GA32" i="1"/>
  <c r="GA38" i="1" s="1"/>
  <c r="GB32" i="1"/>
  <c r="GB38" i="1" s="1"/>
  <c r="GC32" i="1"/>
  <c r="GC38" i="1" s="1"/>
  <c r="GD32" i="1"/>
  <c r="GD38" i="1" s="1"/>
  <c r="GE32" i="1"/>
  <c r="GE38" i="1" s="1"/>
  <c r="GF32" i="1"/>
  <c r="GF38" i="1" s="1"/>
  <c r="GG32" i="1"/>
  <c r="GG37" i="1" s="1"/>
  <c r="GH32" i="1"/>
  <c r="GH33" i="1" s="1"/>
  <c r="GI32" i="1"/>
  <c r="GI33" i="1" s="1"/>
  <c r="GJ32" i="1"/>
  <c r="GJ38" i="1" s="1"/>
  <c r="GK32" i="1"/>
  <c r="GK34" i="1" s="1"/>
  <c r="GL32" i="1"/>
  <c r="GL39" i="1" s="1"/>
  <c r="GM32" i="1"/>
  <c r="GM39" i="1" s="1"/>
  <c r="GN32" i="1"/>
  <c r="GO32" i="1"/>
  <c r="GO33" i="1" s="1"/>
  <c r="GP32" i="1"/>
  <c r="GP33" i="1" s="1"/>
  <c r="GQ32" i="1"/>
  <c r="GQ33" i="1" s="1"/>
  <c r="GR32" i="1"/>
  <c r="GR36" i="1" s="1"/>
  <c r="GS32" i="1"/>
  <c r="GS37" i="1" s="1"/>
  <c r="GT32" i="1"/>
  <c r="GT37" i="1" s="1"/>
  <c r="GU32" i="1"/>
  <c r="GV32" i="1"/>
  <c r="GV38" i="1" s="1"/>
  <c r="GW32" i="1"/>
  <c r="GW39" i="1" s="1"/>
  <c r="GX32" i="1"/>
  <c r="GX33" i="1" s="1"/>
  <c r="GY32" i="1"/>
  <c r="GY33" i="1" s="1"/>
  <c r="GZ32" i="1"/>
  <c r="GZ33" i="1" s="1"/>
  <c r="HA32" i="1"/>
  <c r="HA38" i="1" s="1"/>
  <c r="HB32" i="1"/>
  <c r="HB36" i="1" s="1"/>
  <c r="HC32" i="1"/>
  <c r="HC36" i="1" s="1"/>
  <c r="HD32" i="1"/>
  <c r="HD39" i="1" s="1"/>
  <c r="HE32" i="1"/>
  <c r="HF32" i="1"/>
  <c r="HF35" i="1" s="1"/>
  <c r="HG32" i="1"/>
  <c r="HG39" i="1" s="1"/>
  <c r="HH32" i="1"/>
  <c r="HH39" i="1" s="1"/>
  <c r="HI32" i="1"/>
  <c r="HI33" i="1" s="1"/>
  <c r="HJ32" i="1"/>
  <c r="HK32" i="1"/>
  <c r="HK34" i="1" s="1"/>
  <c r="HL32" i="1"/>
  <c r="HL38" i="1" s="1"/>
  <c r="HM32" i="1"/>
  <c r="HM38" i="1" s="1"/>
  <c r="HN32" i="1"/>
  <c r="HN36" i="1" s="1"/>
  <c r="HO32" i="1"/>
  <c r="HO33" i="1" s="1"/>
  <c r="HP32" i="1"/>
  <c r="HP41" i="1" s="1"/>
  <c r="HQ32" i="1"/>
  <c r="HQ34" i="1" s="1"/>
  <c r="HR32" i="1"/>
  <c r="HR36" i="1" s="1"/>
  <c r="HS32" i="1"/>
  <c r="HS39" i="1" s="1"/>
  <c r="HT32" i="1"/>
  <c r="HU32" i="1"/>
  <c r="HU36" i="1" s="1"/>
  <c r="HV32" i="1"/>
  <c r="HV36" i="1" s="1"/>
  <c r="HW32" i="1"/>
  <c r="HW39" i="1" s="1"/>
  <c r="HX32" i="1"/>
  <c r="HY32" i="1"/>
  <c r="HZ32" i="1"/>
  <c r="IA32" i="1"/>
  <c r="IB32" i="1"/>
  <c r="IB38" i="1" s="1"/>
  <c r="IC32" i="1"/>
  <c r="IC33" i="1" s="1"/>
  <c r="ID32" i="1"/>
  <c r="ID34" i="1" s="1"/>
  <c r="IE32" i="1"/>
  <c r="IE33" i="1" s="1"/>
  <c r="IF32" i="1"/>
  <c r="IF33" i="1" s="1"/>
  <c r="IG32" i="1"/>
  <c r="IG34" i="1" s="1"/>
  <c r="IH32" i="1"/>
  <c r="IH34" i="1" s="1"/>
  <c r="II32" i="1"/>
  <c r="II34" i="1" s="1"/>
  <c r="IJ32" i="1"/>
  <c r="IK32" i="1"/>
  <c r="IK37" i="1" s="1"/>
  <c r="IL32" i="1"/>
  <c r="IL38" i="1" s="1"/>
  <c r="IM32" i="1"/>
  <c r="IM38" i="1" s="1"/>
  <c r="IN32" i="1"/>
  <c r="IN37" i="1" s="1"/>
  <c r="IO32" i="1"/>
  <c r="IO39" i="1" s="1"/>
  <c r="IP32" i="1"/>
  <c r="IP38" i="1" s="1"/>
  <c r="IQ32" i="1"/>
  <c r="IQ38" i="1" s="1"/>
  <c r="IR32" i="1"/>
  <c r="IR38" i="1" s="1"/>
  <c r="FB33" i="1"/>
  <c r="FR34" i="1"/>
  <c r="HN34" i="1"/>
  <c r="EL35" i="1"/>
  <c r="EM35" i="1"/>
  <c r="FR35" i="1"/>
  <c r="GX38" i="1"/>
  <c r="HP38" i="1"/>
  <c r="IF38" i="1"/>
  <c r="EL39" i="1"/>
  <c r="FR39" i="1"/>
  <c r="GH39" i="1"/>
  <c r="ID39" i="1"/>
  <c r="EC32" i="1"/>
  <c r="EC38" i="1" s="1"/>
  <c r="G31" i="10" l="1"/>
  <c r="E30" i="12" s="1"/>
  <c r="K30" i="12" s="1"/>
  <c r="H25" i="10"/>
  <c r="F24" i="12" s="1"/>
  <c r="L24" i="12" s="1"/>
  <c r="J21" i="10"/>
  <c r="H18" i="10"/>
  <c r="F17" i="12" s="1"/>
  <c r="L17" i="12" s="1"/>
  <c r="I7" i="10"/>
  <c r="G6" i="12" s="1"/>
  <c r="M6" i="12" s="1"/>
  <c r="I21" i="10"/>
  <c r="G20" i="12" s="1"/>
  <c r="M20" i="12" s="1"/>
  <c r="G27" i="10"/>
  <c r="E26" i="12" s="1"/>
  <c r="K26" i="12" s="1"/>
  <c r="N26" i="10"/>
  <c r="H25" i="12" s="1"/>
  <c r="N25" i="12" s="1"/>
  <c r="Z25" i="12" s="1"/>
  <c r="K24" i="10"/>
  <c r="N19" i="10"/>
  <c r="H18" i="12" s="1"/>
  <c r="N18" i="12" s="1"/>
  <c r="Z18" i="12" s="1"/>
  <c r="G5" i="10"/>
  <c r="E4" i="12" s="1"/>
  <c r="K4" i="12" s="1"/>
  <c r="P4" i="12" s="1"/>
  <c r="O31" i="12"/>
  <c r="O23" i="12"/>
  <c r="V9" i="12"/>
  <c r="FP39" i="4"/>
  <c r="GS37" i="4"/>
  <c r="GR37" i="4"/>
  <c r="HL37" i="4"/>
  <c r="GQ37" i="4"/>
  <c r="IJ36" i="4"/>
  <c r="IR34" i="4"/>
  <c r="IB36" i="4"/>
  <c r="JD36" i="4"/>
  <c r="JC36" i="4"/>
  <c r="HG36" i="4"/>
  <c r="IN38" i="4"/>
  <c r="EX33" i="4"/>
  <c r="FN39" i="4"/>
  <c r="HZ36" i="4"/>
  <c r="IM38" i="4"/>
  <c r="HD35" i="4"/>
  <c r="HQ37" i="4"/>
  <c r="GQ35" i="4"/>
  <c r="FY39" i="4"/>
  <c r="IJ38" i="4"/>
  <c r="JQ33" i="4"/>
  <c r="GN38" i="4"/>
  <c r="HF36" i="4"/>
  <c r="ES35" i="4"/>
  <c r="IK33" i="4"/>
  <c r="IK38" i="4"/>
  <c r="HT36" i="4"/>
  <c r="FH34" i="4"/>
  <c r="FX39" i="4"/>
  <c r="HD37" i="4"/>
  <c r="FX35" i="4"/>
  <c r="FS39" i="4"/>
  <c r="FZ38" i="4"/>
  <c r="HE36" i="4"/>
  <c r="ER35" i="4"/>
  <c r="GO33" i="4"/>
  <c r="FX33" i="4"/>
  <c r="FH38" i="4"/>
  <c r="FH39" i="4"/>
  <c r="JP37" i="4"/>
  <c r="ER37" i="4"/>
  <c r="FX36" i="4"/>
  <c r="IJ34" i="4"/>
  <c r="FH33" i="4"/>
  <c r="FZ39" i="4"/>
  <c r="FI34" i="4"/>
  <c r="IZ34" i="4"/>
  <c r="FH37" i="4"/>
  <c r="JB37" i="4"/>
  <c r="HV34" i="4"/>
  <c r="FB33" i="4"/>
  <c r="GN33" i="4"/>
  <c r="JP41" i="4"/>
  <c r="IZ41" i="4"/>
  <c r="IJ41" i="4"/>
  <c r="HT41" i="4"/>
  <c r="HD41" i="4"/>
  <c r="GN41" i="4"/>
  <c r="FX41" i="4"/>
  <c r="JA37" i="4"/>
  <c r="FA36" i="4"/>
  <c r="HU34" i="4"/>
  <c r="FY38" i="4"/>
  <c r="GN37" i="4"/>
  <c r="IK34" i="4"/>
  <c r="JP39" i="4"/>
  <c r="FB39" i="4"/>
  <c r="IZ37" i="4"/>
  <c r="JB36" i="4"/>
  <c r="IK35" i="4"/>
  <c r="HT34" i="4"/>
  <c r="ER33" i="4"/>
  <c r="IL38" i="4"/>
  <c r="HD36" i="4"/>
  <c r="FX38" i="4"/>
  <c r="JA39" i="4"/>
  <c r="IJ37" i="4"/>
  <c r="JA36" i="4"/>
  <c r="IJ35" i="4"/>
  <c r="GN34" i="4"/>
  <c r="FJ34" i="4"/>
  <c r="GO35" i="4"/>
  <c r="FI33" i="4"/>
  <c r="IZ39" i="4"/>
  <c r="HU37" i="4"/>
  <c r="FX34" i="4"/>
  <c r="GI38" i="1"/>
  <c r="EN37" i="1"/>
  <c r="FB38" i="1"/>
  <c r="II41" i="1"/>
  <c r="EM37" i="1"/>
  <c r="EO37" i="1"/>
  <c r="HN41" i="1"/>
  <c r="GH36" i="1"/>
  <c r="FU33" i="1"/>
  <c r="FT33" i="1"/>
  <c r="GX41" i="1"/>
  <c r="EL36" i="1"/>
  <c r="FR41" i="1"/>
  <c r="ID35" i="1"/>
  <c r="EL33" i="1"/>
  <c r="EO41" i="1"/>
  <c r="GI35" i="1"/>
  <c r="GZ38" i="1"/>
  <c r="FD35" i="1"/>
  <c r="HQ41" i="1"/>
  <c r="HQ39" i="1"/>
  <c r="EK37" i="1"/>
  <c r="EN35" i="1"/>
  <c r="EN33" i="1"/>
  <c r="HA41" i="1"/>
  <c r="IF41" i="1"/>
  <c r="IF34" i="1"/>
  <c r="GJ39" i="1"/>
  <c r="HP36" i="1"/>
  <c r="GZ41" i="1"/>
  <c r="GI39" i="1"/>
  <c r="EO38" i="1"/>
  <c r="GK36" i="1"/>
  <c r="GZ34" i="1"/>
  <c r="IG41" i="1"/>
  <c r="EN41" i="1"/>
  <c r="EN38" i="1"/>
  <c r="GJ36" i="1"/>
  <c r="GJ34" i="1"/>
  <c r="O21" i="12"/>
  <c r="FE38" i="1"/>
  <c r="GK39" i="1"/>
  <c r="GJ41" i="1"/>
  <c r="HQ37" i="1"/>
  <c r="GI36" i="1"/>
  <c r="FS34" i="1"/>
  <c r="HP39" i="1"/>
  <c r="FT41" i="1"/>
  <c r="EO39" i="1"/>
  <c r="GK37" i="1"/>
  <c r="HQ36" i="1"/>
  <c r="FS41" i="1"/>
  <c r="EM36" i="1"/>
  <c r="GZ39" i="1"/>
  <c r="FD38" i="1"/>
  <c r="IG33" i="1"/>
  <c r="IG36" i="1"/>
  <c r="HO41" i="1"/>
  <c r="EN39" i="1"/>
  <c r="FC41" i="1"/>
  <c r="FA41" i="1"/>
  <c r="FE41" i="1"/>
  <c r="EK39" i="1"/>
  <c r="FD37" i="1"/>
  <c r="GK33" i="1"/>
  <c r="IF36" i="1"/>
  <c r="GI41" i="1"/>
  <c r="GJ37" i="1"/>
  <c r="EO34" i="1"/>
  <c r="EZ41" i="1"/>
  <c r="FD41" i="1"/>
  <c r="IG38" i="1"/>
  <c r="EZ37" i="1"/>
  <c r="GJ35" i="1"/>
  <c r="GJ33" i="1"/>
  <c r="IN41" i="4"/>
  <c r="EV41" i="4"/>
  <c r="EV36" i="4"/>
  <c r="JC41" i="4"/>
  <c r="FL38" i="4"/>
  <c r="JR41" i="4"/>
  <c r="IL41" i="4"/>
  <c r="HF41" i="4"/>
  <c r="FZ41" i="4"/>
  <c r="ET41" i="4"/>
  <c r="IL39" i="4"/>
  <c r="FK38" i="4"/>
  <c r="IM37" i="4"/>
  <c r="FZ37" i="4"/>
  <c r="IO36" i="4"/>
  <c r="GR36" i="4"/>
  <c r="ET36" i="4"/>
  <c r="JQ41" i="4"/>
  <c r="JA41" i="4"/>
  <c r="IK41" i="4"/>
  <c r="HU41" i="4"/>
  <c r="HE41" i="4"/>
  <c r="GO41" i="4"/>
  <c r="FY41" i="4"/>
  <c r="FI41" i="4"/>
  <c r="ES41" i="4"/>
  <c r="FT39" i="4"/>
  <c r="EU39" i="4"/>
  <c r="HV38" i="4"/>
  <c r="FJ38" i="4"/>
  <c r="IL37" i="4"/>
  <c r="FM37" i="4"/>
  <c r="IN36" i="4"/>
  <c r="GQ36" i="4"/>
  <c r="JQ35" i="4"/>
  <c r="FK35" i="4"/>
  <c r="HG34" i="4"/>
  <c r="EV34" i="4"/>
  <c r="JD41" i="4"/>
  <c r="GR41" i="4"/>
  <c r="IN39" i="4"/>
  <c r="HW41" i="4"/>
  <c r="EU41" i="4"/>
  <c r="IM39" i="4"/>
  <c r="EW39" i="4"/>
  <c r="IN37" i="4"/>
  <c r="HV41" i="4"/>
  <c r="GP41" i="4"/>
  <c r="FJ41" i="4"/>
  <c r="EV39" i="4"/>
  <c r="GA33" i="4"/>
  <c r="HW39" i="4"/>
  <c r="ET39" i="4"/>
  <c r="HH38" i="4"/>
  <c r="FI38" i="4"/>
  <c r="FL37" i="4"/>
  <c r="IM36" i="4"/>
  <c r="GP36" i="4"/>
  <c r="FI35" i="4"/>
  <c r="GS34" i="4"/>
  <c r="EU34" i="4"/>
  <c r="FJ33" i="4"/>
  <c r="HH41" i="4"/>
  <c r="GB33" i="4"/>
  <c r="EU38" i="4"/>
  <c r="JQ39" i="4"/>
  <c r="HF39" i="4"/>
  <c r="FM39" i="4"/>
  <c r="JR38" i="4"/>
  <c r="GR38" i="4"/>
  <c r="ET38" i="4"/>
  <c r="GA36" i="4"/>
  <c r="HW35" i="4"/>
  <c r="JS34" i="4"/>
  <c r="HX33" i="4"/>
  <c r="JT41" i="4"/>
  <c r="FL41" i="4"/>
  <c r="IM41" i="4"/>
  <c r="FK41" i="4"/>
  <c r="EU36" i="4"/>
  <c r="HV39" i="4"/>
  <c r="JC35" i="4"/>
  <c r="GR34" i="4"/>
  <c r="HF38" i="4"/>
  <c r="FJ37" i="4"/>
  <c r="GQ34" i="4"/>
  <c r="HY33" i="4"/>
  <c r="HE39" i="4"/>
  <c r="FL39" i="4"/>
  <c r="JD38" i="4"/>
  <c r="GQ38" i="4"/>
  <c r="EV37" i="4"/>
  <c r="HX36" i="4"/>
  <c r="FZ36" i="4"/>
  <c r="HU35" i="4"/>
  <c r="JA34" i="4"/>
  <c r="GC34" i="4"/>
  <c r="HW33" i="4"/>
  <c r="HX41" i="4"/>
  <c r="JS41" i="4"/>
  <c r="GA41" i="4"/>
  <c r="JT38" i="4"/>
  <c r="HE38" i="4"/>
  <c r="JE39" i="4"/>
  <c r="GR39" i="4"/>
  <c r="FK39" i="4"/>
  <c r="JC38" i="4"/>
  <c r="GP38" i="4"/>
  <c r="HG37" i="4"/>
  <c r="EU37" i="4"/>
  <c r="HW36" i="4"/>
  <c r="FY36" i="4"/>
  <c r="GB34" i="4"/>
  <c r="GS33" i="4"/>
  <c r="EV33" i="4"/>
  <c r="GB41" i="4"/>
  <c r="HG38" i="4"/>
  <c r="FI37" i="4"/>
  <c r="JD39" i="4"/>
  <c r="GQ39" i="4"/>
  <c r="FJ39" i="4"/>
  <c r="JB38" i="4"/>
  <c r="GO38" i="4"/>
  <c r="JE37" i="4"/>
  <c r="HF37" i="4"/>
  <c r="ET37" i="4"/>
  <c r="HI35" i="4"/>
  <c r="GA34" i="4"/>
  <c r="GR33" i="4"/>
  <c r="EU33" i="4"/>
  <c r="HG41" i="4"/>
  <c r="GA35" i="4"/>
  <c r="JT39" i="4"/>
  <c r="JR39" i="4"/>
  <c r="JS38" i="4"/>
  <c r="JC39" i="4"/>
  <c r="GP39" i="4"/>
  <c r="FI39" i="4"/>
  <c r="JD37" i="4"/>
  <c r="ES37" i="4"/>
  <c r="FJ36" i="4"/>
  <c r="HG35" i="4"/>
  <c r="IO34" i="4"/>
  <c r="FZ34" i="4"/>
  <c r="GQ41" i="4"/>
  <c r="FK37" i="4"/>
  <c r="JS39" i="4"/>
  <c r="HH39" i="4"/>
  <c r="EV38" i="4"/>
  <c r="HG39" i="4"/>
  <c r="GB36" i="4"/>
  <c r="GO34" i="4"/>
  <c r="JB39" i="4"/>
  <c r="GA38" i="4"/>
  <c r="JC37" i="4"/>
  <c r="HH36" i="4"/>
  <c r="IM34" i="4"/>
  <c r="GP33" i="4"/>
  <c r="FP41" i="1"/>
  <c r="FP39" i="1"/>
  <c r="IB39" i="1"/>
  <c r="IB37" i="1"/>
  <c r="EJ39" i="1"/>
  <c r="O30" i="12"/>
  <c r="GO41" i="1"/>
  <c r="GK41" i="1"/>
  <c r="HL39" i="1"/>
  <c r="HA34" i="1"/>
  <c r="EO33" i="1"/>
  <c r="O4" i="12"/>
  <c r="EJ34" i="1"/>
  <c r="HL41" i="1"/>
  <c r="FP33" i="1"/>
  <c r="HC39" i="1"/>
  <c r="HQ38" i="1"/>
  <c r="FU37" i="1"/>
  <c r="EZ36" i="1"/>
  <c r="FP34" i="1"/>
  <c r="FP35" i="1"/>
  <c r="V22" i="12"/>
  <c r="EJ35" i="1"/>
  <c r="GV41" i="1"/>
  <c r="HA39" i="1"/>
  <c r="EJ41" i="1"/>
  <c r="O29" i="12"/>
  <c r="EJ33" i="1"/>
  <c r="HB41" i="1"/>
  <c r="EP35" i="1"/>
  <c r="GG39" i="1"/>
  <c r="FQ37" i="1"/>
  <c r="GG36" i="1"/>
  <c r="GG38" i="1"/>
  <c r="FQ36" i="1"/>
  <c r="FQ39" i="1"/>
  <c r="FA36" i="1"/>
  <c r="O27" i="12"/>
  <c r="IC39" i="1"/>
  <c r="FA33" i="1"/>
  <c r="HM39" i="1"/>
  <c r="HM35" i="1"/>
  <c r="GW36" i="1"/>
  <c r="GH41" i="1"/>
  <c r="GM41" i="1"/>
  <c r="FR38" i="1"/>
  <c r="GF36" i="1"/>
  <c r="IN33" i="1"/>
  <c r="HL33" i="1"/>
  <c r="IL37" i="1"/>
  <c r="IE35" i="1"/>
  <c r="HL34" i="1"/>
  <c r="GX37" i="1"/>
  <c r="HL36" i="1"/>
  <c r="GM35" i="1"/>
  <c r="IL36" i="4"/>
  <c r="HF34" i="4"/>
  <c r="JS33" i="4"/>
  <c r="FO39" i="4"/>
  <c r="HV36" i="4"/>
  <c r="GP34" i="4"/>
  <c r="JR33" i="4"/>
  <c r="FZ33" i="4"/>
  <c r="IT34" i="4"/>
  <c r="IM33" i="4"/>
  <c r="GZ35" i="1"/>
  <c r="FQ33" i="1"/>
  <c r="IC38" i="1"/>
  <c r="EP38" i="1"/>
  <c r="GL41" i="1"/>
  <c r="HB38" i="1"/>
  <c r="EP33" i="1"/>
  <c r="EP34" i="1"/>
  <c r="FV41" i="1"/>
  <c r="IH41" i="1"/>
  <c r="O14" i="12"/>
  <c r="HF39" i="1"/>
  <c r="GI37" i="1"/>
  <c r="GX36" i="1"/>
  <c r="HL35" i="1"/>
  <c r="HM34" i="1"/>
  <c r="GW33" i="1"/>
  <c r="FV37" i="1"/>
  <c r="HR41" i="1"/>
  <c r="FF41" i="1"/>
  <c r="HB39" i="1"/>
  <c r="IH38" i="1"/>
  <c r="FF38" i="1"/>
  <c r="GL34" i="1"/>
  <c r="EP41" i="1"/>
  <c r="HR38" i="1"/>
  <c r="ID38" i="1"/>
  <c r="FR37" i="1"/>
  <c r="GL35" i="1"/>
  <c r="HB34" i="1"/>
  <c r="GL33" i="1"/>
  <c r="H13" i="10"/>
  <c r="F12" i="12" s="1"/>
  <c r="L12" i="12" s="1"/>
  <c r="Q12" i="12" s="1"/>
  <c r="L23" i="10"/>
  <c r="G32" i="10"/>
  <c r="E31" i="12" s="1"/>
  <c r="K31" i="12" s="1"/>
  <c r="P31" i="12" s="1"/>
  <c r="L25" i="10"/>
  <c r="J30" i="10"/>
  <c r="I5" i="10"/>
  <c r="G4" i="12" s="1"/>
  <c r="M4" i="12" s="1"/>
  <c r="R4" i="12" s="1"/>
  <c r="M4" i="10"/>
  <c r="J6" i="10"/>
  <c r="M17" i="10"/>
  <c r="I6" i="10"/>
  <c r="G5" i="12" s="1"/>
  <c r="M5" i="12" s="1"/>
  <c r="R5" i="12" s="1"/>
  <c r="K5" i="10"/>
  <c r="J28" i="10"/>
  <c r="I28" i="10"/>
  <c r="G27" i="12" s="1"/>
  <c r="M27" i="12" s="1"/>
  <c r="R27" i="12" s="1"/>
  <c r="L29" i="10"/>
  <c r="M13" i="10"/>
  <c r="G23" i="10"/>
  <c r="E22" i="12" s="1"/>
  <c r="K22" i="12" s="1"/>
  <c r="W22" i="12" s="1"/>
  <c r="G19" i="10"/>
  <c r="E18" i="12" s="1"/>
  <c r="K18" i="12" s="1"/>
  <c r="W18" i="12" s="1"/>
  <c r="M15" i="10"/>
  <c r="K4" i="10"/>
  <c r="J17" i="10"/>
  <c r="G9" i="10"/>
  <c r="E8" i="12" s="1"/>
  <c r="K8" i="12" s="1"/>
  <c r="W8" i="12" s="1"/>
  <c r="K21" i="10"/>
  <c r="I17" i="10"/>
  <c r="G16" i="12" s="1"/>
  <c r="M16" i="12" s="1"/>
  <c r="Y16" i="12" s="1"/>
  <c r="O11" i="12"/>
  <c r="L22" i="10"/>
  <c r="K14" i="10"/>
  <c r="K7" i="10"/>
  <c r="L13" i="10"/>
  <c r="G12" i="10"/>
  <c r="E11" i="12" s="1"/>
  <c r="K11" i="12" s="1"/>
  <c r="W11" i="12" s="1"/>
  <c r="J23" i="10"/>
  <c r="I27" i="10"/>
  <c r="G26" i="12" s="1"/>
  <c r="M26" i="12" s="1"/>
  <c r="Y26" i="12" s="1"/>
  <c r="G28" i="10"/>
  <c r="E27" i="12" s="1"/>
  <c r="K27" i="12" s="1"/>
  <c r="W27" i="12" s="1"/>
  <c r="M21" i="10"/>
  <c r="K15" i="10"/>
  <c r="H23" i="10"/>
  <c r="F22" i="12" s="1"/>
  <c r="L22" i="12" s="1"/>
  <c r="X22" i="12" s="1"/>
  <c r="G24" i="10"/>
  <c r="E23" i="12" s="1"/>
  <c r="K23" i="12" s="1"/>
  <c r="P23" i="12" s="1"/>
  <c r="L12" i="10"/>
  <c r="G29" i="10"/>
  <c r="E28" i="12" s="1"/>
  <c r="K28" i="12" s="1"/>
  <c r="P28" i="12" s="1"/>
  <c r="H8" i="10"/>
  <c r="F7" i="12" s="1"/>
  <c r="L7" i="12" s="1"/>
  <c r="Q7" i="12" s="1"/>
  <c r="G20" i="10"/>
  <c r="E19" i="12" s="1"/>
  <c r="K19" i="12" s="1"/>
  <c r="W19" i="12" s="1"/>
  <c r="J22" i="10"/>
  <c r="J32" i="10"/>
  <c r="I20" i="10"/>
  <c r="G19" i="12" s="1"/>
  <c r="M19" i="12" s="1"/>
  <c r="R19" i="12" s="1"/>
  <c r="I22" i="10"/>
  <c r="G21" i="12" s="1"/>
  <c r="M21" i="12" s="1"/>
  <c r="R21" i="12" s="1"/>
  <c r="I32" i="10"/>
  <c r="G31" i="12" s="1"/>
  <c r="M31" i="12" s="1"/>
  <c r="Y31" i="12" s="1"/>
  <c r="J20" i="10"/>
  <c r="L16" i="10"/>
  <c r="H5" i="10"/>
  <c r="F4" i="12" s="1"/>
  <c r="L4" i="12" s="1"/>
  <c r="X4" i="12" s="1"/>
  <c r="K29" i="10"/>
  <c r="L15" i="10"/>
  <c r="G8" i="10"/>
  <c r="E7" i="12" s="1"/>
  <c r="K7" i="12" s="1"/>
  <c r="P7" i="12" s="1"/>
  <c r="I16" i="10"/>
  <c r="G15" i="12" s="1"/>
  <c r="M15" i="12" s="1"/>
  <c r="Y15" i="12" s="1"/>
  <c r="J18" i="10"/>
  <c r="M7" i="10"/>
  <c r="G25" i="10"/>
  <c r="E24" i="12" s="1"/>
  <c r="K24" i="12" s="1"/>
  <c r="W24" i="12" s="1"/>
  <c r="M6" i="10"/>
  <c r="K20" i="10"/>
  <c r="I23" i="10"/>
  <c r="G22" i="12" s="1"/>
  <c r="M22" i="12" s="1"/>
  <c r="R22" i="12" s="1"/>
  <c r="H17" i="10"/>
  <c r="F16" i="12" s="1"/>
  <c r="L16" i="12" s="1"/>
  <c r="Q16" i="12" s="1"/>
  <c r="I14" i="10"/>
  <c r="G13" i="12" s="1"/>
  <c r="M13" i="12" s="1"/>
  <c r="R13" i="12" s="1"/>
  <c r="I26" i="10"/>
  <c r="G25" i="12" s="1"/>
  <c r="M25" i="12" s="1"/>
  <c r="Y25" i="12" s="1"/>
  <c r="L10" i="10"/>
  <c r="K18" i="10"/>
  <c r="I25" i="10"/>
  <c r="G24" i="12" s="1"/>
  <c r="M24" i="12" s="1"/>
  <c r="Y24" i="12" s="1"/>
  <c r="G7" i="10"/>
  <c r="E6" i="12" s="1"/>
  <c r="K6" i="12" s="1"/>
  <c r="W6" i="12" s="1"/>
  <c r="J5" i="10"/>
  <c r="G6" i="10"/>
  <c r="E5" i="12" s="1"/>
  <c r="K5" i="12" s="1"/>
  <c r="W5" i="12" s="1"/>
  <c r="H32" i="10"/>
  <c r="F31" i="12" s="1"/>
  <c r="L31" i="12" s="1"/>
  <c r="X31" i="12" s="1"/>
  <c r="I13" i="10"/>
  <c r="G12" i="12" s="1"/>
  <c r="M12" i="12" s="1"/>
  <c r="R12" i="12" s="1"/>
  <c r="M29" i="10"/>
  <c r="H29" i="10"/>
  <c r="F28" i="12" s="1"/>
  <c r="L28" i="12" s="1"/>
  <c r="X28" i="12" s="1"/>
  <c r="J16" i="10"/>
  <c r="J4" i="10"/>
  <c r="J14" i="10"/>
  <c r="J26" i="10"/>
  <c r="I24" i="10"/>
  <c r="G23" i="12" s="1"/>
  <c r="M23" i="12" s="1"/>
  <c r="Y23" i="12" s="1"/>
  <c r="G13" i="10"/>
  <c r="E12" i="12" s="1"/>
  <c r="K12" i="12" s="1"/>
  <c r="W12" i="12" s="1"/>
  <c r="K9" i="10"/>
  <c r="H9" i="10"/>
  <c r="F8" i="12" s="1"/>
  <c r="L8" i="12" s="1"/>
  <c r="X8" i="12" s="1"/>
  <c r="M24" i="10"/>
  <c r="L20" i="10"/>
  <c r="G16" i="10"/>
  <c r="E15" i="12" s="1"/>
  <c r="K15" i="12" s="1"/>
  <c r="W15" i="12" s="1"/>
  <c r="K31" i="10"/>
  <c r="L6" i="10"/>
  <c r="L27" i="10"/>
  <c r="H19" i="10"/>
  <c r="F18" i="12" s="1"/>
  <c r="L18" i="12" s="1"/>
  <c r="Q18" i="12" s="1"/>
  <c r="H10" i="10"/>
  <c r="F9" i="12" s="1"/>
  <c r="L9" i="12" s="1"/>
  <c r="Q9" i="12" s="1"/>
  <c r="J9" i="10"/>
  <c r="M14" i="10"/>
  <c r="L4" i="10"/>
  <c r="M26" i="10"/>
  <c r="L8" i="10"/>
  <c r="J25" i="10"/>
  <c r="I9" i="10"/>
  <c r="G8" i="12" s="1"/>
  <c r="M8" i="12" s="1"/>
  <c r="R8" i="12" s="1"/>
  <c r="K6" i="10"/>
  <c r="L19" i="10"/>
  <c r="L31" i="10"/>
  <c r="I8" i="10"/>
  <c r="G7" i="12" s="1"/>
  <c r="M7" i="12" s="1"/>
  <c r="R7" i="12" s="1"/>
  <c r="L21" i="10"/>
  <c r="M27" i="10"/>
  <c r="L30" i="10"/>
  <c r="H4" i="10"/>
  <c r="F3" i="12" s="1"/>
  <c r="L3" i="12" s="1"/>
  <c r="Q3" i="12" s="1"/>
  <c r="K23" i="10"/>
  <c r="H31" i="10"/>
  <c r="F30" i="12" s="1"/>
  <c r="L30" i="12" s="1"/>
  <c r="X30" i="12" s="1"/>
  <c r="J8" i="10"/>
  <c r="H7" i="10"/>
  <c r="F6" i="12" s="1"/>
  <c r="L6" i="12" s="1"/>
  <c r="X6" i="12" s="1"/>
  <c r="G4" i="10"/>
  <c r="E3" i="12" s="1"/>
  <c r="K3" i="12" s="1"/>
  <c r="P3" i="12" s="1"/>
  <c r="G22" i="10"/>
  <c r="E21" i="12" s="1"/>
  <c r="K21" i="12" s="1"/>
  <c r="P21" i="12" s="1"/>
  <c r="L17" i="10"/>
  <c r="M16" i="10"/>
  <c r="J12" i="10"/>
  <c r="K26" i="10"/>
  <c r="H27" i="10"/>
  <c r="F26" i="12" s="1"/>
  <c r="L26" i="12" s="1"/>
  <c r="X26" i="12" s="1"/>
  <c r="G18" i="10"/>
  <c r="E17" i="12" s="1"/>
  <c r="K17" i="12" s="1"/>
  <c r="W17" i="12" s="1"/>
  <c r="H30" i="10"/>
  <c r="F29" i="12" s="1"/>
  <c r="L29" i="12" s="1"/>
  <c r="X29" i="12" s="1"/>
  <c r="K28" i="10"/>
  <c r="M19" i="10"/>
  <c r="K19" i="10"/>
  <c r="K27" i="10"/>
  <c r="J19" i="10"/>
  <c r="L28" i="10"/>
  <c r="M12" i="10"/>
  <c r="G15" i="10"/>
  <c r="E14" i="12" s="1"/>
  <c r="K14" i="12" s="1"/>
  <c r="P14" i="12" s="1"/>
  <c r="K12" i="10"/>
  <c r="J31" i="10"/>
  <c r="H12" i="10"/>
  <c r="F11" i="12" s="1"/>
  <c r="L11" i="12" s="1"/>
  <c r="X11" i="12" s="1"/>
  <c r="K25" i="10"/>
  <c r="M9" i="10"/>
  <c r="G14" i="10"/>
  <c r="E13" i="12" s="1"/>
  <c r="K13" i="12" s="1"/>
  <c r="W13" i="12" s="1"/>
  <c r="M18" i="10"/>
  <c r="I19" i="10"/>
  <c r="G18" i="12" s="1"/>
  <c r="M18" i="12" s="1"/>
  <c r="Y18" i="12" s="1"/>
  <c r="L32" i="10"/>
  <c r="L14" i="10"/>
  <c r="L5" i="10"/>
  <c r="I31" i="10"/>
  <c r="G30" i="12" s="1"/>
  <c r="M30" i="12" s="1"/>
  <c r="R30" i="12" s="1"/>
  <c r="M5" i="10"/>
  <c r="M30" i="10"/>
  <c r="M31" i="10"/>
  <c r="M25" i="10"/>
  <c r="L26" i="10"/>
  <c r="K22" i="10"/>
  <c r="J10" i="10"/>
  <c r="L24" i="10"/>
  <c r="I4" i="10"/>
  <c r="G3" i="12" s="1"/>
  <c r="M3" i="12" s="1"/>
  <c r="Y3" i="12" s="1"/>
  <c r="L7" i="10"/>
  <c r="G30" i="10"/>
  <c r="E29" i="12" s="1"/>
  <c r="K29" i="12" s="1"/>
  <c r="P29" i="12" s="1"/>
  <c r="M10" i="10"/>
  <c r="I10" i="10"/>
  <c r="G9" i="12" s="1"/>
  <c r="M9" i="12" s="1"/>
  <c r="Y9" i="12" s="1"/>
  <c r="K17" i="10"/>
  <c r="L18" i="10"/>
  <c r="H26" i="10"/>
  <c r="F25" i="12" s="1"/>
  <c r="L25" i="12" s="1"/>
  <c r="Q25" i="12" s="1"/>
  <c r="H16" i="10"/>
  <c r="F15" i="12" s="1"/>
  <c r="L15" i="12" s="1"/>
  <c r="Q15" i="12" s="1"/>
  <c r="H22" i="10"/>
  <c r="F21" i="12" s="1"/>
  <c r="L21" i="12" s="1"/>
  <c r="Q21" i="12" s="1"/>
  <c r="K30" i="10"/>
  <c r="I15" i="10"/>
  <c r="G14" i="12" s="1"/>
  <c r="M14" i="12" s="1"/>
  <c r="Y14" i="12" s="1"/>
  <c r="J29" i="10"/>
  <c r="H14" i="10"/>
  <c r="F13" i="12" s="1"/>
  <c r="L13" i="12" s="1"/>
  <c r="X13" i="12" s="1"/>
  <c r="M20" i="10"/>
  <c r="K32" i="10"/>
  <c r="J24" i="10"/>
  <c r="G17" i="10"/>
  <c r="E16" i="12" s="1"/>
  <c r="K16" i="12" s="1"/>
  <c r="P16" i="12" s="1"/>
  <c r="I29" i="10"/>
  <c r="G28" i="12" s="1"/>
  <c r="M28" i="12" s="1"/>
  <c r="Y28" i="12" s="1"/>
  <c r="I18" i="10"/>
  <c r="G17" i="12" s="1"/>
  <c r="M17" i="12" s="1"/>
  <c r="Y17" i="12" s="1"/>
  <c r="H21" i="10"/>
  <c r="F20" i="12" s="1"/>
  <c r="L20" i="12" s="1"/>
  <c r="X20" i="12" s="1"/>
  <c r="G26" i="10"/>
  <c r="E25" i="12" s="1"/>
  <c r="K25" i="12" s="1"/>
  <c r="P25" i="12" s="1"/>
  <c r="H15" i="10"/>
  <c r="F14" i="12" s="1"/>
  <c r="L14" i="12" s="1"/>
  <c r="X14" i="12" s="1"/>
  <c r="M23" i="10"/>
  <c r="M22" i="10"/>
  <c r="D32" i="6"/>
  <c r="E32" i="6" s="1"/>
  <c r="JT33" i="4"/>
  <c r="IN34" i="4"/>
  <c r="IN33" i="4"/>
  <c r="IL34" i="4"/>
  <c r="JS35" i="4"/>
  <c r="FQ41" i="4"/>
  <c r="JI41" i="4"/>
  <c r="JT34" i="4"/>
  <c r="HM37" i="4"/>
  <c r="IC36" i="4"/>
  <c r="IS38" i="4"/>
  <c r="GG36" i="4"/>
  <c r="GG35" i="4"/>
  <c r="ET35" i="4"/>
  <c r="ET34" i="4"/>
  <c r="FA39" i="4"/>
  <c r="JR36" i="4"/>
  <c r="FQ35" i="4"/>
  <c r="FQ39" i="4"/>
  <c r="HW34" i="4"/>
  <c r="IC33" i="4"/>
  <c r="IC35" i="4"/>
  <c r="FQ37" i="4"/>
  <c r="GW39" i="4"/>
  <c r="FA33" i="4"/>
  <c r="D14" i="6"/>
  <c r="E14" i="6" s="1"/>
  <c r="ID33" i="1"/>
  <c r="IR39" i="1"/>
  <c r="GX39" i="1"/>
  <c r="HL37" i="1"/>
  <c r="FC37" i="1"/>
  <c r="HO36" i="1"/>
  <c r="FP36" i="1"/>
  <c r="GW35" i="1"/>
  <c r="GX34" i="1"/>
  <c r="GP41" i="1"/>
  <c r="IE39" i="1"/>
  <c r="GV39" i="1"/>
  <c r="EM39" i="1"/>
  <c r="GY37" i="1"/>
  <c r="FB37" i="1"/>
  <c r="HM36" i="1"/>
  <c r="FB36" i="1"/>
  <c r="GV35" i="1"/>
  <c r="GW34" i="1"/>
  <c r="FR33" i="1"/>
  <c r="GY38" i="1"/>
  <c r="GY36" i="1"/>
  <c r="GI34" i="1"/>
  <c r="FB41" i="1"/>
  <c r="FG41" i="1"/>
  <c r="GH38" i="1"/>
  <c r="EM38" i="1"/>
  <c r="GH37" i="1"/>
  <c r="EL37" i="1"/>
  <c r="GV36" i="1"/>
  <c r="EJ36" i="1"/>
  <c r="GH35" i="1"/>
  <c r="GH34" i="1"/>
  <c r="IB33" i="1"/>
  <c r="EZ33" i="1"/>
  <c r="HO39" i="1"/>
  <c r="GF39" i="1"/>
  <c r="EL38" i="1"/>
  <c r="GF37" i="1"/>
  <c r="GG35" i="1"/>
  <c r="IB34" i="1"/>
  <c r="GG34" i="1"/>
  <c r="HN33" i="1"/>
  <c r="FS39" i="1"/>
  <c r="IE38" i="1"/>
  <c r="IR37" i="1"/>
  <c r="EJ37" i="1"/>
  <c r="IR35" i="1"/>
  <c r="FS35" i="1"/>
  <c r="HO34" i="1"/>
  <c r="GF34" i="1"/>
  <c r="HM33" i="1"/>
  <c r="FS37" i="1"/>
  <c r="IE36" i="1"/>
  <c r="ID37" i="1"/>
  <c r="IE37" i="1"/>
  <c r="ID36" i="1"/>
  <c r="FC35" i="1"/>
  <c r="EM41" i="1"/>
  <c r="FB39" i="1"/>
  <c r="FH38" i="1"/>
  <c r="IB36" i="1"/>
  <c r="FS36" i="1"/>
  <c r="FB35" i="1"/>
  <c r="HC34" i="1"/>
  <c r="FC34" i="1"/>
  <c r="IE41" i="1"/>
  <c r="ID41" i="1"/>
  <c r="GF41" i="1"/>
  <c r="EL41" i="1"/>
  <c r="EZ39" i="1"/>
  <c r="HO38" i="1"/>
  <c r="FG38" i="1"/>
  <c r="HN37" i="1"/>
  <c r="FP37" i="1"/>
  <c r="GY35" i="1"/>
  <c r="FA35" i="1"/>
  <c r="FA34" i="1"/>
  <c r="D25" i="6"/>
  <c r="E25" i="6" s="1"/>
  <c r="FC39" i="1"/>
  <c r="IR41" i="1"/>
  <c r="IB41" i="1"/>
  <c r="FW41" i="1"/>
  <c r="GY39" i="1"/>
  <c r="HN38" i="1"/>
  <c r="HM37" i="1"/>
  <c r="GX35" i="1"/>
  <c r="EZ35" i="1"/>
  <c r="EZ34" i="1"/>
  <c r="D27" i="6"/>
  <c r="E27" i="6" s="1"/>
  <c r="GY34" i="1"/>
  <c r="IC34" i="1"/>
  <c r="D18" i="6"/>
  <c r="E18" i="6" s="1"/>
  <c r="IC35" i="1"/>
  <c r="R29" i="12"/>
  <c r="Y29" i="12"/>
  <c r="V18" i="12"/>
  <c r="O18" i="12"/>
  <c r="D16" i="6"/>
  <c r="D23" i="6"/>
  <c r="IM33" i="1"/>
  <c r="V25" i="12"/>
  <c r="O25" i="12"/>
  <c r="D24" i="6"/>
  <c r="G10" i="10"/>
  <c r="E9" i="12" s="1"/>
  <c r="K9" i="12" s="1"/>
  <c r="D13" i="6"/>
  <c r="D4" i="6"/>
  <c r="O28" i="12"/>
  <c r="V28" i="12"/>
  <c r="D28" i="6"/>
  <c r="I12" i="10"/>
  <c r="G11" i="12" s="1"/>
  <c r="M11" i="12" s="1"/>
  <c r="Q17" i="12"/>
  <c r="X17" i="12"/>
  <c r="V13" i="12"/>
  <c r="O13" i="12"/>
  <c r="D17" i="6"/>
  <c r="D15" i="6"/>
  <c r="D29" i="6"/>
  <c r="R20" i="12"/>
  <c r="Y20" i="12"/>
  <c r="W30" i="12"/>
  <c r="P30" i="12"/>
  <c r="V17" i="12"/>
  <c r="O17" i="12"/>
  <c r="X24" i="12"/>
  <c r="Q24" i="12"/>
  <c r="P20" i="12"/>
  <c r="W20" i="12"/>
  <c r="X5" i="12"/>
  <c r="Q5" i="12"/>
  <c r="R6" i="12"/>
  <c r="Y6" i="12"/>
  <c r="O12" i="12"/>
  <c r="V12" i="12"/>
  <c r="D22" i="6"/>
  <c r="D21" i="6"/>
  <c r="D9" i="6"/>
  <c r="V16" i="12"/>
  <c r="O16" i="12"/>
  <c r="O8" i="12"/>
  <c r="V8" i="12"/>
  <c r="D5" i="6"/>
  <c r="D11" i="6"/>
  <c r="O6" i="12"/>
  <c r="V6" i="12"/>
  <c r="D6" i="6"/>
  <c r="D12" i="6"/>
  <c r="D19" i="6"/>
  <c r="D8" i="6"/>
  <c r="D20" i="6"/>
  <c r="O20" i="12"/>
  <c r="V20" i="12"/>
  <c r="Q23" i="12"/>
  <c r="X23" i="12"/>
  <c r="X19" i="12"/>
  <c r="Q19" i="12"/>
  <c r="O5" i="12"/>
  <c r="V5" i="12"/>
  <c r="V3" i="12"/>
  <c r="O3" i="12"/>
  <c r="D26" i="6"/>
  <c r="O15" i="12"/>
  <c r="V15" i="12"/>
  <c r="P26" i="12"/>
  <c r="W26" i="12"/>
  <c r="D31" i="6"/>
  <c r="O24" i="12"/>
  <c r="V24" i="12"/>
  <c r="D10" i="6"/>
  <c r="V19" i="12"/>
  <c r="O19" i="12"/>
  <c r="IR33" i="1"/>
  <c r="Q27" i="12"/>
  <c r="X27" i="12"/>
  <c r="D30" i="6"/>
  <c r="V26" i="12"/>
  <c r="O26" i="12"/>
  <c r="O7" i="12"/>
  <c r="V7" i="12"/>
  <c r="D7" i="6"/>
  <c r="FA35" i="4"/>
  <c r="GW38" i="4"/>
  <c r="GY38" i="4"/>
  <c r="GH33" i="4"/>
  <c r="GW37" i="4"/>
  <c r="IR36" i="4"/>
  <c r="IU41" i="4"/>
  <c r="IG39" i="4"/>
  <c r="HJ33" i="4"/>
  <c r="JI35" i="4"/>
  <c r="GS35" i="4"/>
  <c r="JL38" i="4"/>
  <c r="JD33" i="4"/>
  <c r="HH33" i="4"/>
  <c r="FQ33" i="4"/>
  <c r="JK39" i="4"/>
  <c r="GA39" i="4"/>
  <c r="JS37" i="4"/>
  <c r="HW37" i="4"/>
  <c r="FM36" i="4"/>
  <c r="IQ35" i="4"/>
  <c r="JC33" i="4"/>
  <c r="FL33" i="4"/>
  <c r="HA38" i="4"/>
  <c r="IV36" i="4"/>
  <c r="IU36" i="4"/>
  <c r="IV41" i="4"/>
  <c r="HK33" i="4"/>
  <c r="GH41" i="4"/>
  <c r="JM39" i="4"/>
  <c r="IF39" i="4"/>
  <c r="IC38" i="4"/>
  <c r="JI33" i="4"/>
  <c r="HI33" i="4"/>
  <c r="HM41" i="4"/>
  <c r="GW41" i="4"/>
  <c r="GG41" i="4"/>
  <c r="FA41" i="4"/>
  <c r="JL39" i="4"/>
  <c r="IC39" i="4"/>
  <c r="GG39" i="4"/>
  <c r="JT37" i="4"/>
  <c r="HX37" i="4"/>
  <c r="FQ36" i="4"/>
  <c r="HX38" i="4"/>
  <c r="JE34" i="4"/>
  <c r="HL34" i="4"/>
  <c r="FT41" i="4"/>
  <c r="JG41" i="4"/>
  <c r="IQ41" i="4"/>
  <c r="IA41" i="4"/>
  <c r="HK41" i="4"/>
  <c r="GU41" i="4"/>
  <c r="GE41" i="4"/>
  <c r="FO41" i="4"/>
  <c r="EY41" i="4"/>
  <c r="JG39" i="4"/>
  <c r="HX39" i="4"/>
  <c r="JR37" i="4"/>
  <c r="HV37" i="4"/>
  <c r="GB37" i="4"/>
  <c r="JT36" i="4"/>
  <c r="GW36" i="4"/>
  <c r="FL36" i="4"/>
  <c r="IP35" i="4"/>
  <c r="GN35" i="4"/>
  <c r="JB33" i="4"/>
  <c r="FK33" i="4"/>
  <c r="GZ38" i="4"/>
  <c r="IS36" i="4"/>
  <c r="HL33" i="4"/>
  <c r="JL35" i="4"/>
  <c r="GW35" i="4"/>
  <c r="JF41" i="4"/>
  <c r="IP41" i="4"/>
  <c r="HZ41" i="4"/>
  <c r="HJ41" i="4"/>
  <c r="GT41" i="4"/>
  <c r="GD41" i="4"/>
  <c r="JF39" i="4"/>
  <c r="FF39" i="4"/>
  <c r="GB38" i="4"/>
  <c r="GK35" i="4"/>
  <c r="HH34" i="4"/>
  <c r="FL34" i="4"/>
  <c r="GW33" i="4"/>
  <c r="FT38" i="4"/>
  <c r="IV37" i="4"/>
  <c r="GJ37" i="4"/>
  <c r="GJ36" i="4"/>
  <c r="IV35" i="4"/>
  <c r="FU34" i="4"/>
  <c r="FC41" i="4"/>
  <c r="IF41" i="4"/>
  <c r="HK37" i="4"/>
  <c r="HL35" i="4"/>
  <c r="HA34" i="4"/>
  <c r="GK37" i="4"/>
  <c r="HQ35" i="4"/>
  <c r="FD37" i="4"/>
  <c r="HP35" i="4"/>
  <c r="IF38" i="4"/>
  <c r="IU35" i="4"/>
  <c r="FT34" i="4"/>
  <c r="FR41" i="4"/>
  <c r="HN41" i="4"/>
  <c r="EX39" i="4"/>
  <c r="GT38" i="4"/>
  <c r="HJ37" i="4"/>
  <c r="FF36" i="4"/>
  <c r="IR35" i="4"/>
  <c r="HJ35" i="4"/>
  <c r="FU35" i="4"/>
  <c r="JR34" i="4"/>
  <c r="GZ34" i="4"/>
  <c r="FS34" i="4"/>
  <c r="HV33" i="4"/>
  <c r="HA39" i="4"/>
  <c r="IW37" i="4"/>
  <c r="FD36" i="4"/>
  <c r="FT35" i="4"/>
  <c r="HQ39" i="4"/>
  <c r="FT37" i="4"/>
  <c r="IF34" i="4"/>
  <c r="HP39" i="4"/>
  <c r="IV38" i="4"/>
  <c r="FF38" i="4"/>
  <c r="JH37" i="4"/>
  <c r="IF37" i="4"/>
  <c r="HA35" i="4"/>
  <c r="JD34" i="4"/>
  <c r="GK39" i="4"/>
  <c r="HQ38" i="4"/>
  <c r="HA37" i="4"/>
  <c r="GZ35" i="4"/>
  <c r="FN35" i="4"/>
  <c r="IR33" i="4"/>
  <c r="IW35" i="4"/>
  <c r="JM37" i="4"/>
  <c r="IG34" i="4"/>
  <c r="IG37" i="4"/>
  <c r="FP35" i="4"/>
  <c r="FE38" i="4"/>
  <c r="IW39" i="4"/>
  <c r="HN39" i="4"/>
  <c r="GJ39" i="4"/>
  <c r="HP38" i="4"/>
  <c r="GK38" i="4"/>
  <c r="FD38" i="4"/>
  <c r="JF37" i="4"/>
  <c r="GZ37" i="4"/>
  <c r="FN37" i="4"/>
  <c r="JB34" i="4"/>
  <c r="IQ33" i="4"/>
  <c r="GZ39" i="4"/>
  <c r="JM34" i="4"/>
  <c r="JL37" i="4"/>
  <c r="IV39" i="4"/>
  <c r="FC38" i="4"/>
  <c r="IF35" i="4"/>
  <c r="GK34" i="4"/>
  <c r="FE34" i="4"/>
  <c r="FF41" i="4"/>
  <c r="FE37" i="4"/>
  <c r="IG38" i="4"/>
  <c r="HP36" i="4"/>
  <c r="JL34" i="4"/>
  <c r="JM41" i="4"/>
  <c r="IW41" i="4"/>
  <c r="IG41" i="4"/>
  <c r="HQ41" i="4"/>
  <c r="HA41" i="4"/>
  <c r="GK41" i="4"/>
  <c r="FU41" i="4"/>
  <c r="FE41" i="4"/>
  <c r="HL39" i="4"/>
  <c r="FB38" i="4"/>
  <c r="JL36" i="4"/>
  <c r="IF36" i="4"/>
  <c r="GZ36" i="4"/>
  <c r="FT36" i="4"/>
  <c r="FE35" i="4"/>
  <c r="HQ34" i="4"/>
  <c r="FD34" i="4"/>
  <c r="FU38" i="4"/>
  <c r="FU37" i="4"/>
  <c r="IW38" i="4"/>
  <c r="GZ41" i="4"/>
  <c r="JL41" i="4"/>
  <c r="HP41" i="4"/>
  <c r="GJ41" i="4"/>
  <c r="FD41" i="4"/>
  <c r="JM38" i="4"/>
  <c r="JM35" i="4"/>
  <c r="FD35" i="4"/>
  <c r="IW34" i="4"/>
  <c r="HP34" i="4"/>
  <c r="IL33" i="4"/>
  <c r="EQ37" i="4"/>
  <c r="EQ38" i="4"/>
  <c r="EQ41" i="4"/>
  <c r="EQ33" i="4"/>
  <c r="EQ39" i="4"/>
  <c r="EQ33" i="1"/>
  <c r="HN39" i="1"/>
  <c r="IB35" i="1"/>
  <c r="GV34" i="1"/>
  <c r="GV33" i="1"/>
  <c r="HE41" i="1"/>
  <c r="HN35" i="1"/>
  <c r="GF35" i="1"/>
  <c r="IE34" i="1"/>
  <c r="GS34" i="1"/>
  <c r="EQ34" i="1"/>
  <c r="GM33" i="1"/>
  <c r="II38" i="1"/>
  <c r="GQ37" i="1"/>
  <c r="HG35" i="1"/>
  <c r="HI39" i="1"/>
  <c r="GR37" i="1"/>
  <c r="II36" i="1"/>
  <c r="HS35" i="1"/>
  <c r="ES35" i="1"/>
  <c r="GR33" i="1"/>
  <c r="FQ38" i="1"/>
  <c r="EK38" i="1"/>
  <c r="GW37" i="1"/>
  <c r="IH36" i="1"/>
  <c r="EQ35" i="1"/>
  <c r="EK34" i="1"/>
  <c r="ES41" i="1"/>
  <c r="GL37" i="1"/>
  <c r="IC36" i="1"/>
  <c r="GS36" i="1"/>
  <c r="HE35" i="1"/>
  <c r="EK35" i="1"/>
  <c r="FQ34" i="1"/>
  <c r="HR39" i="1"/>
  <c r="GW38" i="1"/>
  <c r="IC37" i="1"/>
  <c r="FA37" i="1"/>
  <c r="EK36" i="1"/>
  <c r="HC35" i="1"/>
  <c r="EQ41" i="1"/>
  <c r="FA39" i="1"/>
  <c r="HB35" i="1"/>
  <c r="IC41" i="1"/>
  <c r="HM41" i="1"/>
  <c r="GW41" i="1"/>
  <c r="GG41" i="1"/>
  <c r="FQ41" i="1"/>
  <c r="EK41" i="1"/>
  <c r="HU37" i="1"/>
  <c r="EP37" i="1"/>
  <c r="EE36" i="1"/>
  <c r="FG35" i="1"/>
  <c r="FG34" i="1"/>
  <c r="GG33" i="1"/>
  <c r="HS41" i="1"/>
  <c r="EC39" i="1"/>
  <c r="HS36" i="1"/>
  <c r="HR37" i="1"/>
  <c r="FF35" i="1"/>
  <c r="FW33" i="1"/>
  <c r="HC41" i="1"/>
  <c r="HS38" i="1"/>
  <c r="FO33" i="1"/>
  <c r="FO35" i="1"/>
  <c r="FO36" i="1"/>
  <c r="FO38" i="1"/>
  <c r="FO37" i="1"/>
  <c r="GC37" i="1"/>
  <c r="GC36" i="1"/>
  <c r="GC33" i="1"/>
  <c r="GC34" i="1"/>
  <c r="GC39" i="1"/>
  <c r="GC35" i="1"/>
  <c r="HX34" i="1"/>
  <c r="HX36" i="1"/>
  <c r="HX37" i="1"/>
  <c r="HX33" i="1"/>
  <c r="FL34" i="1"/>
  <c r="FL35" i="1"/>
  <c r="FL37" i="1"/>
  <c r="FL33" i="1"/>
  <c r="FL39" i="1"/>
  <c r="FL36" i="1"/>
  <c r="IM39" i="1"/>
  <c r="IM34" i="1"/>
  <c r="IM35" i="1"/>
  <c r="GQ34" i="1"/>
  <c r="GQ39" i="1"/>
  <c r="GQ36" i="1"/>
  <c r="GQ35" i="1"/>
  <c r="GQ38" i="1"/>
  <c r="FK37" i="1"/>
  <c r="FK36" i="1"/>
  <c r="FK33" i="1"/>
  <c r="FK39" i="1"/>
  <c r="EG37" i="1"/>
  <c r="IL41" i="1"/>
  <c r="IL33" i="1"/>
  <c r="IL34" i="1"/>
  <c r="IL35" i="1"/>
  <c r="IL39" i="1"/>
  <c r="GP34" i="1"/>
  <c r="GP36" i="1"/>
  <c r="GP35" i="1"/>
  <c r="GP39" i="1"/>
  <c r="GP38" i="1"/>
  <c r="GP37" i="1"/>
  <c r="FJ41" i="1"/>
  <c r="FJ39" i="1"/>
  <c r="FJ36" i="1"/>
  <c r="FJ37" i="1"/>
  <c r="FJ33" i="1"/>
  <c r="ED33" i="1"/>
  <c r="ED35" i="1"/>
  <c r="ED37" i="1"/>
  <c r="ED34" i="1"/>
  <c r="ED41" i="1"/>
  <c r="ED38" i="1"/>
  <c r="EU34" i="1"/>
  <c r="IK39" i="1"/>
  <c r="IK35" i="1"/>
  <c r="IK33" i="1"/>
  <c r="IK38" i="1"/>
  <c r="IK36" i="1"/>
  <c r="HE39" i="1"/>
  <c r="HE36" i="1"/>
  <c r="HE38" i="1"/>
  <c r="HE33" i="1"/>
  <c r="HE37" i="1"/>
  <c r="FI39" i="1"/>
  <c r="FI37" i="1"/>
  <c r="FI36" i="1"/>
  <c r="FI33" i="1"/>
  <c r="FI34" i="1"/>
  <c r="IA36" i="1"/>
  <c r="IA34" i="1"/>
  <c r="IA38" i="1"/>
  <c r="IA33" i="1"/>
  <c r="IA37" i="1"/>
  <c r="GU37" i="1"/>
  <c r="GU34" i="1"/>
  <c r="GU38" i="1"/>
  <c r="GU33" i="1"/>
  <c r="GU39" i="1"/>
  <c r="GU35" i="1"/>
  <c r="EI38" i="1"/>
  <c r="EI37" i="1"/>
  <c r="EI39" i="1"/>
  <c r="EI33" i="1"/>
  <c r="EI34" i="1"/>
  <c r="EI35" i="1"/>
  <c r="IP36" i="1"/>
  <c r="IP41" i="1"/>
  <c r="IP33" i="1"/>
  <c r="IP34" i="1"/>
  <c r="IP35" i="1"/>
  <c r="HZ36" i="1"/>
  <c r="HZ34" i="1"/>
  <c r="HZ37" i="1"/>
  <c r="HZ41" i="1"/>
  <c r="HZ33" i="1"/>
  <c r="HJ36" i="1"/>
  <c r="HJ34" i="1"/>
  <c r="HJ39" i="1"/>
  <c r="HJ41" i="1"/>
  <c r="HJ37" i="1"/>
  <c r="HJ38" i="1"/>
  <c r="HJ35" i="1"/>
  <c r="GT36" i="1"/>
  <c r="GT39" i="1"/>
  <c r="GT34" i="1"/>
  <c r="GT33" i="1"/>
  <c r="GT35" i="1"/>
  <c r="GT38" i="1"/>
  <c r="GD36" i="1"/>
  <c r="GD35" i="1"/>
  <c r="GD37" i="1"/>
  <c r="GD41" i="1"/>
  <c r="GD34" i="1"/>
  <c r="GD39" i="1"/>
  <c r="GD33" i="1"/>
  <c r="FN36" i="1"/>
  <c r="FN33" i="1"/>
  <c r="FN35" i="1"/>
  <c r="FN37" i="1"/>
  <c r="FN38" i="1"/>
  <c r="EX36" i="1"/>
  <c r="EX33" i="1"/>
  <c r="EX35" i="1"/>
  <c r="EX34" i="1"/>
  <c r="EX38" i="1"/>
  <c r="EH36" i="1"/>
  <c r="EH39" i="1"/>
  <c r="EH34" i="1"/>
  <c r="EH38" i="1"/>
  <c r="EH33" i="1"/>
  <c r="EH35" i="1"/>
  <c r="HY34" i="1"/>
  <c r="HY36" i="1"/>
  <c r="HY37" i="1"/>
  <c r="HY33" i="1"/>
  <c r="GS39" i="1"/>
  <c r="GS33" i="1"/>
  <c r="GS35" i="1"/>
  <c r="GS38" i="1"/>
  <c r="EW33" i="1"/>
  <c r="EW35" i="1"/>
  <c r="EW34" i="1"/>
  <c r="EW38" i="1"/>
  <c r="EW37" i="1"/>
  <c r="HH34" i="1"/>
  <c r="HH36" i="1"/>
  <c r="HH35" i="1"/>
  <c r="HH37" i="1"/>
  <c r="HH38" i="1"/>
  <c r="EV34" i="1"/>
  <c r="EV33" i="1"/>
  <c r="EV37" i="1"/>
  <c r="EV35" i="1"/>
  <c r="EV38" i="1"/>
  <c r="GT41" i="1"/>
  <c r="EH37" i="1"/>
  <c r="HG34" i="1"/>
  <c r="HG36" i="1"/>
  <c r="HG38" i="1"/>
  <c r="HG37" i="1"/>
  <c r="GA39" i="1"/>
  <c r="GA34" i="1"/>
  <c r="GA33" i="1"/>
  <c r="GA35" i="1"/>
  <c r="EE33" i="1"/>
  <c r="EE35" i="1"/>
  <c r="EE34" i="1"/>
  <c r="EE38" i="1"/>
  <c r="HZ39" i="1"/>
  <c r="EY36" i="1"/>
  <c r="EY33" i="1"/>
  <c r="HF34" i="1"/>
  <c r="HF36" i="1"/>
  <c r="HF41" i="1"/>
  <c r="HF37" i="1"/>
  <c r="HF33" i="1"/>
  <c r="ET35" i="1"/>
  <c r="ET37" i="1"/>
  <c r="ET36" i="1"/>
  <c r="EF37" i="1"/>
  <c r="HU39" i="1"/>
  <c r="HU34" i="1"/>
  <c r="HU35" i="1"/>
  <c r="HU33" i="1"/>
  <c r="HU41" i="1"/>
  <c r="GO39" i="1"/>
  <c r="GO34" i="1"/>
  <c r="GO36" i="1"/>
  <c r="GO38" i="1"/>
  <c r="GO37" i="1"/>
  <c r="ES39" i="1"/>
  <c r="ES37" i="1"/>
  <c r="ES36" i="1"/>
  <c r="FK38" i="1"/>
  <c r="IN36" i="1"/>
  <c r="ES34" i="1"/>
  <c r="HW41" i="1"/>
  <c r="HY35" i="1"/>
  <c r="IK34" i="1"/>
  <c r="GA37" i="1"/>
  <c r="FO34" i="1"/>
  <c r="IP39" i="1"/>
  <c r="HX38" i="1"/>
  <c r="IO37" i="1"/>
  <c r="EI36" i="1"/>
  <c r="FN34" i="1"/>
  <c r="HH33" i="1"/>
  <c r="GE33" i="1"/>
  <c r="GE35" i="1"/>
  <c r="GE37" i="1"/>
  <c r="GE34" i="1"/>
  <c r="GE36" i="1"/>
  <c r="GE39" i="1"/>
  <c r="EY39" i="1"/>
  <c r="EX39" i="1"/>
  <c r="GB34" i="1"/>
  <c r="GB39" i="1"/>
  <c r="GB33" i="1"/>
  <c r="GB35" i="1"/>
  <c r="HV38" i="1"/>
  <c r="HV37" i="1"/>
  <c r="HV34" i="1"/>
  <c r="HV33" i="1"/>
  <c r="HV41" i="1"/>
  <c r="FZ39" i="1"/>
  <c r="FZ33" i="1"/>
  <c r="FZ41" i="1"/>
  <c r="FZ38" i="1"/>
  <c r="FZ34" i="1"/>
  <c r="FZ35" i="1"/>
  <c r="ET39" i="1"/>
  <c r="HF38" i="1"/>
  <c r="EW36" i="1"/>
  <c r="ET33" i="1"/>
  <c r="FY39" i="1"/>
  <c r="FY34" i="1"/>
  <c r="FY33" i="1"/>
  <c r="FY35" i="1"/>
  <c r="FY41" i="1"/>
  <c r="FY38" i="1"/>
  <c r="HX39" i="1"/>
  <c r="ES33" i="1"/>
  <c r="HZ35" i="1"/>
  <c r="FJ35" i="1"/>
  <c r="HG41" i="1"/>
  <c r="FK41" i="1"/>
  <c r="EU41" i="1"/>
  <c r="HV39" i="1"/>
  <c r="FI35" i="1"/>
  <c r="FO39" i="1"/>
  <c r="IL36" i="1"/>
  <c r="GB36" i="1"/>
  <c r="HX35" i="1"/>
  <c r="FI41" i="1"/>
  <c r="HJ33" i="1"/>
  <c r="EE39" i="1"/>
  <c r="HU38" i="1"/>
  <c r="FY37" i="1"/>
  <c r="HG33" i="1"/>
  <c r="IQ34" i="1"/>
  <c r="IQ36" i="1"/>
  <c r="IQ37" i="1"/>
  <c r="IQ35" i="1"/>
  <c r="IQ33" i="1"/>
  <c r="HK39" i="1"/>
  <c r="HK35" i="1"/>
  <c r="HK36" i="1"/>
  <c r="HK38" i="1"/>
  <c r="EY38" i="1"/>
  <c r="EY35" i="1"/>
  <c r="EY34" i="1"/>
  <c r="GU36" i="1"/>
  <c r="IO36" i="1"/>
  <c r="IO38" i="1"/>
  <c r="IO35" i="1"/>
  <c r="IO34" i="1"/>
  <c r="HI34" i="1"/>
  <c r="HI36" i="1"/>
  <c r="HI35" i="1"/>
  <c r="HI37" i="1"/>
  <c r="HI38" i="1"/>
  <c r="FM33" i="1"/>
  <c r="FM35" i="1"/>
  <c r="FM37" i="1"/>
  <c r="FM38" i="1"/>
  <c r="FM36" i="1"/>
  <c r="EG39" i="1"/>
  <c r="EG35" i="1"/>
  <c r="EG33" i="1"/>
  <c r="EG34" i="1"/>
  <c r="EG38" i="1"/>
  <c r="GU41" i="1"/>
  <c r="EW39" i="1"/>
  <c r="IN34" i="1"/>
  <c r="IN38" i="1"/>
  <c r="IN35" i="1"/>
  <c r="GR34" i="1"/>
  <c r="GR39" i="1"/>
  <c r="GR38" i="1"/>
  <c r="GR35" i="1"/>
  <c r="EF34" i="1"/>
  <c r="EF33" i="1"/>
  <c r="EF35" i="1"/>
  <c r="EF38" i="1"/>
  <c r="IA39" i="1"/>
  <c r="HW36" i="1"/>
  <c r="HW38" i="1"/>
  <c r="HW33" i="1"/>
  <c r="HW37" i="1"/>
  <c r="HW34" i="1"/>
  <c r="EU33" i="1"/>
  <c r="EU35" i="1"/>
  <c r="EU37" i="1"/>
  <c r="EU38" i="1"/>
  <c r="EU39" i="1"/>
  <c r="HY39" i="1"/>
  <c r="FL38" i="1"/>
  <c r="EV36" i="1"/>
  <c r="IA35" i="1"/>
  <c r="FK35" i="1"/>
  <c r="HE34" i="1"/>
  <c r="ET34" i="1"/>
  <c r="IM41" i="1"/>
  <c r="GQ41" i="1"/>
  <c r="GA41" i="1"/>
  <c r="EE41" i="1"/>
  <c r="FJ38" i="1"/>
  <c r="IM36" i="1"/>
  <c r="FI38" i="1"/>
  <c r="HK33" i="1"/>
  <c r="IQ41" i="1"/>
  <c r="IK41" i="1"/>
  <c r="FN39" i="1"/>
  <c r="HZ38" i="1"/>
  <c r="GB37" i="1"/>
  <c r="EY37" i="1"/>
  <c r="GA36" i="1"/>
  <c r="HW35" i="1"/>
  <c r="GO35" i="1"/>
  <c r="IQ39" i="1"/>
  <c r="FM39" i="1"/>
  <c r="HY38" i="1"/>
  <c r="IP37" i="1"/>
  <c r="HK37" i="1"/>
  <c r="EX37" i="1"/>
  <c r="FZ36" i="1"/>
  <c r="HV35" i="1"/>
  <c r="IA41" i="1"/>
  <c r="ET41" i="1"/>
  <c r="IN39" i="1"/>
  <c r="ED39" i="1"/>
  <c r="IM37" i="1"/>
  <c r="EF36" i="1"/>
  <c r="FK34" i="1"/>
  <c r="IO33" i="1"/>
  <c r="GM37" i="1"/>
  <c r="GM34" i="1"/>
  <c r="GM36" i="1"/>
  <c r="GM38" i="1"/>
  <c r="HR35" i="1"/>
  <c r="HR33" i="1"/>
  <c r="FT36" i="1"/>
  <c r="FT38" i="1"/>
  <c r="GE41" i="1"/>
  <c r="FW39" i="1"/>
  <c r="FD39" i="1"/>
  <c r="EN36" i="1"/>
  <c r="FN41" i="1"/>
  <c r="EH41" i="1"/>
  <c r="HB37" i="1"/>
  <c r="HR34" i="1"/>
  <c r="FT34" i="1"/>
  <c r="GN41" i="1"/>
  <c r="HS37" i="1"/>
  <c r="HS33" i="1"/>
  <c r="HC37" i="1"/>
  <c r="HC38" i="1"/>
  <c r="FW37" i="1"/>
  <c r="FW34" i="1"/>
  <c r="FW36" i="1"/>
  <c r="EQ37" i="1"/>
  <c r="EQ39" i="1"/>
  <c r="FG39" i="1"/>
  <c r="FW38" i="1"/>
  <c r="HC33" i="1"/>
  <c r="IH33" i="1"/>
  <c r="IH35" i="1"/>
  <c r="IH37" i="1"/>
  <c r="FV34" i="1"/>
  <c r="FV36" i="1"/>
  <c r="EC33" i="1"/>
  <c r="FF39" i="1"/>
  <c r="FV38" i="1"/>
  <c r="EP36" i="1"/>
  <c r="HB33" i="1"/>
  <c r="IG35" i="1"/>
  <c r="IG37" i="1"/>
  <c r="HA35" i="1"/>
  <c r="HA33" i="1"/>
  <c r="GK35" i="1"/>
  <c r="GK38" i="1"/>
  <c r="FE35" i="1"/>
  <c r="FE34" i="1"/>
  <c r="FE36" i="1"/>
  <c r="EC34" i="1"/>
  <c r="IG39" i="1"/>
  <c r="EO36" i="1"/>
  <c r="FG33" i="1"/>
  <c r="IF35" i="1"/>
  <c r="IF37" i="1"/>
  <c r="EC35" i="1"/>
  <c r="HK41" i="1"/>
  <c r="FO41" i="1"/>
  <c r="EI41" i="1"/>
  <c r="IF39" i="1"/>
  <c r="HS34" i="1"/>
  <c r="FF33" i="1"/>
  <c r="EC36" i="1"/>
  <c r="EX41" i="1"/>
  <c r="FV39" i="1"/>
  <c r="HA37" i="1"/>
  <c r="FF37" i="1"/>
  <c r="HA36" i="1"/>
  <c r="FG36" i="1"/>
  <c r="FV35" i="1"/>
  <c r="HT41" i="1"/>
  <c r="II37" i="1"/>
  <c r="II33" i="1"/>
  <c r="II35" i="1"/>
  <c r="II39" i="1"/>
  <c r="EQ36" i="1"/>
  <c r="GL36" i="1"/>
  <c r="GL38" i="1"/>
  <c r="IH39" i="1"/>
  <c r="HQ35" i="1"/>
  <c r="HQ33" i="1"/>
  <c r="FU35" i="1"/>
  <c r="FU34" i="1"/>
  <c r="FU36" i="1"/>
  <c r="FU38" i="1"/>
  <c r="FE39" i="1"/>
  <c r="HP33" i="1"/>
  <c r="HP37" i="1"/>
  <c r="HP35" i="1"/>
  <c r="FD34" i="1"/>
  <c r="FD36" i="1"/>
  <c r="EC37" i="1"/>
  <c r="FU39" i="1"/>
  <c r="FT39" i="1"/>
  <c r="GZ37" i="1"/>
  <c r="FE37" i="1"/>
  <c r="GZ36" i="1"/>
  <c r="FF36" i="1"/>
  <c r="FT35" i="1"/>
  <c r="HP34" i="1"/>
  <c r="GY41" i="1"/>
  <c r="GS41" i="1"/>
  <c r="FC38" i="1"/>
  <c r="IR36" i="1"/>
  <c r="EM34" i="1"/>
  <c r="IO41" i="1"/>
  <c r="HY41" i="1"/>
  <c r="HI41" i="1"/>
  <c r="GC41" i="1"/>
  <c r="FM41" i="1"/>
  <c r="EW41" i="1"/>
  <c r="EG41" i="1"/>
  <c r="HO37" i="1"/>
  <c r="IN41" i="1"/>
  <c r="HX41" i="1"/>
  <c r="HH41" i="1"/>
  <c r="GR41" i="1"/>
  <c r="GB41" i="1"/>
  <c r="FL41" i="1"/>
  <c r="EV41" i="1"/>
  <c r="EF41" i="1"/>
  <c r="FS38" i="1"/>
  <c r="GV37" i="1"/>
  <c r="FC36" i="1"/>
  <c r="HO35" i="1"/>
  <c r="IR34" i="1"/>
  <c r="GF33" i="1"/>
  <c r="JN38" i="4"/>
  <c r="HS39" i="4"/>
  <c r="HS41" i="4"/>
  <c r="FW39" i="4"/>
  <c r="FW41" i="4"/>
  <c r="IY41" i="4"/>
  <c r="IX41" i="4"/>
  <c r="JO39" i="4"/>
  <c r="JO41" i="4"/>
  <c r="II39" i="4"/>
  <c r="II41" i="4"/>
  <c r="HC39" i="4"/>
  <c r="HC41" i="4"/>
  <c r="FG39" i="4"/>
  <c r="FG41" i="4"/>
  <c r="FV34" i="4"/>
  <c r="GM39" i="4"/>
  <c r="GM41" i="4"/>
  <c r="JN33" i="4"/>
  <c r="JN39" i="4"/>
  <c r="JN36" i="4"/>
  <c r="JN37" i="4"/>
  <c r="JN41" i="4"/>
  <c r="JN34" i="4"/>
  <c r="IX33" i="4"/>
  <c r="IX36" i="4"/>
  <c r="IX38" i="4"/>
  <c r="IX35" i="4"/>
  <c r="IX37" i="4"/>
  <c r="IX39" i="4"/>
  <c r="IH33" i="4"/>
  <c r="IH35" i="4"/>
  <c r="IH36" i="4"/>
  <c r="IH41" i="4"/>
  <c r="IH39" i="4"/>
  <c r="IH34" i="4"/>
  <c r="IH38" i="4"/>
  <c r="IH37" i="4"/>
  <c r="HR33" i="4"/>
  <c r="HR37" i="4"/>
  <c r="HR34" i="4"/>
  <c r="HR36" i="4"/>
  <c r="HR39" i="4"/>
  <c r="HR38" i="4"/>
  <c r="HB33" i="4"/>
  <c r="HB38" i="4"/>
  <c r="HB39" i="4"/>
  <c r="HB34" i="4"/>
  <c r="HB37" i="4"/>
  <c r="HB35" i="4"/>
  <c r="HB36" i="4"/>
  <c r="HB41" i="4"/>
  <c r="GL33" i="4"/>
  <c r="GL41" i="4"/>
  <c r="GL39" i="4"/>
  <c r="GL35" i="4"/>
  <c r="GL38" i="4"/>
  <c r="GL36" i="4"/>
  <c r="GL37" i="4"/>
  <c r="GL34" i="4"/>
  <c r="FV33" i="4"/>
  <c r="FV37" i="4"/>
  <c r="FV41" i="4"/>
  <c r="FV36" i="4"/>
  <c r="FV35" i="4"/>
  <c r="FV38" i="4"/>
  <c r="HR41" i="4"/>
  <c r="JK33" i="4"/>
  <c r="JK37" i="4"/>
  <c r="FS33" i="4"/>
  <c r="FS38" i="4"/>
  <c r="FS35" i="4"/>
  <c r="JH38" i="4"/>
  <c r="JK35" i="4"/>
  <c r="JI34" i="4"/>
  <c r="JI37" i="4"/>
  <c r="JI39" i="4"/>
  <c r="JI36" i="4"/>
  <c r="IS34" i="4"/>
  <c r="IS37" i="4"/>
  <c r="IS39" i="4"/>
  <c r="IS35" i="4"/>
  <c r="IS41" i="4"/>
  <c r="IC34" i="4"/>
  <c r="IC41" i="4"/>
  <c r="HM34" i="4"/>
  <c r="HM35" i="4"/>
  <c r="HM36" i="4"/>
  <c r="HM38" i="4"/>
  <c r="GG34" i="4"/>
  <c r="GG33" i="4"/>
  <c r="GG37" i="4"/>
  <c r="FQ34" i="4"/>
  <c r="FQ38" i="4"/>
  <c r="FA34" i="4"/>
  <c r="FA38" i="4"/>
  <c r="GI33" i="4"/>
  <c r="GI34" i="4"/>
  <c r="GI38" i="4"/>
  <c r="GI37" i="4"/>
  <c r="HO33" i="4"/>
  <c r="HO35" i="4"/>
  <c r="HO41" i="4"/>
  <c r="HO34" i="4"/>
  <c r="JJ37" i="4"/>
  <c r="JJ39" i="4"/>
  <c r="JJ33" i="4"/>
  <c r="JJ34" i="4"/>
  <c r="FS41" i="4"/>
  <c r="HL38" i="4"/>
  <c r="FM38" i="4"/>
  <c r="FM34" i="4"/>
  <c r="HO36" i="4"/>
  <c r="JF36" i="4"/>
  <c r="FP36" i="4"/>
  <c r="IE34" i="4"/>
  <c r="IU33" i="4"/>
  <c r="IU34" i="4"/>
  <c r="GY33" i="4"/>
  <c r="GY41" i="4"/>
  <c r="IT37" i="4"/>
  <c r="IT41" i="4"/>
  <c r="IT35" i="4"/>
  <c r="ID37" i="4"/>
  <c r="ID36" i="4"/>
  <c r="HN37" i="4"/>
  <c r="HN35" i="4"/>
  <c r="HN36" i="4"/>
  <c r="HN38" i="4"/>
  <c r="GX37" i="4"/>
  <c r="GX34" i="4"/>
  <c r="FR37" i="4"/>
  <c r="FR38" i="4"/>
  <c r="FR35" i="4"/>
  <c r="FB37" i="4"/>
  <c r="FB36" i="4"/>
  <c r="GI39" i="4"/>
  <c r="IR37" i="4"/>
  <c r="IR39" i="4"/>
  <c r="IB33" i="4"/>
  <c r="IB34" i="4"/>
  <c r="IB39" i="4"/>
  <c r="EZ38" i="4"/>
  <c r="EZ33" i="4"/>
  <c r="EZ35" i="4"/>
  <c r="GH39" i="4"/>
  <c r="FP38" i="4"/>
  <c r="GF37" i="4"/>
  <c r="GH35" i="4"/>
  <c r="GH34" i="4"/>
  <c r="JH33" i="4"/>
  <c r="ID33" i="4"/>
  <c r="JG34" i="4"/>
  <c r="JG38" i="4"/>
  <c r="IQ34" i="4"/>
  <c r="IQ37" i="4"/>
  <c r="IQ39" i="4"/>
  <c r="IQ36" i="4"/>
  <c r="IA34" i="4"/>
  <c r="IA33" i="4"/>
  <c r="IA39" i="4"/>
  <c r="IA37" i="4"/>
  <c r="IA35" i="4"/>
  <c r="HK34" i="4"/>
  <c r="HK39" i="4"/>
  <c r="GU34" i="4"/>
  <c r="GU35" i="4"/>
  <c r="GU36" i="4"/>
  <c r="GU38" i="4"/>
  <c r="GU33" i="4"/>
  <c r="GE34" i="4"/>
  <c r="GE33" i="4"/>
  <c r="FO34" i="4"/>
  <c r="FO37" i="4"/>
  <c r="EY34" i="4"/>
  <c r="EY38" i="4"/>
  <c r="EY33" i="4"/>
  <c r="EY35" i="4"/>
  <c r="HK38" i="4"/>
  <c r="EZ36" i="4"/>
  <c r="GF34" i="4"/>
  <c r="GV33" i="4"/>
  <c r="IP34" i="4"/>
  <c r="IP36" i="4"/>
  <c r="IP33" i="4"/>
  <c r="HZ34" i="4"/>
  <c r="HZ33" i="4"/>
  <c r="HZ39" i="4"/>
  <c r="HZ37" i="4"/>
  <c r="HZ35" i="4"/>
  <c r="HJ34" i="4"/>
  <c r="HJ39" i="4"/>
  <c r="GT34" i="4"/>
  <c r="GT35" i="4"/>
  <c r="GT36" i="4"/>
  <c r="GT39" i="4"/>
  <c r="GT33" i="4"/>
  <c r="GD34" i="4"/>
  <c r="GD36" i="4"/>
  <c r="GD38" i="4"/>
  <c r="EX34" i="4"/>
  <c r="EX37" i="4"/>
  <c r="GF35" i="4"/>
  <c r="IO38" i="4"/>
  <c r="IO33" i="4"/>
  <c r="HY38" i="4"/>
  <c r="HY37" i="4"/>
  <c r="HY34" i="4"/>
  <c r="HY36" i="4"/>
  <c r="HI38" i="4"/>
  <c r="HI39" i="4"/>
  <c r="HI37" i="4"/>
  <c r="GS38" i="4"/>
  <c r="GS39" i="4"/>
  <c r="GC38" i="4"/>
  <c r="GC36" i="4"/>
  <c r="GC35" i="4"/>
  <c r="GC39" i="4"/>
  <c r="EW38" i="4"/>
  <c r="EW37" i="4"/>
  <c r="JK41" i="4"/>
  <c r="ID41" i="4"/>
  <c r="GC37" i="4"/>
  <c r="JJ36" i="4"/>
  <c r="FR36" i="4"/>
  <c r="EX36" i="4"/>
  <c r="ID35" i="4"/>
  <c r="GE35" i="4"/>
  <c r="FC35" i="4"/>
  <c r="JE33" i="4"/>
  <c r="FN33" i="4"/>
  <c r="JJ41" i="4"/>
  <c r="GX39" i="4"/>
  <c r="GD39" i="4"/>
  <c r="GH38" i="4"/>
  <c r="FC37" i="4"/>
  <c r="JG36" i="4"/>
  <c r="IP39" i="4"/>
  <c r="GV39" i="4"/>
  <c r="IU38" i="4"/>
  <c r="IB38" i="4"/>
  <c r="GF38" i="4"/>
  <c r="IP37" i="4"/>
  <c r="EZ37" i="4"/>
  <c r="JE36" i="4"/>
  <c r="HI36" i="4"/>
  <c r="FO36" i="4"/>
  <c r="HY35" i="4"/>
  <c r="GY35" i="4"/>
  <c r="EX35" i="4"/>
  <c r="ID34" i="4"/>
  <c r="EZ34" i="4"/>
  <c r="HN33" i="4"/>
  <c r="JQ34" i="4"/>
  <c r="JQ36" i="4"/>
  <c r="JQ38" i="4"/>
  <c r="JA33" i="4"/>
  <c r="JA35" i="4"/>
  <c r="IK37" i="4"/>
  <c r="IK39" i="4"/>
  <c r="HU38" i="4"/>
  <c r="HU39" i="4"/>
  <c r="HU33" i="4"/>
  <c r="HE33" i="4"/>
  <c r="HE34" i="4"/>
  <c r="HE35" i="4"/>
  <c r="GO37" i="4"/>
  <c r="GO36" i="4"/>
  <c r="FY35" i="4"/>
  <c r="FY37" i="4"/>
  <c r="FY33" i="4"/>
  <c r="ES39" i="4"/>
  <c r="ES34" i="4"/>
  <c r="ES36" i="4"/>
  <c r="ES38" i="4"/>
  <c r="IE33" i="4"/>
  <c r="IE36" i="4"/>
  <c r="IE38" i="4"/>
  <c r="FC33" i="4"/>
  <c r="FC39" i="4"/>
  <c r="FC36" i="4"/>
  <c r="IE39" i="4"/>
  <c r="HO38" i="4"/>
  <c r="GX36" i="4"/>
  <c r="JJ35" i="4"/>
  <c r="GI35" i="4"/>
  <c r="GX33" i="4"/>
  <c r="FR33" i="4"/>
  <c r="JH39" i="4"/>
  <c r="JH34" i="4"/>
  <c r="JH36" i="4"/>
  <c r="GV35" i="4"/>
  <c r="GV36" i="4"/>
  <c r="GV34" i="4"/>
  <c r="GV38" i="4"/>
  <c r="FP34" i="4"/>
  <c r="FP37" i="4"/>
  <c r="ID39" i="4"/>
  <c r="GX41" i="4"/>
  <c r="FO38" i="4"/>
  <c r="IB37" i="4"/>
  <c r="GE37" i="4"/>
  <c r="JK34" i="4"/>
  <c r="JG33" i="4"/>
  <c r="JF34" i="4"/>
  <c r="JF38" i="4"/>
  <c r="IE41" i="4"/>
  <c r="GF39" i="4"/>
  <c r="HJ38" i="4"/>
  <c r="FN38" i="4"/>
  <c r="GD37" i="4"/>
  <c r="JK36" i="4"/>
  <c r="FS36" i="4"/>
  <c r="EY36" i="4"/>
  <c r="JG35" i="4"/>
  <c r="IE35" i="4"/>
  <c r="JF33" i="4"/>
  <c r="FO33" i="4"/>
  <c r="GY39" i="4"/>
  <c r="GE39" i="4"/>
  <c r="IU39" i="4"/>
  <c r="ID38" i="4"/>
  <c r="GY37" i="4"/>
  <c r="HK36" i="4"/>
  <c r="EW36" i="4"/>
  <c r="JE35" i="4"/>
  <c r="GD35" i="4"/>
  <c r="FB35" i="4"/>
  <c r="FC34" i="4"/>
  <c r="FM33" i="4"/>
  <c r="IT39" i="4"/>
  <c r="GI41" i="4"/>
  <c r="FB41" i="4"/>
  <c r="JH41" i="4"/>
  <c r="IR41" i="4"/>
  <c r="IB41" i="4"/>
  <c r="HL41" i="4"/>
  <c r="GV41" i="4"/>
  <c r="GF41" i="4"/>
  <c r="FP41" i="4"/>
  <c r="EZ41" i="4"/>
  <c r="IO39" i="4"/>
  <c r="GU39" i="4"/>
  <c r="IT38" i="4"/>
  <c r="IA38" i="4"/>
  <c r="GE38" i="4"/>
  <c r="IO37" i="4"/>
  <c r="GU37" i="4"/>
  <c r="EY37" i="4"/>
  <c r="GI36" i="4"/>
  <c r="FN36" i="4"/>
  <c r="GX35" i="4"/>
  <c r="EW35" i="4"/>
  <c r="GY34" i="4"/>
  <c r="EW34" i="4"/>
  <c r="IT33" i="4"/>
  <c r="HM33" i="4"/>
  <c r="JP34" i="4"/>
  <c r="JP36" i="4"/>
  <c r="JP38" i="4"/>
  <c r="JP33" i="4"/>
  <c r="IZ33" i="4"/>
  <c r="IZ35" i="4"/>
  <c r="IZ36" i="4"/>
  <c r="HT38" i="4"/>
  <c r="HT33" i="4"/>
  <c r="HT39" i="4"/>
  <c r="HT37" i="4"/>
  <c r="HD34" i="4"/>
  <c r="HD38" i="4"/>
  <c r="HD39" i="4"/>
  <c r="FH35" i="4"/>
  <c r="FH41" i="4"/>
  <c r="ER34" i="4"/>
  <c r="ER36" i="4"/>
  <c r="ER41" i="4"/>
  <c r="ER38" i="4"/>
  <c r="FF34" i="4"/>
  <c r="FN41" i="4"/>
  <c r="EX41" i="4"/>
  <c r="FF37" i="4"/>
  <c r="JB41" i="4"/>
  <c r="JE41" i="4"/>
  <c r="IO41" i="4"/>
  <c r="HY41" i="4"/>
  <c r="HI41" i="4"/>
  <c r="GS41" i="4"/>
  <c r="GC41" i="4"/>
  <c r="FM41" i="4"/>
  <c r="EW41" i="4"/>
  <c r="GB39" i="4"/>
  <c r="GJ38" i="4"/>
  <c r="HH37" i="4"/>
  <c r="GP37" i="4"/>
  <c r="IG35" i="4"/>
  <c r="FF35" i="4"/>
  <c r="IV34" i="4"/>
  <c r="GJ34" i="4"/>
  <c r="HF33" i="4"/>
  <c r="HX34" i="4"/>
  <c r="JO35" i="4"/>
  <c r="IY35" i="4"/>
  <c r="II35" i="4"/>
  <c r="HS35" i="4"/>
  <c r="HC35" i="4"/>
  <c r="GM35" i="4"/>
  <c r="FW35" i="4"/>
  <c r="FG35" i="4"/>
  <c r="JO38" i="4"/>
  <c r="IY38" i="4"/>
  <c r="II38" i="4"/>
  <c r="HS38" i="4"/>
  <c r="HC38" i="4"/>
  <c r="GM38" i="4"/>
  <c r="FW38" i="4"/>
  <c r="FG38" i="4"/>
  <c r="JO34" i="4"/>
  <c r="IY34" i="4"/>
  <c r="II34" i="4"/>
  <c r="HS34" i="4"/>
  <c r="HC34" i="4"/>
  <c r="GM34" i="4"/>
  <c r="FW34" i="4"/>
  <c r="FG34" i="4"/>
  <c r="JO37" i="4"/>
  <c r="IY37" i="4"/>
  <c r="II37" i="4"/>
  <c r="HS37" i="4"/>
  <c r="HC37" i="4"/>
  <c r="GM37" i="4"/>
  <c r="FW37" i="4"/>
  <c r="FG37" i="4"/>
  <c r="JO33" i="4"/>
  <c r="IY33" i="4"/>
  <c r="II33" i="4"/>
  <c r="HS33" i="4"/>
  <c r="HC33" i="4"/>
  <c r="GM33" i="4"/>
  <c r="FW33" i="4"/>
  <c r="FG33" i="4"/>
  <c r="JO36" i="4"/>
  <c r="IY36" i="4"/>
  <c r="II36" i="4"/>
  <c r="HS36" i="4"/>
  <c r="HC36" i="4"/>
  <c r="GM36" i="4"/>
  <c r="FW36" i="4"/>
  <c r="FG36" i="4"/>
  <c r="JM33" i="4"/>
  <c r="IW33" i="4"/>
  <c r="IG33" i="4"/>
  <c r="HQ33" i="4"/>
  <c r="HA33" i="4"/>
  <c r="GK33" i="4"/>
  <c r="FU33" i="4"/>
  <c r="FE33" i="4"/>
  <c r="ER41" i="1"/>
  <c r="ER39" i="1"/>
  <c r="FX39" i="1"/>
  <c r="HT37" i="1"/>
  <c r="HT35" i="1"/>
  <c r="HT33" i="1"/>
  <c r="HT36" i="1"/>
  <c r="HT34" i="1"/>
  <c r="GN39" i="1"/>
  <c r="GN38" i="1"/>
  <c r="HD38" i="1"/>
  <c r="HT39" i="1"/>
  <c r="HT38" i="1"/>
  <c r="IJ37" i="1"/>
  <c r="IJ35" i="1"/>
  <c r="IJ33" i="1"/>
  <c r="IJ36" i="1"/>
  <c r="IJ34" i="1"/>
  <c r="HD37" i="1"/>
  <c r="HD35" i="1"/>
  <c r="HD33" i="1"/>
  <c r="HD36" i="1"/>
  <c r="HD34" i="1"/>
  <c r="GN37" i="1"/>
  <c r="GN35" i="1"/>
  <c r="GN33" i="1"/>
  <c r="GN36" i="1"/>
  <c r="GN34" i="1"/>
  <c r="FX37" i="1"/>
  <c r="FX35" i="1"/>
  <c r="FX33" i="1"/>
  <c r="FX36" i="1"/>
  <c r="FX34" i="1"/>
  <c r="FH37" i="1"/>
  <c r="FH35" i="1"/>
  <c r="FH33" i="1"/>
  <c r="FH36" i="1"/>
  <c r="FH34" i="1"/>
  <c r="ER37" i="1"/>
  <c r="ER35" i="1"/>
  <c r="ER33" i="1"/>
  <c r="ER36" i="1"/>
  <c r="ER34" i="1"/>
  <c r="IJ41" i="1"/>
  <c r="IJ39" i="1"/>
  <c r="IJ38" i="1"/>
  <c r="FH41" i="1"/>
  <c r="HD41" i="1"/>
  <c r="FX41" i="1"/>
  <c r="W4" i="12" l="1"/>
  <c r="W29" i="12"/>
  <c r="R16" i="12"/>
  <c r="S16" i="12" s="1"/>
  <c r="T16" i="12" s="1"/>
  <c r="U16" i="12" s="1"/>
  <c r="Y4" i="12"/>
  <c r="R18" i="12"/>
  <c r="Q31" i="12"/>
  <c r="W21" i="12"/>
  <c r="R23" i="12"/>
  <c r="S23" i="12" s="1"/>
  <c r="T23" i="12" s="1"/>
  <c r="U23" i="12" s="1"/>
  <c r="Q8" i="12"/>
  <c r="Y5" i="12"/>
  <c r="Q28" i="12"/>
  <c r="H5" i="21" a="1"/>
  <c r="K27" i="21" s="1"/>
  <c r="N5" i="21" a="1"/>
  <c r="O25" i="21" s="1"/>
  <c r="W16" i="12"/>
  <c r="Q6" i="12"/>
  <c r="W7" i="12"/>
  <c r="Y22" i="12"/>
  <c r="P22" i="12"/>
  <c r="Q14" i="12"/>
  <c r="P19" i="12"/>
  <c r="S19" i="12" s="1"/>
  <c r="T19" i="12" s="1"/>
  <c r="U19" i="12" s="1"/>
  <c r="X25" i="12"/>
  <c r="Q30" i="12"/>
  <c r="S30" i="12" s="1"/>
  <c r="T30" i="12" s="1"/>
  <c r="U30" i="12" s="1"/>
  <c r="Q4" i="12"/>
  <c r="S4" i="12" s="1"/>
  <c r="T4" i="12" s="1"/>
  <c r="U4" i="12" s="1"/>
  <c r="P5" i="12"/>
  <c r="S5" i="12" s="1"/>
  <c r="T5" i="12" s="1"/>
  <c r="U5" i="12" s="1"/>
  <c r="R31" i="12"/>
  <c r="Y27" i="12"/>
  <c r="K13" i="21"/>
  <c r="J10" i="21"/>
  <c r="I6" i="21"/>
  <c r="J13" i="21"/>
  <c r="H10" i="21"/>
  <c r="I23" i="21"/>
  <c r="H26" i="21"/>
  <c r="N28" i="21"/>
  <c r="B5" i="21" a="1"/>
  <c r="R15" i="12"/>
  <c r="K39" i="21" a="1"/>
  <c r="T5" i="21" a="1"/>
  <c r="R25" i="12"/>
  <c r="S25" i="12" s="1"/>
  <c r="T25" i="12" s="1"/>
  <c r="U25" i="12" s="1"/>
  <c r="K44" i="21" a="1"/>
  <c r="Y8" i="12"/>
  <c r="Y30" i="12"/>
  <c r="X16" i="12"/>
  <c r="P11" i="12"/>
  <c r="X18" i="12"/>
  <c r="W25" i="12"/>
  <c r="Y13" i="12"/>
  <c r="P8" i="12"/>
  <c r="P18" i="12"/>
  <c r="Q11" i="12"/>
  <c r="W31" i="12"/>
  <c r="X9" i="12"/>
  <c r="I5" i="20" a="1"/>
  <c r="L13" i="20" s="1"/>
  <c r="O5" i="20" a="1"/>
  <c r="R17" i="20" s="1"/>
  <c r="Q20" i="12"/>
  <c r="S20" i="12" s="1"/>
  <c r="T20" i="12" s="1"/>
  <c r="U20" i="12" s="1"/>
  <c r="W28" i="12"/>
  <c r="W23" i="12"/>
  <c r="U5" i="20" a="1"/>
  <c r="C5" i="20" a="1"/>
  <c r="P17" i="12"/>
  <c r="X12" i="12"/>
  <c r="Y21" i="12"/>
  <c r="Q29" i="12"/>
  <c r="S29" i="12" s="1"/>
  <c r="T29" i="12" s="1"/>
  <c r="U29" i="12" s="1"/>
  <c r="Q22" i="12"/>
  <c r="R26" i="12"/>
  <c r="R3" i="12"/>
  <c r="S3" i="12" s="1"/>
  <c r="T3" i="12" s="1"/>
  <c r="U3" i="12" s="1"/>
  <c r="X21" i="12"/>
  <c r="W3" i="12"/>
  <c r="P15" i="12"/>
  <c r="P6" i="12"/>
  <c r="X3" i="12"/>
  <c r="P12" i="12"/>
  <c r="S12" i="12" s="1"/>
  <c r="T12" i="12" s="1"/>
  <c r="U12" i="12" s="1"/>
  <c r="X7" i="12"/>
  <c r="Q26" i="12"/>
  <c r="Q13" i="12"/>
  <c r="R14" i="12"/>
  <c r="S14" i="12" s="1"/>
  <c r="T14" i="12" s="1"/>
  <c r="U14" i="12" s="1"/>
  <c r="R28" i="12"/>
  <c r="W14" i="12"/>
  <c r="Y12" i="12"/>
  <c r="R24" i="12"/>
  <c r="Y19" i="12"/>
  <c r="R9" i="12"/>
  <c r="D31" i="10"/>
  <c r="C30" i="12" s="1"/>
  <c r="I30" i="12" s="1"/>
  <c r="R17" i="12"/>
  <c r="P27" i="12"/>
  <c r="S27" i="12" s="1"/>
  <c r="T27" i="12" s="1"/>
  <c r="U27" i="12" s="1"/>
  <c r="Y7" i="12"/>
  <c r="P24" i="12"/>
  <c r="X15" i="12"/>
  <c r="D9" i="10"/>
  <c r="C8" i="12" s="1"/>
  <c r="I8" i="12" s="1"/>
  <c r="D29" i="10"/>
  <c r="C28" i="12" s="1"/>
  <c r="I28" i="12" s="1"/>
  <c r="P13" i="12"/>
  <c r="D22" i="10"/>
  <c r="C21" i="12" s="1"/>
  <c r="I21" i="12" s="1"/>
  <c r="D15" i="10"/>
  <c r="C14" i="12" s="1"/>
  <c r="I14" i="12" s="1"/>
  <c r="S7" i="12"/>
  <c r="T7" i="12" s="1"/>
  <c r="U7" i="12" s="1"/>
  <c r="S21" i="12"/>
  <c r="T21" i="12" s="1"/>
  <c r="U21" i="12" s="1"/>
  <c r="D16" i="10"/>
  <c r="C15" i="12" s="1"/>
  <c r="I15" i="12" s="1"/>
  <c r="E29" i="6"/>
  <c r="E7" i="6"/>
  <c r="D20" i="10"/>
  <c r="C19" i="12" s="1"/>
  <c r="I19" i="12" s="1"/>
  <c r="E19" i="6"/>
  <c r="E5" i="6"/>
  <c r="D7" i="10"/>
  <c r="C6" i="12" s="1"/>
  <c r="I6" i="12" s="1"/>
  <c r="E9" i="6"/>
  <c r="D30" i="10"/>
  <c r="C29" i="12" s="1"/>
  <c r="I29" i="12" s="1"/>
  <c r="D6" i="10"/>
  <c r="C5" i="12" s="1"/>
  <c r="I5" i="12" s="1"/>
  <c r="D28" i="10"/>
  <c r="C27" i="12" s="1"/>
  <c r="I27" i="12" s="1"/>
  <c r="D24" i="10"/>
  <c r="C23" i="12" s="1"/>
  <c r="I23" i="12" s="1"/>
  <c r="E4" i="6"/>
  <c r="D14" i="10"/>
  <c r="C13" i="12" s="1"/>
  <c r="I13" i="12" s="1"/>
  <c r="E31" i="6"/>
  <c r="D23" i="10"/>
  <c r="C22" i="12" s="1"/>
  <c r="I22" i="12" s="1"/>
  <c r="D21" i="10"/>
  <c r="C20" i="12" s="1"/>
  <c r="I20" i="12" s="1"/>
  <c r="E22" i="6"/>
  <c r="E15" i="6"/>
  <c r="R11" i="12"/>
  <c r="Y11" i="12"/>
  <c r="E16" i="6"/>
  <c r="E32" i="10" s="1"/>
  <c r="D26" i="10"/>
  <c r="C25" i="12" s="1"/>
  <c r="I25" i="12" s="1"/>
  <c r="E28" i="6"/>
  <c r="D12" i="10"/>
  <c r="C11" i="12" s="1"/>
  <c r="I11" i="12" s="1"/>
  <c r="P9" i="12"/>
  <c r="W9" i="12"/>
  <c r="E23" i="6"/>
  <c r="D13" i="10"/>
  <c r="C12" i="12" s="1"/>
  <c r="I12" i="12" s="1"/>
  <c r="E13" i="6"/>
  <c r="E24" i="6"/>
  <c r="D10" i="10"/>
  <c r="C9" i="12" s="1"/>
  <c r="I9" i="12" s="1"/>
  <c r="E8" i="6"/>
  <c r="D5" i="10"/>
  <c r="C4" i="12" s="1"/>
  <c r="I4" i="12" s="1"/>
  <c r="E21" i="6"/>
  <c r="D17" i="10"/>
  <c r="C16" i="12" s="1"/>
  <c r="I16" i="12" s="1"/>
  <c r="E10" i="6"/>
  <c r="D8" i="10"/>
  <c r="C7" i="12" s="1"/>
  <c r="I7" i="12" s="1"/>
  <c r="E26" i="6"/>
  <c r="D25" i="10"/>
  <c r="C24" i="12" s="1"/>
  <c r="I24" i="12" s="1"/>
  <c r="D27" i="10"/>
  <c r="C26" i="12" s="1"/>
  <c r="I26" i="12" s="1"/>
  <c r="E12" i="6"/>
  <c r="E30" i="6"/>
  <c r="D19" i="10"/>
  <c r="C18" i="12" s="1"/>
  <c r="I18" i="12" s="1"/>
  <c r="E20" i="6"/>
  <c r="D4" i="10"/>
  <c r="C3" i="12" s="1"/>
  <c r="I3" i="12" s="1"/>
  <c r="E6" i="6"/>
  <c r="E11" i="6"/>
  <c r="D32" i="10"/>
  <c r="C31" i="12" s="1"/>
  <c r="I31" i="12" s="1"/>
  <c r="E17" i="6"/>
  <c r="D18" i="10"/>
  <c r="C17" i="12" s="1"/>
  <c r="I17" i="12" s="1"/>
  <c r="HA2" i="12"/>
  <c r="LQ2" i="12"/>
  <c r="QG2" i="12"/>
  <c r="PV2" i="12"/>
  <c r="LF2" i="12"/>
  <c r="S6" i="12" l="1"/>
  <c r="T6" i="12" s="1"/>
  <c r="U6" i="12" s="1"/>
  <c r="S13" i="12"/>
  <c r="T13" i="12" s="1"/>
  <c r="U13" i="12" s="1"/>
  <c r="Q32" i="21"/>
  <c r="S8" i="12"/>
  <c r="T8" i="12" s="1"/>
  <c r="U8" i="12" s="1"/>
  <c r="S31" i="12"/>
  <c r="T31" i="12" s="1"/>
  <c r="U31" i="12" s="1"/>
  <c r="Q33" i="21"/>
  <c r="I19" i="21"/>
  <c r="K10" i="21"/>
  <c r="I9" i="21"/>
  <c r="H23" i="21"/>
  <c r="J17" i="21"/>
  <c r="S26" i="12"/>
  <c r="T26" i="12" s="1"/>
  <c r="U26" i="12" s="1"/>
  <c r="J6" i="21"/>
  <c r="S18" i="12"/>
  <c r="T18" i="12" s="1"/>
  <c r="U18" i="12" s="1"/>
  <c r="N8" i="21"/>
  <c r="I20" i="21"/>
  <c r="P28" i="21"/>
  <c r="I22" i="21"/>
  <c r="N15" i="21"/>
  <c r="H19" i="21"/>
  <c r="P32" i="21"/>
  <c r="K15" i="21"/>
  <c r="P29" i="21"/>
  <c r="N27" i="21"/>
  <c r="K16" i="21"/>
  <c r="H5" i="21"/>
  <c r="J8" i="21"/>
  <c r="H21" i="21"/>
  <c r="Q21" i="21"/>
  <c r="N31" i="21"/>
  <c r="I16" i="21"/>
  <c r="K28" i="21"/>
  <c r="I17" i="21"/>
  <c r="H25" i="21"/>
  <c r="Q12" i="21"/>
  <c r="I14" i="21"/>
  <c r="J21" i="21"/>
  <c r="J20" i="21"/>
  <c r="N32" i="21"/>
  <c r="Q11" i="21"/>
  <c r="K24" i="21"/>
  <c r="H29" i="21"/>
  <c r="K21" i="21"/>
  <c r="H15" i="21"/>
  <c r="P24" i="21"/>
  <c r="Q25" i="21"/>
  <c r="N17" i="21"/>
  <c r="J15" i="21"/>
  <c r="Q26" i="21"/>
  <c r="Q29" i="21"/>
  <c r="I21" i="21"/>
  <c r="J22" i="21"/>
  <c r="O10" i="21"/>
  <c r="Q30" i="21"/>
  <c r="P21" i="21"/>
  <c r="J7" i="21"/>
  <c r="J9" i="21"/>
  <c r="K25" i="21"/>
  <c r="I15" i="21"/>
  <c r="Q18" i="21"/>
  <c r="P11" i="21"/>
  <c r="N22" i="21"/>
  <c r="J11" i="21"/>
  <c r="I10" i="21"/>
  <c r="J14" i="21"/>
  <c r="H8" i="21"/>
  <c r="Q24" i="21"/>
  <c r="H14" i="21"/>
  <c r="K22" i="21"/>
  <c r="H27" i="21"/>
  <c r="I28" i="21"/>
  <c r="P23" i="21"/>
  <c r="H6" i="21"/>
  <c r="H24" i="21"/>
  <c r="O9" i="21"/>
  <c r="N20" i="21"/>
  <c r="P30" i="21"/>
  <c r="H12" i="21"/>
  <c r="K26" i="21"/>
  <c r="I7" i="21"/>
  <c r="J23" i="21"/>
  <c r="P25" i="21"/>
  <c r="P20" i="21"/>
  <c r="N25" i="21"/>
  <c r="H28" i="21"/>
  <c r="J19" i="21"/>
  <c r="K23" i="21"/>
  <c r="P12" i="21"/>
  <c r="K17" i="21"/>
  <c r="I8" i="21"/>
  <c r="O23" i="21"/>
  <c r="P10" i="21"/>
  <c r="H20" i="21"/>
  <c r="K20" i="21"/>
  <c r="I26" i="21"/>
  <c r="K5" i="21"/>
  <c r="Q5" i="21"/>
  <c r="O24" i="21"/>
  <c r="O13" i="21"/>
  <c r="N11" i="21"/>
  <c r="P9" i="21"/>
  <c r="P19" i="21"/>
  <c r="O11" i="21"/>
  <c r="N30" i="21"/>
  <c r="P15" i="21"/>
  <c r="P33" i="21"/>
  <c r="Q13" i="21"/>
  <c r="P6" i="21"/>
  <c r="N10" i="21"/>
  <c r="Q16" i="21"/>
  <c r="Q19" i="21"/>
  <c r="S28" i="12"/>
  <c r="T28" i="12" s="1"/>
  <c r="U28" i="12" s="1"/>
  <c r="S22" i="12"/>
  <c r="T22" i="12" s="1"/>
  <c r="U22" i="12" s="1"/>
  <c r="O6" i="21"/>
  <c r="N29" i="21"/>
  <c r="O16" i="21"/>
  <c r="O18" i="21"/>
  <c r="O33" i="21"/>
  <c r="P18" i="21"/>
  <c r="O29" i="21"/>
  <c r="O8" i="21"/>
  <c r="K18" i="21"/>
  <c r="H17" i="21"/>
  <c r="H9" i="21"/>
  <c r="J27" i="21"/>
  <c r="J16" i="21"/>
  <c r="I29" i="21"/>
  <c r="Q14" i="21"/>
  <c r="O26" i="21"/>
  <c r="N26" i="21"/>
  <c r="P7" i="21"/>
  <c r="N9" i="21"/>
  <c r="Q7" i="21"/>
  <c r="N19" i="21"/>
  <c r="O5" i="21"/>
  <c r="Q31" i="21"/>
  <c r="Q6" i="21"/>
  <c r="Q27" i="21"/>
  <c r="N16" i="21"/>
  <c r="P5" i="21"/>
  <c r="P8" i="21"/>
  <c r="N13" i="21"/>
  <c r="N24" i="21"/>
  <c r="N7" i="21"/>
  <c r="N33" i="21"/>
  <c r="N21" i="21"/>
  <c r="N6" i="21"/>
  <c r="O20" i="21"/>
  <c r="P17" i="21"/>
  <c r="O21" i="21"/>
  <c r="O15" i="21"/>
  <c r="Q9" i="21"/>
  <c r="O28" i="21"/>
  <c r="P14" i="21"/>
  <c r="O32" i="21"/>
  <c r="N18" i="21"/>
  <c r="K12" i="21"/>
  <c r="J26" i="21"/>
  <c r="I27" i="21"/>
  <c r="I12" i="21"/>
  <c r="K19" i="21"/>
  <c r="I25" i="21"/>
  <c r="J24" i="21"/>
  <c r="O27" i="21"/>
  <c r="O19" i="21"/>
  <c r="O14" i="21"/>
  <c r="Q20" i="21"/>
  <c r="N23" i="21"/>
  <c r="P27" i="21"/>
  <c r="P26" i="21"/>
  <c r="K6" i="21"/>
  <c r="I13" i="21"/>
  <c r="J25" i="21"/>
  <c r="I18" i="21"/>
  <c r="J12" i="21"/>
  <c r="K29" i="21"/>
  <c r="K8" i="21"/>
  <c r="S17" i="12"/>
  <c r="T17" i="12" s="1"/>
  <c r="U17" i="12" s="1"/>
  <c r="O12" i="21"/>
  <c r="Q8" i="21"/>
  <c r="Q22" i="21"/>
  <c r="O17" i="21"/>
  <c r="P31" i="21"/>
  <c r="P13" i="21"/>
  <c r="O7" i="21"/>
  <c r="J28" i="21"/>
  <c r="J5" i="21"/>
  <c r="H18" i="21"/>
  <c r="K9" i="21"/>
  <c r="H11" i="21"/>
  <c r="J18" i="21"/>
  <c r="N5" i="21"/>
  <c r="Q23" i="21"/>
  <c r="O31" i="21"/>
  <c r="Q17" i="21"/>
  <c r="Q28" i="21"/>
  <c r="N14" i="21"/>
  <c r="Q15" i="21"/>
  <c r="K14" i="21"/>
  <c r="J29" i="21"/>
  <c r="H22" i="21"/>
  <c r="K7" i="21"/>
  <c r="I24" i="21"/>
  <c r="I11" i="21"/>
  <c r="Q10" i="21"/>
  <c r="P16" i="21"/>
  <c r="N12" i="21"/>
  <c r="O22" i="21"/>
  <c r="O30" i="21"/>
  <c r="P22" i="21"/>
  <c r="H7" i="21"/>
  <c r="H13" i="21"/>
  <c r="H16" i="21"/>
  <c r="I5" i="21"/>
  <c r="K11" i="21"/>
  <c r="P11" i="20"/>
  <c r="O5" i="20"/>
  <c r="K20" i="20"/>
  <c r="L44" i="21"/>
  <c r="K46" i="21"/>
  <c r="M45" i="21"/>
  <c r="M49" i="21"/>
  <c r="L48" i="21"/>
  <c r="L45" i="21"/>
  <c r="K45" i="21"/>
  <c r="M48" i="21"/>
  <c r="K48" i="21"/>
  <c r="M44" i="21"/>
  <c r="L47" i="21"/>
  <c r="K47" i="21"/>
  <c r="M46" i="21"/>
  <c r="L49" i="21"/>
  <c r="K44" i="21"/>
  <c r="L46" i="21"/>
  <c r="K49" i="21"/>
  <c r="M47" i="21"/>
  <c r="B5" i="21"/>
  <c r="E20" i="21"/>
  <c r="B7" i="21"/>
  <c r="B28" i="21"/>
  <c r="E9" i="21"/>
  <c r="C23" i="21"/>
  <c r="C21" i="21"/>
  <c r="B13" i="21"/>
  <c r="C24" i="21"/>
  <c r="D26" i="21"/>
  <c r="D10" i="21"/>
  <c r="B20" i="21"/>
  <c r="D24" i="21"/>
  <c r="D22" i="21"/>
  <c r="B12" i="21"/>
  <c r="E5" i="21"/>
  <c r="C11" i="21"/>
  <c r="C17" i="21"/>
  <c r="B9" i="21"/>
  <c r="D15" i="21"/>
  <c r="C9" i="21"/>
  <c r="C22" i="21"/>
  <c r="C8" i="21"/>
  <c r="E12" i="21"/>
  <c r="C14" i="21"/>
  <c r="C16" i="21"/>
  <c r="E22" i="21"/>
  <c r="D16" i="21"/>
  <c r="D18" i="21"/>
  <c r="E27" i="21"/>
  <c r="E24" i="21"/>
  <c r="E14" i="21"/>
  <c r="C13" i="21"/>
  <c r="D12" i="21"/>
  <c r="E10" i="21"/>
  <c r="C5" i="21"/>
  <c r="B11" i="21"/>
  <c r="E26" i="21"/>
  <c r="D29" i="21"/>
  <c r="D6" i="21"/>
  <c r="E16" i="21"/>
  <c r="D28" i="21"/>
  <c r="C18" i="21"/>
  <c r="E23" i="21"/>
  <c r="E7" i="21"/>
  <c r="C19" i="21"/>
  <c r="E6" i="21"/>
  <c r="D20" i="21"/>
  <c r="D8" i="21"/>
  <c r="C20" i="21"/>
  <c r="C6" i="21"/>
  <c r="D7" i="21"/>
  <c r="B22" i="21"/>
  <c r="C26" i="21"/>
  <c r="B24" i="21"/>
  <c r="D21" i="21"/>
  <c r="D27" i="21"/>
  <c r="C27" i="21"/>
  <c r="B18" i="21"/>
  <c r="C10" i="21"/>
  <c r="B16" i="21"/>
  <c r="D17" i="21"/>
  <c r="C15" i="21"/>
  <c r="D23" i="21"/>
  <c r="E17" i="21"/>
  <c r="B29" i="21"/>
  <c r="C7" i="21"/>
  <c r="E13" i="21"/>
  <c r="B25" i="21"/>
  <c r="B27" i="21"/>
  <c r="B21" i="21"/>
  <c r="B23" i="21"/>
  <c r="B8" i="21"/>
  <c r="B17" i="21"/>
  <c r="E25" i="21"/>
  <c r="E28" i="21"/>
  <c r="E19" i="21"/>
  <c r="D19" i="21"/>
  <c r="B14" i="21"/>
  <c r="D25" i="21"/>
  <c r="D9" i="21"/>
  <c r="D5" i="21"/>
  <c r="D14" i="21"/>
  <c r="E21" i="21"/>
  <c r="C12" i="21"/>
  <c r="B19" i="21"/>
  <c r="E11" i="21"/>
  <c r="B26" i="21"/>
  <c r="D11" i="21"/>
  <c r="B10" i="21"/>
  <c r="C29" i="21"/>
  <c r="E15" i="21"/>
  <c r="E18" i="21"/>
  <c r="D13" i="21"/>
  <c r="E8" i="21"/>
  <c r="C28" i="21"/>
  <c r="B15" i="21"/>
  <c r="B6" i="21"/>
  <c r="E29" i="21"/>
  <c r="C25" i="21"/>
  <c r="K39" i="21"/>
  <c r="P42" i="21"/>
  <c r="Q43" i="21"/>
  <c r="L40" i="21"/>
  <c r="O43" i="21"/>
  <c r="K40" i="21"/>
  <c r="N40" i="21"/>
  <c r="O41" i="21"/>
  <c r="O42" i="21"/>
  <c r="M39" i="21"/>
  <c r="N43" i="21"/>
  <c r="M41" i="21"/>
  <c r="M40" i="21"/>
  <c r="P43" i="21"/>
  <c r="N42" i="21"/>
  <c r="N41" i="21"/>
  <c r="L39" i="21"/>
  <c r="M42" i="21"/>
  <c r="L41" i="21"/>
  <c r="K41" i="21"/>
  <c r="Q39" i="21"/>
  <c r="L43" i="21"/>
  <c r="K42" i="21"/>
  <c r="Q40" i="21"/>
  <c r="P39" i="21"/>
  <c r="M43" i="21"/>
  <c r="K43" i="21"/>
  <c r="P40" i="21"/>
  <c r="Q42" i="21"/>
  <c r="O40" i="21"/>
  <c r="L42" i="21"/>
  <c r="Q41" i="21"/>
  <c r="O39" i="21"/>
  <c r="P41" i="21"/>
  <c r="N39" i="21"/>
  <c r="S15" i="12"/>
  <c r="T15" i="12" s="1"/>
  <c r="U15" i="12" s="1"/>
  <c r="W5" i="21"/>
  <c r="T17" i="21"/>
  <c r="U28" i="21"/>
  <c r="U48" i="21"/>
  <c r="W48" i="21"/>
  <c r="U17" i="21"/>
  <c r="T28" i="21"/>
  <c r="V28" i="21"/>
  <c r="W39" i="21"/>
  <c r="T40" i="21"/>
  <c r="U40" i="21"/>
  <c r="V48" i="21"/>
  <c r="W16" i="21"/>
  <c r="W35" i="21"/>
  <c r="V20" i="21"/>
  <c r="W8" i="21"/>
  <c r="V39" i="21"/>
  <c r="U21" i="21"/>
  <c r="U19" i="21"/>
  <c r="W42" i="21"/>
  <c r="V22" i="21"/>
  <c r="T46" i="21"/>
  <c r="W25" i="21"/>
  <c r="U16" i="21"/>
  <c r="V19" i="21"/>
  <c r="W22" i="21"/>
  <c r="W43" i="21"/>
  <c r="T29" i="21"/>
  <c r="W18" i="21"/>
  <c r="T22" i="21"/>
  <c r="U33" i="21"/>
  <c r="V11" i="21"/>
  <c r="U38" i="21"/>
  <c r="T48" i="21"/>
  <c r="W24" i="21"/>
  <c r="U9" i="21"/>
  <c r="V40" i="21"/>
  <c r="W31" i="21"/>
  <c r="U13" i="21"/>
  <c r="V13" i="21"/>
  <c r="V35" i="21"/>
  <c r="U15" i="21"/>
  <c r="W38" i="21"/>
  <c r="V18" i="21"/>
  <c r="T42" i="21"/>
  <c r="W21" i="21"/>
  <c r="V24" i="21"/>
  <c r="T43" i="21"/>
  <c r="W47" i="21"/>
  <c r="V15" i="21"/>
  <c r="T35" i="21"/>
  <c r="T18" i="21"/>
  <c r="W36" i="21"/>
  <c r="U12" i="21"/>
  <c r="W40" i="21"/>
  <c r="W28" i="21"/>
  <c r="W23" i="21"/>
  <c r="U5" i="21"/>
  <c r="V31" i="21"/>
  <c r="U11" i="21"/>
  <c r="W34" i="21"/>
  <c r="V14" i="21"/>
  <c r="T38" i="21"/>
  <c r="W17" i="21"/>
  <c r="V8" i="21"/>
  <c r="T37" i="21"/>
  <c r="T26" i="21"/>
  <c r="V37" i="21"/>
  <c r="W27" i="21"/>
  <c r="T44" i="21"/>
  <c r="T32" i="21"/>
  <c r="V17" i="21"/>
  <c r="W15" i="21"/>
  <c r="V27" i="21"/>
  <c r="U7" i="21"/>
  <c r="W30" i="21"/>
  <c r="V10" i="21"/>
  <c r="T34" i="21"/>
  <c r="W13" i="21"/>
  <c r="T45" i="21"/>
  <c r="V16" i="21"/>
  <c r="V33" i="21"/>
  <c r="W19" i="21"/>
  <c r="U8" i="21"/>
  <c r="W7" i="21"/>
  <c r="V44" i="21"/>
  <c r="V23" i="21"/>
  <c r="T47" i="21"/>
  <c r="W26" i="21"/>
  <c r="V6" i="21"/>
  <c r="T30" i="21"/>
  <c r="W9" i="21"/>
  <c r="U46" i="21"/>
  <c r="V47" i="21"/>
  <c r="T39" i="21"/>
  <c r="U42" i="21"/>
  <c r="V36" i="21"/>
  <c r="T21" i="21"/>
  <c r="W14" i="21"/>
  <c r="U36" i="21"/>
  <c r="W12" i="21"/>
  <c r="W11" i="21"/>
  <c r="V43" i="21"/>
  <c r="V21" i="21"/>
  <c r="T5" i="21"/>
  <c r="U47" i="21"/>
  <c r="T27" i="21"/>
  <c r="W6" i="21"/>
  <c r="U30" i="21"/>
  <c r="T10" i="21"/>
  <c r="T12" i="21"/>
  <c r="U41" i="21"/>
  <c r="T33" i="21"/>
  <c r="V5" i="21"/>
  <c r="U43" i="21"/>
  <c r="T23" i="21"/>
  <c r="V46" i="21"/>
  <c r="U26" i="21"/>
  <c r="T6" i="21"/>
  <c r="V45" i="21"/>
  <c r="V32" i="21"/>
  <c r="W20" i="21"/>
  <c r="U39" i="21"/>
  <c r="T19" i="21"/>
  <c r="V42" i="21"/>
  <c r="U22" i="21"/>
  <c r="W45" i="21"/>
  <c r="U25" i="21"/>
  <c r="T13" i="21"/>
  <c r="V38" i="21"/>
  <c r="U18" i="21"/>
  <c r="U35" i="21"/>
  <c r="T9" i="21"/>
  <c r="U6" i="21"/>
  <c r="U23" i="21"/>
  <c r="T11" i="21"/>
  <c r="U32" i="21"/>
  <c r="U45" i="21"/>
  <c r="T36" i="21"/>
  <c r="V34" i="21"/>
  <c r="V29" i="21"/>
  <c r="W44" i="21"/>
  <c r="U10" i="21"/>
  <c r="V41" i="21"/>
  <c r="W32" i="21"/>
  <c r="W41" i="21"/>
  <c r="V9" i="21"/>
  <c r="T41" i="21"/>
  <c r="T7" i="21"/>
  <c r="T20" i="21"/>
  <c r="T25" i="21"/>
  <c r="V30" i="21"/>
  <c r="U44" i="21"/>
  <c r="V7" i="21"/>
  <c r="U20" i="21"/>
  <c r="U31" i="21"/>
  <c r="U29" i="21"/>
  <c r="V25" i="21"/>
  <c r="W37" i="21"/>
  <c r="T24" i="21"/>
  <c r="T16" i="21"/>
  <c r="W46" i="21"/>
  <c r="V12" i="21"/>
  <c r="V26" i="21"/>
  <c r="U24" i="21"/>
  <c r="U34" i="21"/>
  <c r="U14" i="21"/>
  <c r="U37" i="21"/>
  <c r="U27" i="21"/>
  <c r="T14" i="21"/>
  <c r="T31" i="21"/>
  <c r="T15" i="21"/>
  <c r="W33" i="21"/>
  <c r="W29" i="21"/>
  <c r="T8" i="21"/>
  <c r="W10" i="21"/>
  <c r="S11" i="12"/>
  <c r="T11" i="12" s="1"/>
  <c r="U11" i="12" s="1"/>
  <c r="J21" i="20"/>
  <c r="Q27" i="20"/>
  <c r="K7" i="20"/>
  <c r="Q21" i="20"/>
  <c r="I33" i="20"/>
  <c r="Q23" i="20"/>
  <c r="J41" i="20"/>
  <c r="O12" i="20"/>
  <c r="L15" i="20"/>
  <c r="P23" i="20"/>
  <c r="J14" i="20"/>
  <c r="J26" i="20"/>
  <c r="P20" i="20"/>
  <c r="I8" i="20"/>
  <c r="O15" i="20"/>
  <c r="I28" i="20"/>
  <c r="Q24" i="20"/>
  <c r="I26" i="20"/>
  <c r="O18" i="20"/>
  <c r="K18" i="20"/>
  <c r="O11" i="20"/>
  <c r="L29" i="20"/>
  <c r="O10" i="20"/>
  <c r="I25" i="20"/>
  <c r="R6" i="20"/>
  <c r="O13" i="20"/>
  <c r="I42" i="20"/>
  <c r="K10" i="20"/>
  <c r="I31" i="20"/>
  <c r="J31" i="20"/>
  <c r="K39" i="20"/>
  <c r="K29" i="20"/>
  <c r="K15" i="20"/>
  <c r="I45" i="20"/>
  <c r="R14" i="20"/>
  <c r="R25" i="20"/>
  <c r="L9" i="20"/>
  <c r="J10" i="20"/>
  <c r="L41" i="20"/>
  <c r="K19" i="20"/>
  <c r="P17" i="20"/>
  <c r="O26" i="20"/>
  <c r="K33" i="20"/>
  <c r="L5" i="20"/>
  <c r="L8" i="20"/>
  <c r="K8" i="20"/>
  <c r="P21" i="20"/>
  <c r="O8" i="20"/>
  <c r="L40" i="20"/>
  <c r="L26" i="20"/>
  <c r="L36" i="20"/>
  <c r="K27" i="20"/>
  <c r="Q12" i="20"/>
  <c r="P14" i="20"/>
  <c r="J22" i="20"/>
  <c r="J11" i="20"/>
  <c r="L11" i="20"/>
  <c r="K41" i="20"/>
  <c r="I24" i="20"/>
  <c r="J29" i="20"/>
  <c r="R29" i="20"/>
  <c r="P7" i="20"/>
  <c r="P22" i="20"/>
  <c r="L43" i="20"/>
  <c r="L24" i="20"/>
  <c r="K38" i="20"/>
  <c r="P24" i="20"/>
  <c r="O6" i="20"/>
  <c r="O20" i="20"/>
  <c r="K16" i="20"/>
  <c r="L33" i="20"/>
  <c r="J27" i="20"/>
  <c r="P8" i="20"/>
  <c r="O9" i="20"/>
  <c r="P16" i="20"/>
  <c r="I23" i="20"/>
  <c r="I39" i="20"/>
  <c r="I41" i="20"/>
  <c r="O24" i="20"/>
  <c r="Q15" i="20"/>
  <c r="Q6" i="20"/>
  <c r="L44" i="20"/>
  <c r="I20" i="20"/>
  <c r="J35" i="20"/>
  <c r="P18" i="20"/>
  <c r="P28" i="20"/>
  <c r="P12" i="20"/>
  <c r="J30" i="20"/>
  <c r="K44" i="20"/>
  <c r="J40" i="20"/>
  <c r="I7" i="20"/>
  <c r="I29" i="20"/>
  <c r="J36" i="20"/>
  <c r="L45" i="20"/>
  <c r="J20" i="20"/>
  <c r="Q16" i="20"/>
  <c r="Q18" i="20"/>
  <c r="R24" i="20"/>
  <c r="O27" i="20"/>
  <c r="R7" i="20"/>
  <c r="Q25" i="20"/>
  <c r="R5" i="20"/>
  <c r="L31" i="20"/>
  <c r="K6" i="20"/>
  <c r="L34" i="20"/>
  <c r="J5" i="20"/>
  <c r="K12" i="20"/>
  <c r="L7" i="20"/>
  <c r="J12" i="20"/>
  <c r="I43" i="20"/>
  <c r="J7" i="20"/>
  <c r="K21" i="20"/>
  <c r="Q14" i="20"/>
  <c r="P13" i="20"/>
  <c r="R18" i="20"/>
  <c r="P29" i="20"/>
  <c r="P27" i="20"/>
  <c r="R11" i="20"/>
  <c r="R27" i="20"/>
  <c r="K36" i="20"/>
  <c r="L30" i="20"/>
  <c r="K32" i="20"/>
  <c r="I17" i="20"/>
  <c r="J38" i="20"/>
  <c r="J17" i="20"/>
  <c r="I27" i="20"/>
  <c r="I6" i="20"/>
  <c r="J15" i="20"/>
  <c r="I38" i="20"/>
  <c r="R21" i="20"/>
  <c r="R16" i="20"/>
  <c r="P5" i="20"/>
  <c r="Q5" i="20"/>
  <c r="Q11" i="20"/>
  <c r="O21" i="20"/>
  <c r="L25" i="20"/>
  <c r="L22" i="20"/>
  <c r="L37" i="20"/>
  <c r="I14" i="20"/>
  <c r="J9" i="20"/>
  <c r="L38" i="20"/>
  <c r="I19" i="20"/>
  <c r="J25" i="20"/>
  <c r="I16" i="20"/>
  <c r="I32" i="20"/>
  <c r="K24" i="20"/>
  <c r="O16" i="20"/>
  <c r="Q26" i="20"/>
  <c r="O7" i="20"/>
  <c r="O19" i="20"/>
  <c r="O25" i="20"/>
  <c r="R15" i="20"/>
  <c r="J44" i="20"/>
  <c r="I40" i="20"/>
  <c r="L18" i="20"/>
  <c r="J8" i="20"/>
  <c r="J34" i="20"/>
  <c r="I21" i="20"/>
  <c r="K31" i="20"/>
  <c r="K5" i="20"/>
  <c r="J33" i="20"/>
  <c r="J37" i="20"/>
  <c r="L10" i="20"/>
  <c r="R8" i="20"/>
  <c r="Q8" i="20"/>
  <c r="P25" i="20"/>
  <c r="O14" i="20"/>
  <c r="Q19" i="20"/>
  <c r="Q17" i="20"/>
  <c r="J45" i="20"/>
  <c r="J18" i="20"/>
  <c r="L21" i="20"/>
  <c r="L16" i="20"/>
  <c r="K28" i="20"/>
  <c r="J39" i="20"/>
  <c r="J19" i="20"/>
  <c r="K34" i="20"/>
  <c r="K23" i="20"/>
  <c r="K43" i="20"/>
  <c r="K35" i="20"/>
  <c r="P26" i="20"/>
  <c r="Q22" i="20"/>
  <c r="P19" i="20"/>
  <c r="R9" i="20"/>
  <c r="P10" i="20"/>
  <c r="R13" i="20"/>
  <c r="L39" i="20"/>
  <c r="L35" i="20"/>
  <c r="K37" i="20"/>
  <c r="J28" i="20"/>
  <c r="L17" i="20"/>
  <c r="J13" i="20"/>
  <c r="K30" i="20"/>
  <c r="I37" i="20"/>
  <c r="K13" i="20"/>
  <c r="K17" i="20"/>
  <c r="I5" i="20"/>
  <c r="P6" i="20"/>
  <c r="R22" i="20"/>
  <c r="R28" i="20"/>
  <c r="P15" i="20"/>
  <c r="R23" i="20"/>
  <c r="O28" i="20"/>
  <c r="K25" i="20"/>
  <c r="L23" i="20"/>
  <c r="I9" i="20"/>
  <c r="I13" i="20"/>
  <c r="J42" i="20"/>
  <c r="I15" i="20"/>
  <c r="J24" i="20"/>
  <c r="L27" i="20"/>
  <c r="I22" i="20"/>
  <c r="I30" i="20"/>
  <c r="Q28" i="20"/>
  <c r="O23" i="20"/>
  <c r="O22" i="20"/>
  <c r="O17" i="20"/>
  <c r="Q20" i="20"/>
  <c r="Q29" i="20"/>
  <c r="K40" i="20"/>
  <c r="L28" i="20"/>
  <c r="I34" i="20"/>
  <c r="K14" i="20"/>
  <c r="L42" i="20"/>
  <c r="I11" i="20"/>
  <c r="I35" i="20"/>
  <c r="K9" i="20"/>
  <c r="K42" i="20"/>
  <c r="L6" i="20"/>
  <c r="Q10" i="20"/>
  <c r="R20" i="20"/>
  <c r="P9" i="20"/>
  <c r="Q9" i="20"/>
  <c r="Q7" i="20"/>
  <c r="R19" i="20"/>
  <c r="L14" i="20"/>
  <c r="I10" i="20"/>
  <c r="J32" i="20"/>
  <c r="L12" i="20"/>
  <c r="L32" i="20"/>
  <c r="I36" i="20"/>
  <c r="L20" i="20"/>
  <c r="I18" i="20"/>
  <c r="J43" i="20"/>
  <c r="K11" i="20"/>
  <c r="R12" i="20"/>
  <c r="R10" i="20"/>
  <c r="R26" i="20"/>
  <c r="Q13" i="20"/>
  <c r="O29" i="20"/>
  <c r="L19" i="20"/>
  <c r="J16" i="20"/>
  <c r="K45" i="20"/>
  <c r="I12" i="20"/>
  <c r="J6" i="20"/>
  <c r="K22" i="20"/>
  <c r="I44" i="20"/>
  <c r="J23" i="20"/>
  <c r="K26" i="20"/>
  <c r="S24" i="12"/>
  <c r="T24" i="12" s="1"/>
  <c r="U24" i="12" s="1"/>
  <c r="C5" i="20"/>
  <c r="F8" i="20"/>
  <c r="E11" i="20"/>
  <c r="E6" i="20"/>
  <c r="D24" i="20"/>
  <c r="C11" i="20"/>
  <c r="E5" i="20"/>
  <c r="E28" i="20"/>
  <c r="D23" i="20"/>
  <c r="D26" i="20"/>
  <c r="D12" i="20"/>
  <c r="C7" i="20"/>
  <c r="D29" i="20"/>
  <c r="D14" i="20"/>
  <c r="F25" i="20"/>
  <c r="D20" i="20"/>
  <c r="F21" i="20"/>
  <c r="D16" i="20"/>
  <c r="F16" i="20"/>
  <c r="E20" i="20"/>
  <c r="D15" i="20"/>
  <c r="D22" i="20"/>
  <c r="C24" i="20"/>
  <c r="F18" i="20"/>
  <c r="D25" i="20"/>
  <c r="D28" i="20"/>
  <c r="C15" i="20"/>
  <c r="E12" i="20"/>
  <c r="D7" i="20"/>
  <c r="D18" i="20"/>
  <c r="C20" i="20"/>
  <c r="F29" i="20"/>
  <c r="D21" i="20"/>
  <c r="C27" i="20"/>
  <c r="C12" i="20"/>
  <c r="D17" i="20"/>
  <c r="C8" i="20"/>
  <c r="F23" i="20"/>
  <c r="D9" i="20"/>
  <c r="D10" i="20"/>
  <c r="D13" i="20"/>
  <c r="F26" i="20"/>
  <c r="F17" i="20"/>
  <c r="D6" i="20"/>
  <c r="D8" i="20"/>
  <c r="F22" i="20"/>
  <c r="C26" i="20"/>
  <c r="F11" i="20"/>
  <c r="F13" i="20"/>
  <c r="D5" i="20"/>
  <c r="C16" i="20"/>
  <c r="C18" i="20"/>
  <c r="F5" i="20"/>
  <c r="D19" i="20"/>
  <c r="E18" i="20"/>
  <c r="C23" i="20"/>
  <c r="C28" i="20"/>
  <c r="F14" i="20"/>
  <c r="C22" i="20"/>
  <c r="E23" i="20"/>
  <c r="F9" i="20"/>
  <c r="C29" i="20"/>
  <c r="C6" i="20"/>
  <c r="D11" i="20"/>
  <c r="F10" i="20"/>
  <c r="E15" i="20"/>
  <c r="C25" i="20"/>
  <c r="E21" i="20"/>
  <c r="E17" i="20"/>
  <c r="E27" i="20"/>
  <c r="E13" i="20"/>
  <c r="F27" i="20"/>
  <c r="F6" i="20"/>
  <c r="C14" i="20"/>
  <c r="E7" i="20"/>
  <c r="E29" i="20"/>
  <c r="C21" i="20"/>
  <c r="E22" i="20"/>
  <c r="C13" i="20"/>
  <c r="F28" i="20"/>
  <c r="F19" i="20"/>
  <c r="E26" i="20"/>
  <c r="C10" i="20"/>
  <c r="D27" i="20"/>
  <c r="E25" i="20"/>
  <c r="C17" i="20"/>
  <c r="F24" i="20"/>
  <c r="F20" i="20"/>
  <c r="C9" i="20"/>
  <c r="F15" i="20"/>
  <c r="F7" i="20"/>
  <c r="E24" i="20"/>
  <c r="E14" i="20"/>
  <c r="E16" i="20"/>
  <c r="F12" i="20"/>
  <c r="E19" i="20"/>
  <c r="E10" i="20"/>
  <c r="E8" i="20"/>
  <c r="C19" i="20"/>
  <c r="E9" i="20"/>
  <c r="U5" i="20"/>
  <c r="W32" i="20"/>
  <c r="X7" i="20"/>
  <c r="W30" i="20"/>
  <c r="V8" i="20"/>
  <c r="X14" i="20"/>
  <c r="W29" i="20"/>
  <c r="U25" i="20"/>
  <c r="W24" i="20"/>
  <c r="W31" i="20"/>
  <c r="V22" i="20"/>
  <c r="U32" i="20"/>
  <c r="X10" i="20"/>
  <c r="W25" i="20"/>
  <c r="U21" i="20"/>
  <c r="W15" i="20"/>
  <c r="X27" i="20"/>
  <c r="W13" i="20"/>
  <c r="W9" i="20"/>
  <c r="V27" i="20"/>
  <c r="V30" i="20"/>
  <c r="W20" i="20"/>
  <c r="W23" i="20"/>
  <c r="V6" i="20"/>
  <c r="U20" i="20"/>
  <c r="X6" i="20"/>
  <c r="W21" i="20"/>
  <c r="U17" i="20"/>
  <c r="U22" i="20"/>
  <c r="X25" i="20"/>
  <c r="V26" i="20"/>
  <c r="W12" i="20"/>
  <c r="W19" i="20"/>
  <c r="U30" i="20"/>
  <c r="U8" i="20"/>
  <c r="W26" i="20"/>
  <c r="W17" i="20"/>
  <c r="U13" i="20"/>
  <c r="V28" i="20"/>
  <c r="W22" i="20"/>
  <c r="V24" i="20"/>
  <c r="U10" i="20"/>
  <c r="X11" i="20"/>
  <c r="W18" i="20"/>
  <c r="U26" i="20"/>
  <c r="W5" i="20"/>
  <c r="V14" i="20"/>
  <c r="U9" i="20"/>
  <c r="W7" i="20"/>
  <c r="W27" i="20"/>
  <c r="V10" i="20"/>
  <c r="V20" i="20"/>
  <c r="W14" i="20"/>
  <c r="U18" i="20"/>
  <c r="V12" i="20"/>
  <c r="V15" i="20"/>
  <c r="X13" i="20"/>
  <c r="W11" i="20"/>
  <c r="W10" i="20"/>
  <c r="V33" i="20"/>
  <c r="U24" i="20"/>
  <c r="X17" i="20"/>
  <c r="X16" i="20"/>
  <c r="U6" i="20"/>
  <c r="U28" i="20"/>
  <c r="V7" i="20"/>
  <c r="X28" i="20"/>
  <c r="V31" i="20"/>
  <c r="W6" i="20"/>
  <c r="V29" i="20"/>
  <c r="V23" i="20"/>
  <c r="X23" i="20"/>
  <c r="U11" i="20"/>
  <c r="X33" i="20"/>
  <c r="U31" i="20"/>
  <c r="X20" i="20"/>
  <c r="V5" i="20"/>
  <c r="V25" i="20"/>
  <c r="U15" i="20"/>
  <c r="X19" i="20"/>
  <c r="U33" i="20"/>
  <c r="X21" i="20"/>
  <c r="U16" i="20"/>
  <c r="U27" i="20"/>
  <c r="X8" i="20"/>
  <c r="V19" i="20"/>
  <c r="V18" i="20"/>
  <c r="V21" i="20"/>
  <c r="V9" i="20"/>
  <c r="X22" i="20"/>
  <c r="X9" i="20"/>
  <c r="U12" i="20"/>
  <c r="U23" i="20"/>
  <c r="W28" i="20"/>
  <c r="V11" i="20"/>
  <c r="U14" i="20"/>
  <c r="V17" i="20"/>
  <c r="U19" i="20"/>
  <c r="W8" i="20"/>
  <c r="X32" i="20"/>
  <c r="X31" i="20"/>
  <c r="W16" i="20"/>
  <c r="X30" i="20"/>
  <c r="X29" i="20"/>
  <c r="V13" i="20"/>
  <c r="X26" i="20"/>
  <c r="V32" i="20"/>
  <c r="X24" i="20"/>
  <c r="X5" i="20"/>
  <c r="X12" i="20"/>
  <c r="X15" i="20"/>
  <c r="U7" i="20"/>
  <c r="V16" i="20"/>
  <c r="X18" i="20"/>
  <c r="W33" i="20"/>
  <c r="U29" i="20"/>
  <c r="S9" i="12"/>
  <c r="T9" i="12" s="1"/>
  <c r="U9" i="12" s="1"/>
  <c r="E4" i="10"/>
  <c r="E5" i="10"/>
  <c r="E18" i="10"/>
  <c r="E12" i="10"/>
  <c r="E26" i="10"/>
  <c r="E25" i="10"/>
  <c r="E17" i="10"/>
  <c r="E13" i="10"/>
  <c r="E6" i="10"/>
  <c r="E7" i="10"/>
  <c r="E31" i="10"/>
  <c r="E28" i="10"/>
  <c r="E30" i="10"/>
  <c r="E19" i="10"/>
  <c r="E27" i="10"/>
  <c r="E24" i="10"/>
  <c r="E20" i="10"/>
  <c r="E16" i="10"/>
  <c r="E10" i="10"/>
  <c r="E29" i="10"/>
  <c r="E22" i="10"/>
  <c r="E14" i="10"/>
  <c r="E21" i="10"/>
  <c r="E15" i="10"/>
  <c r="E8" i="10"/>
  <c r="E23" i="10"/>
  <c r="E9" i="10"/>
  <c r="BL32" i="5"/>
  <c r="BL33" i="5" s="1"/>
  <c r="CJ40" i="5" s="1"/>
  <c r="BF32" i="5"/>
  <c r="BF33" i="5" s="1"/>
  <c r="CI40" i="5" s="1"/>
  <c r="DZ40" i="2" s="1"/>
  <c r="BJ2" i="12" s="1"/>
  <c r="BG32" i="5"/>
  <c r="BG33" i="5" s="1"/>
  <c r="CI38" i="5" s="1"/>
  <c r="DZ38" i="2" s="1"/>
  <c r="BH32" i="5"/>
  <c r="BH33" i="5" s="1"/>
  <c r="CI44" i="5" s="1"/>
  <c r="DZ44" i="2" s="1"/>
  <c r="BN2" i="12" s="1"/>
  <c r="BI32" i="5"/>
  <c r="BI33" i="5" s="1"/>
  <c r="CI41" i="5" s="1"/>
  <c r="BE2" i="5"/>
  <c r="BE32" i="5" s="1"/>
  <c r="EC32" i="2"/>
  <c r="EC33" i="2" s="1"/>
  <c r="DX41" i="2" s="1"/>
  <c r="EC41" i="2" s="1"/>
  <c r="CL2" i="12" s="1"/>
  <c r="ED32" i="2"/>
  <c r="ED33" i="2" s="1"/>
  <c r="EB32" i="2"/>
  <c r="EB33" i="2" s="1"/>
  <c r="DS32" i="2"/>
  <c r="DS33" i="2" s="1"/>
  <c r="DT32" i="2"/>
  <c r="DT33" i="2" s="1"/>
  <c r="DU32" i="2"/>
  <c r="DU33" i="2" s="1"/>
  <c r="DV32" i="2"/>
  <c r="DV33" i="2" s="1"/>
  <c r="DW45" i="2" s="1"/>
  <c r="EB45" i="2" s="1"/>
  <c r="CG2" i="12" s="1"/>
  <c r="DW32" i="2"/>
  <c r="DW33" i="2" s="1"/>
  <c r="DW38" i="2" s="1"/>
  <c r="EB38" i="2" s="1"/>
  <c r="DX32" i="2"/>
  <c r="DX33" i="2" s="1"/>
  <c r="DY32" i="2"/>
  <c r="DY33" i="2" s="1"/>
  <c r="DW39" i="2" s="1"/>
  <c r="DK32" i="2"/>
  <c r="DK33" i="2" s="1"/>
  <c r="DV41" i="2" s="1"/>
  <c r="EA41" i="2" s="1"/>
  <c r="BT2" i="12" s="1"/>
  <c r="DL32" i="2"/>
  <c r="DL33" i="2" s="1"/>
  <c r="DV44" i="2" s="1"/>
  <c r="EA44" i="2" s="1"/>
  <c r="DM32" i="2"/>
  <c r="DM33" i="2" s="1"/>
  <c r="DV42" i="2" s="1"/>
  <c r="EA42" i="2" s="1"/>
  <c r="BU2" i="12" s="1"/>
  <c r="DN32" i="2"/>
  <c r="DN33" i="2" s="1"/>
  <c r="DO32" i="2"/>
  <c r="DO33" i="2" s="1"/>
  <c r="CV32" i="2"/>
  <c r="DZ41" i="2" l="1"/>
  <c r="BK2" i="12" s="1"/>
  <c r="DW42" i="2"/>
  <c r="EB42" i="2" s="1"/>
  <c r="CD2" i="12" s="1"/>
  <c r="DX37" i="2"/>
  <c r="DV38" i="2"/>
  <c r="EA38" i="2" s="1"/>
  <c r="BE33" i="5"/>
  <c r="CI42" i="5" s="1"/>
  <c r="DZ42" i="2" s="1"/>
  <c r="BL2" i="12" s="1"/>
  <c r="CV33" i="2"/>
  <c r="DU43" i="2" s="1"/>
  <c r="DZ43" i="2" s="1"/>
  <c r="BM2" i="12" s="1"/>
  <c r="DT34" i="2"/>
  <c r="DX34" i="2"/>
  <c r="DW34" i="2"/>
  <c r="DV34" i="2"/>
  <c r="DS34" i="2"/>
  <c r="DY34" i="2"/>
  <c r="BG34" i="5"/>
  <c r="BJ2" i="5"/>
  <c r="BK2" i="5" s="1"/>
  <c r="YA2" i="12"/>
  <c r="ADE2" i="12"/>
  <c r="AII2" i="12"/>
  <c r="ANM2" i="12"/>
  <c r="YC2" i="12"/>
  <c r="ADG2" i="12"/>
  <c r="AIK2" i="12"/>
  <c r="ANO2" i="12"/>
  <c r="YJ2" i="12"/>
  <c r="AIR2" i="12"/>
  <c r="ANV2" i="12"/>
  <c r="ADN2" i="12"/>
  <c r="YH2" i="12"/>
  <c r="ADL2" i="12"/>
  <c r="AIP2" i="12"/>
  <c r="ANT2" i="12"/>
  <c r="XX2" i="12"/>
  <c r="ADB2" i="12"/>
  <c r="AIF2" i="12"/>
  <c r="ANJ2" i="12"/>
  <c r="GP2" i="12"/>
  <c r="UL2" i="12"/>
  <c r="UW2" i="12"/>
  <c r="BJ32" i="5" l="1"/>
  <c r="BK32" i="5" s="1"/>
  <c r="BW2" i="12"/>
  <c r="BI34" i="5"/>
  <c r="DU34" i="2"/>
  <c r="BH34" i="5"/>
  <c r="BF34" i="5"/>
  <c r="BJ33" i="5" l="1"/>
  <c r="ED34" i="2"/>
  <c r="C1" i="2"/>
  <c r="CM32" i="5"/>
  <c r="CM33" i="5" s="1"/>
  <c r="CL37" i="5" s="1"/>
  <c r="EC37" i="2" s="1"/>
  <c r="CA33" i="5"/>
  <c r="CK39" i="5" s="1"/>
  <c r="EB39" i="2" s="1"/>
  <c r="CA2" i="12" s="1"/>
  <c r="D2" i="2"/>
  <c r="D32" i="2" s="1"/>
  <c r="D33" i="2" s="1"/>
  <c r="E2" i="2"/>
  <c r="E32" i="2" s="1"/>
  <c r="E33" i="2" s="1"/>
  <c r="F2" i="2"/>
  <c r="F32" i="2" s="1"/>
  <c r="F33" i="2" s="1"/>
  <c r="G2" i="2"/>
  <c r="G32" i="2" s="1"/>
  <c r="G33" i="2" s="1"/>
  <c r="H2" i="2"/>
  <c r="H32" i="2" s="1"/>
  <c r="H33" i="2" s="1"/>
  <c r="I2" i="2"/>
  <c r="I32" i="2" s="1"/>
  <c r="I33" i="2" s="1"/>
  <c r="J2" i="2"/>
  <c r="J32" i="2" s="1"/>
  <c r="J33" i="2" s="1"/>
  <c r="K2" i="2"/>
  <c r="K32" i="2" s="1"/>
  <c r="K33" i="2" s="1"/>
  <c r="L2" i="2"/>
  <c r="L32" i="2" s="1"/>
  <c r="L33" i="2" s="1"/>
  <c r="M2" i="2"/>
  <c r="M32" i="2" s="1"/>
  <c r="M33" i="2" s="1"/>
  <c r="N2" i="2"/>
  <c r="N32" i="2" s="1"/>
  <c r="N33" i="2" s="1"/>
  <c r="O2" i="2"/>
  <c r="O32" i="2" s="1"/>
  <c r="O33" i="2" s="1"/>
  <c r="P2" i="2"/>
  <c r="P32" i="2" s="1"/>
  <c r="P33" i="2" s="1"/>
  <c r="Q2" i="2"/>
  <c r="Q32" i="2" s="1"/>
  <c r="Q33" i="2" s="1"/>
  <c r="R2" i="2"/>
  <c r="R32" i="2" s="1"/>
  <c r="R33" i="2" s="1"/>
  <c r="S2" i="2"/>
  <c r="S32" i="2" s="1"/>
  <c r="S33" i="2" s="1"/>
  <c r="T2" i="2"/>
  <c r="T32" i="2" s="1"/>
  <c r="T33" i="2" s="1"/>
  <c r="U2" i="2"/>
  <c r="U32" i="2" s="1"/>
  <c r="U33" i="2" s="1"/>
  <c r="V2" i="2"/>
  <c r="V32" i="2" s="1"/>
  <c r="V33" i="2" s="1"/>
  <c r="W2" i="2"/>
  <c r="W32" i="2" s="1"/>
  <c r="W33" i="2" s="1"/>
  <c r="X2" i="2"/>
  <c r="X32" i="2" s="1"/>
  <c r="X33" i="2" s="1"/>
  <c r="Y2" i="2"/>
  <c r="Y32" i="2" s="1"/>
  <c r="Y33" i="2" s="1"/>
  <c r="Z2" i="2"/>
  <c r="Z32" i="2" s="1"/>
  <c r="Z33" i="2" s="1"/>
  <c r="AA2" i="2"/>
  <c r="AA32" i="2" s="1"/>
  <c r="AA33" i="2" s="1"/>
  <c r="DR32" i="2"/>
  <c r="DR33" i="2" s="1"/>
  <c r="DW44" i="2" s="1"/>
  <c r="EB44" i="2" s="1"/>
  <c r="CF2" i="12" s="1"/>
  <c r="AB39" i="2" l="1"/>
  <c r="AB38" i="2"/>
  <c r="CN2" i="5"/>
  <c r="CO2" i="5" s="1"/>
  <c r="EE2" i="2"/>
  <c r="EC34" i="2"/>
  <c r="DZ2" i="2"/>
  <c r="L3" i="6" s="1"/>
  <c r="A2" i="12"/>
  <c r="EE32" i="2" l="1"/>
  <c r="M3" i="6"/>
  <c r="DZ32" i="2"/>
  <c r="EA32" i="2" s="1"/>
  <c r="CN32" i="5"/>
  <c r="CH2" i="12"/>
  <c r="CM34" i="5"/>
  <c r="EF2" i="2"/>
  <c r="EA2" i="2"/>
  <c r="EC41" i="1"/>
  <c r="MF2" i="12"/>
  <c r="DA2" i="12"/>
  <c r="HR2" i="12"/>
  <c r="HS2" i="12"/>
  <c r="MJ2" i="12"/>
  <c r="MK2" i="12"/>
  <c r="HX2" i="12"/>
  <c r="MO2" i="12"/>
  <c r="MP2" i="12"/>
  <c r="MR2" i="12"/>
  <c r="RI2" i="12"/>
  <c r="RK2" i="12"/>
  <c r="DQ2" i="12"/>
  <c r="IH2" i="12"/>
  <c r="MZ2" i="12"/>
  <c r="IK2" i="12"/>
  <c r="IL2" i="12"/>
  <c r="RT2" i="12"/>
  <c r="RU2" i="12"/>
  <c r="NF2" i="12"/>
  <c r="RW2" i="12"/>
  <c r="EB2" i="12"/>
  <c r="RY2" i="12"/>
  <c r="RZ2" i="12"/>
  <c r="NO2" i="12"/>
  <c r="EJ2" i="12"/>
  <c r="EL2" i="12"/>
  <c r="EN2" i="12"/>
  <c r="JE2" i="12"/>
  <c r="EP2" i="12"/>
  <c r="JG2" i="12"/>
  <c r="NX2" i="12"/>
  <c r="SP2" i="12"/>
  <c r="SQ2" i="12"/>
  <c r="SR2" i="12"/>
  <c r="JM2" i="12"/>
  <c r="JN2" i="12"/>
  <c r="SX2" i="12"/>
  <c r="SY2" i="12"/>
  <c r="OJ2" i="12"/>
  <c r="OK2" i="12"/>
  <c r="TB2" i="12"/>
  <c r="FG2" i="12"/>
  <c r="TE2" i="12"/>
  <c r="TH2" i="12"/>
  <c r="TJ2" i="12"/>
  <c r="FO2" i="12"/>
  <c r="FP2" i="12"/>
  <c r="KI2" i="12"/>
  <c r="TQ2" i="12"/>
  <c r="TR2" i="12"/>
  <c r="TT2" i="12"/>
  <c r="TV2" i="12"/>
  <c r="TZ2" i="12"/>
  <c r="PK2" i="12"/>
  <c r="UB2" i="12"/>
  <c r="KZ2" i="12"/>
  <c r="PT2" i="12"/>
  <c r="UK2" i="12"/>
  <c r="LG2" i="12"/>
  <c r="UO2" i="12"/>
  <c r="LM2" i="12"/>
  <c r="QE2" i="12"/>
  <c r="GZ2" i="12"/>
  <c r="QI2" i="12"/>
  <c r="HF2" i="12"/>
  <c r="QM2" i="12"/>
  <c r="VF2" i="12"/>
  <c r="HM2" i="12"/>
  <c r="DZ33" i="2" l="1"/>
  <c r="EE33" i="2"/>
  <c r="EF32" i="2"/>
  <c r="M11" i="10"/>
  <c r="CN33" i="5"/>
  <c r="CO32" i="5"/>
  <c r="EA2" i="12"/>
  <c r="DL2" i="12"/>
  <c r="DK2" i="12"/>
  <c r="DH2" i="12"/>
  <c r="JO2" i="12"/>
  <c r="SJ2" i="12"/>
  <c r="EI2" i="12"/>
  <c r="DI2" i="12"/>
  <c r="DJ2" i="12"/>
  <c r="DY2" i="12"/>
  <c r="DX2" i="12"/>
  <c r="SZ2" i="12"/>
  <c r="DZ2" i="12"/>
  <c r="DB2" i="12"/>
  <c r="NN2" i="12"/>
  <c r="MH2" i="12"/>
  <c r="UA2" i="12"/>
  <c r="MQ2" i="12"/>
  <c r="NG2" i="12"/>
  <c r="MN2" i="12"/>
  <c r="LU2" i="12"/>
  <c r="KJ2" i="12"/>
  <c r="JD2" i="12"/>
  <c r="UG2" i="12"/>
  <c r="RG2" i="12"/>
  <c r="QK2" i="12"/>
  <c r="PS2" i="12"/>
  <c r="IO2" i="12"/>
  <c r="IP2" i="12"/>
  <c r="NT2" i="12"/>
  <c r="VA2" i="12"/>
  <c r="FQ2" i="12"/>
  <c r="RH2" i="12"/>
  <c r="RF2" i="12"/>
  <c r="RE2" i="12"/>
  <c r="IR2" i="12"/>
  <c r="IQ2" i="12"/>
  <c r="OZ2" i="12"/>
  <c r="UI2" i="12"/>
  <c r="NH2" i="12"/>
  <c r="HE2" i="12"/>
  <c r="SN2" i="12"/>
  <c r="JW2" i="12"/>
  <c r="SM2" i="12"/>
  <c r="OM2" i="12"/>
  <c r="JV2" i="12"/>
  <c r="FW2" i="12"/>
  <c r="LC2" i="12"/>
  <c r="TC2" i="12"/>
  <c r="PC2" i="12"/>
  <c r="KM2" i="12"/>
  <c r="IA2" i="12"/>
  <c r="ON2" i="12"/>
  <c r="GM2" i="12"/>
  <c r="SL2" i="12"/>
  <c r="NW2" i="12"/>
  <c r="JU2" i="12"/>
  <c r="PD2" i="12"/>
  <c r="SK2" i="12"/>
  <c r="NV2" i="12"/>
  <c r="JT2" i="12"/>
  <c r="ER2" i="12"/>
  <c r="TS2" i="12"/>
  <c r="IB2" i="12"/>
  <c r="EQ2" i="12"/>
  <c r="RX2" i="12"/>
  <c r="RQ2" i="12"/>
  <c r="UH2" i="12"/>
  <c r="NU2" i="12"/>
  <c r="QB2" i="12"/>
  <c r="TA2" i="12"/>
  <c r="PR2" i="12"/>
  <c r="PQ2" i="12"/>
  <c r="VB2" i="12"/>
  <c r="LT2" i="12"/>
  <c r="KL2" i="12"/>
  <c r="LV2" i="12"/>
  <c r="OY2" i="12"/>
  <c r="KN2" i="12"/>
  <c r="JX2" i="12"/>
  <c r="QC2" i="12"/>
  <c r="GN2" i="12"/>
  <c r="RP2" i="12"/>
  <c r="LD2" i="12"/>
  <c r="FH2" i="12"/>
  <c r="NP2" i="12"/>
  <c r="IJ2" i="12"/>
  <c r="FX2" i="12"/>
  <c r="UF2" i="12"/>
  <c r="PA2" i="12"/>
  <c r="HD2" i="12"/>
  <c r="HB2" i="12"/>
  <c r="LS2" i="12"/>
  <c r="GK2" i="12"/>
  <c r="LR2" i="12"/>
  <c r="GJ2" i="12"/>
  <c r="PP2" i="12"/>
  <c r="KK2" i="12"/>
  <c r="FN2" i="12"/>
  <c r="SO2" i="12"/>
  <c r="HC2" i="12"/>
  <c r="VJ2" i="12"/>
  <c r="AAN2" i="12"/>
  <c r="AFR2" i="12"/>
  <c r="AKV2" i="12"/>
  <c r="AEJ2" i="12"/>
  <c r="ZF2" i="12"/>
  <c r="AQU2" i="12"/>
  <c r="ASX2" i="12"/>
  <c r="AOR2" i="12"/>
  <c r="AVA2" i="12"/>
  <c r="AJN2" i="12"/>
  <c r="XY2" i="12"/>
  <c r="ADC2" i="12"/>
  <c r="ANK2" i="12"/>
  <c r="AIG2" i="12"/>
  <c r="WD2" i="12"/>
  <c r="ABH2" i="12"/>
  <c r="AGL2" i="12"/>
  <c r="ALP2" i="12"/>
  <c r="ASB2" i="12"/>
  <c r="AAM2" i="12"/>
  <c r="AUE2" i="12"/>
  <c r="APY2" i="12"/>
  <c r="AKU2" i="12"/>
  <c r="AWH2" i="12"/>
  <c r="AFQ2" i="12"/>
  <c r="ARL2" i="12"/>
  <c r="ZW2" i="12"/>
  <c r="ATO2" i="12"/>
  <c r="API2" i="12"/>
  <c r="AKE2" i="12"/>
  <c r="AVR2" i="12"/>
  <c r="AFA2" i="12"/>
  <c r="AQV2" i="12"/>
  <c r="ZG2" i="12"/>
  <c r="ASY2" i="12"/>
  <c r="AOS2" i="12"/>
  <c r="AVB2" i="12"/>
  <c r="AJO2" i="12"/>
  <c r="AEK2" i="12"/>
  <c r="AQF2" i="12"/>
  <c r="ADU2" i="12"/>
  <c r="YQ2" i="12"/>
  <c r="ASI2" i="12"/>
  <c r="AOC2" i="12"/>
  <c r="AUL2" i="12"/>
  <c r="AIY2" i="12"/>
  <c r="ADD2" i="12"/>
  <c r="XZ2" i="12"/>
  <c r="ANL2" i="12"/>
  <c r="AIH2" i="12"/>
  <c r="ACO2" i="12"/>
  <c r="XK2" i="12"/>
  <c r="AMW2" i="12"/>
  <c r="AHS2" i="12"/>
  <c r="AHC2" i="12"/>
  <c r="ABY2" i="12"/>
  <c r="AMG2" i="12"/>
  <c r="WU2" i="12"/>
  <c r="AGM2" i="12"/>
  <c r="WE2" i="12"/>
  <c r="ABI2" i="12"/>
  <c r="ALQ2" i="12"/>
  <c r="AFW2" i="12"/>
  <c r="AAS2" i="12"/>
  <c r="VO2" i="12"/>
  <c r="ALA2" i="12"/>
  <c r="AEZ2" i="12"/>
  <c r="ZV2" i="12"/>
  <c r="ARK2" i="12"/>
  <c r="ATN2" i="12"/>
  <c r="APH2" i="12"/>
  <c r="AKD2" i="12"/>
  <c r="AVQ2" i="12"/>
  <c r="ADT2" i="12"/>
  <c r="YP2" i="12"/>
  <c r="ASH2" i="12"/>
  <c r="AQE2" i="12"/>
  <c r="AOB2" i="12"/>
  <c r="AUK2" i="12"/>
  <c r="AIX2" i="12"/>
  <c r="XJ2" i="12"/>
  <c r="ACN2" i="12"/>
  <c r="AMV2" i="12"/>
  <c r="AHR2" i="12"/>
  <c r="WT2" i="12"/>
  <c r="ABX2" i="12"/>
  <c r="AMF2" i="12"/>
  <c r="AHB2" i="12"/>
  <c r="VN2" i="12"/>
  <c r="AAR2" i="12"/>
  <c r="AFV2" i="12"/>
  <c r="AKZ2" i="12"/>
  <c r="ZU2" i="12"/>
  <c r="ARJ2" i="12"/>
  <c r="ATM2" i="12"/>
  <c r="APG2" i="12"/>
  <c r="AKC2" i="12"/>
  <c r="AVP2" i="12"/>
  <c r="AEY2" i="12"/>
  <c r="ZE2" i="12"/>
  <c r="AQT2" i="12"/>
  <c r="ASW2" i="12"/>
  <c r="AOQ2" i="12"/>
  <c r="AUZ2" i="12"/>
  <c r="AJM2" i="12"/>
  <c r="AEI2" i="12"/>
  <c r="YO2" i="12"/>
  <c r="ASG2" i="12"/>
  <c r="AQD2" i="12"/>
  <c r="AOA2" i="12"/>
  <c r="AUJ2" i="12"/>
  <c r="AIW2" i="12"/>
  <c r="ADS2" i="12"/>
  <c r="ADA2" i="12"/>
  <c r="XW2" i="12"/>
  <c r="ANI2" i="12"/>
  <c r="AIE2" i="12"/>
  <c r="XI2" i="12"/>
  <c r="ACM2" i="12"/>
  <c r="AMU2" i="12"/>
  <c r="AHQ2" i="12"/>
  <c r="WS2" i="12"/>
  <c r="ABW2" i="12"/>
  <c r="AME2" i="12"/>
  <c r="AHA2" i="12"/>
  <c r="WC2" i="12"/>
  <c r="ABG2" i="12"/>
  <c r="ALO2" i="12"/>
  <c r="AGK2" i="12"/>
  <c r="VM2" i="12"/>
  <c r="AFU2" i="12"/>
  <c r="AAQ2" i="12"/>
  <c r="AKY2" i="12"/>
  <c r="AGW2" i="12"/>
  <c r="WO2" i="12"/>
  <c r="AMA2" i="12"/>
  <c r="ABS2" i="12"/>
  <c r="ARY2" i="12"/>
  <c r="AUB2" i="12"/>
  <c r="APV2" i="12"/>
  <c r="AKR2" i="12"/>
  <c r="AWE2" i="12"/>
  <c r="AFN2" i="12"/>
  <c r="AAJ2" i="12"/>
  <c r="ARI2" i="12"/>
  <c r="ATL2" i="12"/>
  <c r="APF2" i="12"/>
  <c r="AKB2" i="12"/>
  <c r="AVO2" i="12"/>
  <c r="AEX2" i="12"/>
  <c r="ZT2" i="12"/>
  <c r="ZD2" i="12"/>
  <c r="AQS2" i="12"/>
  <c r="ASV2" i="12"/>
  <c r="AOP2" i="12"/>
  <c r="AUY2" i="12"/>
  <c r="AJL2" i="12"/>
  <c r="AEH2" i="12"/>
  <c r="YN2" i="12"/>
  <c r="ASF2" i="12"/>
  <c r="AQC2" i="12"/>
  <c r="ANZ2" i="12"/>
  <c r="AUI2" i="12"/>
  <c r="AIV2" i="12"/>
  <c r="ADR2" i="12"/>
  <c r="XV2" i="12"/>
  <c r="ANH2" i="12"/>
  <c r="AID2" i="12"/>
  <c r="ACZ2" i="12"/>
  <c r="XH2" i="12"/>
  <c r="ACL2" i="12"/>
  <c r="AMT2" i="12"/>
  <c r="AHP2" i="12"/>
  <c r="WR2" i="12"/>
  <c r="ABV2" i="12"/>
  <c r="AMD2" i="12"/>
  <c r="AGZ2" i="12"/>
  <c r="WB2" i="12"/>
  <c r="ABF2" i="12"/>
  <c r="ALN2" i="12"/>
  <c r="AGJ2" i="12"/>
  <c r="VL2" i="12"/>
  <c r="AAP2" i="12"/>
  <c r="AKX2" i="12"/>
  <c r="AFT2" i="12"/>
  <c r="ARX2" i="12"/>
  <c r="AUA2" i="12"/>
  <c r="APU2" i="12"/>
  <c r="AKQ2" i="12"/>
  <c r="AWD2" i="12"/>
  <c r="AFM2" i="12"/>
  <c r="AAI2" i="12"/>
  <c r="AQR2" i="12"/>
  <c r="ASU2" i="12"/>
  <c r="AOO2" i="12"/>
  <c r="AUX2" i="12"/>
  <c r="AJK2" i="12"/>
  <c r="AEG2" i="12"/>
  <c r="ZC2" i="12"/>
  <c r="XU2" i="12"/>
  <c r="ANG2" i="12"/>
  <c r="AIC2" i="12"/>
  <c r="ACY2" i="12"/>
  <c r="WQ2" i="12"/>
  <c r="ABU2" i="12"/>
  <c r="AMC2" i="12"/>
  <c r="AGY2" i="12"/>
  <c r="WA2" i="12"/>
  <c r="ABE2" i="12"/>
  <c r="ALM2" i="12"/>
  <c r="AGI2" i="12"/>
  <c r="ATZ2" i="12"/>
  <c r="APT2" i="12"/>
  <c r="AKP2" i="12"/>
  <c r="AWC2" i="12"/>
  <c r="AFL2" i="12"/>
  <c r="AAH2" i="12"/>
  <c r="ARW2" i="12"/>
  <c r="XT2" i="12"/>
  <c r="ANF2" i="12"/>
  <c r="AIB2" i="12"/>
  <c r="ACX2" i="12"/>
  <c r="ABD2" i="12"/>
  <c r="VZ2" i="12"/>
  <c r="ALL2" i="12"/>
  <c r="AGH2" i="12"/>
  <c r="APB2" i="12"/>
  <c r="AVK2" i="12"/>
  <c r="AJX2" i="12"/>
  <c r="AET2" i="12"/>
  <c r="ZP2" i="12"/>
  <c r="ARE2" i="12"/>
  <c r="ATH2" i="12"/>
  <c r="APR2" i="12"/>
  <c r="AKN2" i="12"/>
  <c r="AWA2" i="12"/>
  <c r="AFJ2" i="12"/>
  <c r="AAF2" i="12"/>
  <c r="ARU2" i="12"/>
  <c r="ATX2" i="12"/>
  <c r="AOL2" i="12"/>
  <c r="AUU2" i="12"/>
  <c r="AJH2" i="12"/>
  <c r="AED2" i="12"/>
  <c r="YZ2" i="12"/>
  <c r="AQO2" i="12"/>
  <c r="ASR2" i="12"/>
  <c r="ANU2" i="12"/>
  <c r="AIQ2" i="12"/>
  <c r="ADM2" i="12"/>
  <c r="YI2" i="12"/>
  <c r="XS2" i="12"/>
  <c r="ANE2" i="12"/>
  <c r="AIA2" i="12"/>
  <c r="ACW2" i="12"/>
  <c r="AMP2" i="12"/>
  <c r="XD2" i="12"/>
  <c r="AHL2" i="12"/>
  <c r="ACH2" i="12"/>
  <c r="WN2" i="12"/>
  <c r="ALZ2" i="12"/>
  <c r="AGV2" i="12"/>
  <c r="ABR2" i="12"/>
  <c r="VX2" i="12"/>
  <c r="ALJ2" i="12"/>
  <c r="AGF2" i="12"/>
  <c r="ABB2" i="12"/>
  <c r="AKM2" i="12"/>
  <c r="AVZ2" i="12"/>
  <c r="AFI2" i="12"/>
  <c r="AAE2" i="12"/>
  <c r="ART2" i="12"/>
  <c r="ATW2" i="12"/>
  <c r="APQ2" i="12"/>
  <c r="XR2" i="12"/>
  <c r="AND2" i="12"/>
  <c r="AHZ2" i="12"/>
  <c r="ACV2" i="12"/>
  <c r="AKL2" i="12"/>
  <c r="AVY2" i="12"/>
  <c r="AFH2" i="12"/>
  <c r="AAD2" i="12"/>
  <c r="ARS2" i="12"/>
  <c r="ATV2" i="12"/>
  <c r="APP2" i="12"/>
  <c r="AVI2" i="12"/>
  <c r="AJV2" i="12"/>
  <c r="AER2" i="12"/>
  <c r="ZN2" i="12"/>
  <c r="ARC2" i="12"/>
  <c r="ATF2" i="12"/>
  <c r="AOZ2" i="12"/>
  <c r="AOJ2" i="12"/>
  <c r="AUS2" i="12"/>
  <c r="AJF2" i="12"/>
  <c r="AEB2" i="12"/>
  <c r="YX2" i="12"/>
  <c r="AQM2" i="12"/>
  <c r="ASP2" i="12"/>
  <c r="AMN2" i="12"/>
  <c r="XB2" i="12"/>
  <c r="AHJ2" i="12"/>
  <c r="ACF2" i="12"/>
  <c r="ALX2" i="12"/>
  <c r="AGT2" i="12"/>
  <c r="WL2" i="12"/>
  <c r="ABP2" i="12"/>
  <c r="VV2" i="12"/>
  <c r="ALH2" i="12"/>
  <c r="AGD2" i="12"/>
  <c r="AAZ2" i="12"/>
  <c r="AKK2" i="12"/>
  <c r="AVX2" i="12"/>
  <c r="AFG2" i="12"/>
  <c r="AAC2" i="12"/>
  <c r="ARR2" i="12"/>
  <c r="ATU2" i="12"/>
  <c r="APO2" i="12"/>
  <c r="AVH2" i="12"/>
  <c r="AJU2" i="12"/>
  <c r="AEQ2" i="12"/>
  <c r="ZM2" i="12"/>
  <c r="ARB2" i="12"/>
  <c r="ATE2" i="12"/>
  <c r="AOY2" i="12"/>
  <c r="AUR2" i="12"/>
  <c r="AJE2" i="12"/>
  <c r="AEA2" i="12"/>
  <c r="YW2" i="12"/>
  <c r="AQL2" i="12"/>
  <c r="ASO2" i="12"/>
  <c r="AOI2" i="12"/>
  <c r="ANC2" i="12"/>
  <c r="AHY2" i="12"/>
  <c r="ACU2" i="12"/>
  <c r="XQ2" i="12"/>
  <c r="AMM2" i="12"/>
  <c r="XA2" i="12"/>
  <c r="AHI2" i="12"/>
  <c r="ACE2" i="12"/>
  <c r="ALW2" i="12"/>
  <c r="AGS2" i="12"/>
  <c r="WK2" i="12"/>
  <c r="ABO2" i="12"/>
  <c r="VU2" i="12"/>
  <c r="ALG2" i="12"/>
  <c r="AGC2" i="12"/>
  <c r="AAY2" i="12"/>
  <c r="AFP2" i="12"/>
  <c r="AAL2" i="12"/>
  <c r="ASA2" i="12"/>
  <c r="AUD2" i="12"/>
  <c r="APX2" i="12"/>
  <c r="AKT2" i="12"/>
  <c r="AWG2" i="12"/>
  <c r="ARH2" i="12"/>
  <c r="ATK2" i="12"/>
  <c r="APE2" i="12"/>
  <c r="AKA2" i="12"/>
  <c r="AVN2" i="12"/>
  <c r="AEW2" i="12"/>
  <c r="ZS2" i="12"/>
  <c r="YM2" i="12"/>
  <c r="ASE2" i="12"/>
  <c r="AQB2" i="12"/>
  <c r="ANY2" i="12"/>
  <c r="AUH2" i="12"/>
  <c r="AIU2" i="12"/>
  <c r="ADQ2" i="12"/>
  <c r="XG2" i="12"/>
  <c r="AMS2" i="12"/>
  <c r="AHO2" i="12"/>
  <c r="ACK2" i="12"/>
  <c r="VK2" i="12"/>
  <c r="AAO2" i="12"/>
  <c r="AKW2" i="12"/>
  <c r="AFS2" i="12"/>
  <c r="ASD2" i="12"/>
  <c r="AQA2" i="12"/>
  <c r="ANX2" i="12"/>
  <c r="AUG2" i="12"/>
  <c r="AIT2" i="12"/>
  <c r="ADP2" i="12"/>
  <c r="YL2" i="12"/>
  <c r="AMR2" i="12"/>
  <c r="XF2" i="12"/>
  <c r="AHN2" i="12"/>
  <c r="ACJ2" i="12"/>
  <c r="VW2" i="12"/>
  <c r="ALI2" i="12"/>
  <c r="AGE2" i="12"/>
  <c r="ABA2" i="12"/>
  <c r="APN2" i="12"/>
  <c r="AKJ2" i="12"/>
  <c r="AVW2" i="12"/>
  <c r="AFF2" i="12"/>
  <c r="AAB2" i="12"/>
  <c r="ARQ2" i="12"/>
  <c r="ATT2" i="12"/>
  <c r="AOX2" i="12"/>
  <c r="AVG2" i="12"/>
  <c r="AJT2" i="12"/>
  <c r="AEP2" i="12"/>
  <c r="ZL2" i="12"/>
  <c r="ARA2" i="12"/>
  <c r="ATD2" i="12"/>
  <c r="AOH2" i="12"/>
  <c r="AUQ2" i="12"/>
  <c r="AJD2" i="12"/>
  <c r="ADZ2" i="12"/>
  <c r="YV2" i="12"/>
  <c r="AQK2" i="12"/>
  <c r="ASN2" i="12"/>
  <c r="ANS2" i="12"/>
  <c r="AIO2" i="12"/>
  <c r="ADK2" i="12"/>
  <c r="YG2" i="12"/>
  <c r="ANB2" i="12"/>
  <c r="AHX2" i="12"/>
  <c r="ACT2" i="12"/>
  <c r="XP2" i="12"/>
  <c r="AML2" i="12"/>
  <c r="WZ2" i="12"/>
  <c r="AHH2" i="12"/>
  <c r="ACD2" i="12"/>
  <c r="ALV2" i="12"/>
  <c r="AGR2" i="12"/>
  <c r="WJ2" i="12"/>
  <c r="ABN2" i="12"/>
  <c r="VT2" i="12"/>
  <c r="ALF2" i="12"/>
  <c r="AGB2" i="12"/>
  <c r="AAX2" i="12"/>
  <c r="AAA2" i="12"/>
  <c r="AFE2" i="12"/>
  <c r="ARP2" i="12"/>
  <c r="ATS2" i="12"/>
  <c r="APM2" i="12"/>
  <c r="AKI2" i="12"/>
  <c r="AVV2" i="12"/>
  <c r="ZK2" i="12"/>
  <c r="AJS2" i="12"/>
  <c r="AEO2" i="12"/>
  <c r="AQZ2" i="12"/>
  <c r="ATC2" i="12"/>
  <c r="AOW2" i="12"/>
  <c r="AVF2" i="12"/>
  <c r="YU2" i="12"/>
  <c r="AJC2" i="12"/>
  <c r="ADY2" i="12"/>
  <c r="AQJ2" i="12"/>
  <c r="ASM2" i="12"/>
  <c r="AOG2" i="12"/>
  <c r="AUP2" i="12"/>
  <c r="YF2" i="12"/>
  <c r="AIN2" i="12"/>
  <c r="ADJ2" i="12"/>
  <c r="ANR2" i="12"/>
  <c r="ANA2" i="12"/>
  <c r="AHW2" i="12"/>
  <c r="ACS2" i="12"/>
  <c r="XO2" i="12"/>
  <c r="AMK2" i="12"/>
  <c r="WY2" i="12"/>
  <c r="AHG2" i="12"/>
  <c r="ACC2" i="12"/>
  <c r="ALU2" i="12"/>
  <c r="AGQ2" i="12"/>
  <c r="WI2" i="12"/>
  <c r="ABM2" i="12"/>
  <c r="VS2" i="12"/>
  <c r="ALE2" i="12"/>
  <c r="AGA2" i="12"/>
  <c r="AAW2" i="12"/>
  <c r="AKO2" i="12"/>
  <c r="ATY2" i="12"/>
  <c r="APS2" i="12"/>
  <c r="AWB2" i="12"/>
  <c r="AFK2" i="12"/>
  <c r="AAG2" i="12"/>
  <c r="ARV2" i="12"/>
  <c r="AJY2" i="12"/>
  <c r="ATI2" i="12"/>
  <c r="APC2" i="12"/>
  <c r="AVL2" i="12"/>
  <c r="AEU2" i="12"/>
  <c r="ZQ2" i="12"/>
  <c r="ARF2" i="12"/>
  <c r="AJI2" i="12"/>
  <c r="AQP2" i="12"/>
  <c r="ASS2" i="12"/>
  <c r="AOM2" i="12"/>
  <c r="AUV2" i="12"/>
  <c r="AEE2" i="12"/>
  <c r="ZA2" i="12"/>
  <c r="AIS2" i="12"/>
  <c r="ASC2" i="12"/>
  <c r="APZ2" i="12"/>
  <c r="ANW2" i="12"/>
  <c r="AUF2" i="12"/>
  <c r="ADO2" i="12"/>
  <c r="YK2" i="12"/>
  <c r="AHM2" i="12"/>
  <c r="AMQ2" i="12"/>
  <c r="XE2" i="12"/>
  <c r="ACI2" i="12"/>
  <c r="AGG2" i="12"/>
  <c r="VY2" i="12"/>
  <c r="ALK2" i="12"/>
  <c r="ABC2" i="12"/>
  <c r="AFD2" i="12"/>
  <c r="ZZ2" i="12"/>
  <c r="ARO2" i="12"/>
  <c r="ATR2" i="12"/>
  <c r="APL2" i="12"/>
  <c r="AKH2" i="12"/>
  <c r="AVU2" i="12"/>
  <c r="AEN2" i="12"/>
  <c r="ZJ2" i="12"/>
  <c r="AQY2" i="12"/>
  <c r="ATB2" i="12"/>
  <c r="AOV2" i="12"/>
  <c r="AVE2" i="12"/>
  <c r="AJR2" i="12"/>
  <c r="AJB2" i="12"/>
  <c r="ADX2" i="12"/>
  <c r="YT2" i="12"/>
  <c r="AQI2" i="12"/>
  <c r="ASL2" i="12"/>
  <c r="AOF2" i="12"/>
  <c r="AUO2" i="12"/>
  <c r="AIM2" i="12"/>
  <c r="ADI2" i="12"/>
  <c r="YE2" i="12"/>
  <c r="ANQ2" i="12"/>
  <c r="AHV2" i="12"/>
  <c r="ACR2" i="12"/>
  <c r="XN2" i="12"/>
  <c r="AMZ2" i="12"/>
  <c r="AMJ2" i="12"/>
  <c r="WX2" i="12"/>
  <c r="AHF2" i="12"/>
  <c r="ACB2" i="12"/>
  <c r="ALT2" i="12"/>
  <c r="AGP2" i="12"/>
  <c r="WH2" i="12"/>
  <c r="ABL2" i="12"/>
  <c r="ALD2" i="12"/>
  <c r="AFZ2" i="12"/>
  <c r="AAV2" i="12"/>
  <c r="VR2" i="12"/>
  <c r="ARZ2" i="12"/>
  <c r="AUC2" i="12"/>
  <c r="APW2" i="12"/>
  <c r="AKS2" i="12"/>
  <c r="AWF2" i="12"/>
  <c r="AFO2" i="12"/>
  <c r="AAK2" i="12"/>
  <c r="ARG2" i="12"/>
  <c r="ATJ2" i="12"/>
  <c r="APD2" i="12"/>
  <c r="AJZ2" i="12"/>
  <c r="AVM2" i="12"/>
  <c r="AEV2" i="12"/>
  <c r="ZR2" i="12"/>
  <c r="AQQ2" i="12"/>
  <c r="AST2" i="12"/>
  <c r="AON2" i="12"/>
  <c r="AUW2" i="12"/>
  <c r="AJJ2" i="12"/>
  <c r="AEF2" i="12"/>
  <c r="ZB2" i="12"/>
  <c r="AMB2" i="12"/>
  <c r="AGX2" i="12"/>
  <c r="WP2" i="12"/>
  <c r="ABT2" i="12"/>
  <c r="AOK2" i="12"/>
  <c r="AUT2" i="12"/>
  <c r="AJG2" i="12"/>
  <c r="AEC2" i="12"/>
  <c r="YY2" i="12"/>
  <c r="AQN2" i="12"/>
  <c r="ASQ2" i="12"/>
  <c r="AMO2" i="12"/>
  <c r="XC2" i="12"/>
  <c r="AHK2" i="12"/>
  <c r="ACG2" i="12"/>
  <c r="AFC2" i="12"/>
  <c r="ZY2" i="12"/>
  <c r="ARN2" i="12"/>
  <c r="ATQ2" i="12"/>
  <c r="APK2" i="12"/>
  <c r="AKG2" i="12"/>
  <c r="AVT2" i="12"/>
  <c r="AEM2" i="12"/>
  <c r="ZI2" i="12"/>
  <c r="AQX2" i="12"/>
  <c r="ATA2" i="12"/>
  <c r="AOU2" i="12"/>
  <c r="AVD2" i="12"/>
  <c r="AJQ2" i="12"/>
  <c r="ADW2" i="12"/>
  <c r="YS2" i="12"/>
  <c r="AQH2" i="12"/>
  <c r="ASK2" i="12"/>
  <c r="AOE2" i="12"/>
  <c r="AUN2" i="12"/>
  <c r="AJA2" i="12"/>
  <c r="AIL2" i="12"/>
  <c r="ADH2" i="12"/>
  <c r="YD2" i="12"/>
  <c r="ANP2" i="12"/>
  <c r="XM2" i="12"/>
  <c r="AHU2" i="12"/>
  <c r="ACQ2" i="12"/>
  <c r="AMY2" i="12"/>
  <c r="WW2" i="12"/>
  <c r="AHE2" i="12"/>
  <c r="ACA2" i="12"/>
  <c r="AMI2" i="12"/>
  <c r="ALS2" i="12"/>
  <c r="AGO2" i="12"/>
  <c r="WG2" i="12"/>
  <c r="ABK2" i="12"/>
  <c r="ALC2" i="12"/>
  <c r="AFY2" i="12"/>
  <c r="AAU2" i="12"/>
  <c r="VQ2" i="12"/>
  <c r="APA2" i="12"/>
  <c r="AVJ2" i="12"/>
  <c r="AJW2" i="12"/>
  <c r="AES2" i="12"/>
  <c r="ZO2" i="12"/>
  <c r="ARD2" i="12"/>
  <c r="ATG2" i="12"/>
  <c r="ALY2" i="12"/>
  <c r="AGU2" i="12"/>
  <c r="WM2" i="12"/>
  <c r="ABQ2" i="12"/>
  <c r="ZX2" i="12"/>
  <c r="ARM2" i="12"/>
  <c r="ATP2" i="12"/>
  <c r="APJ2" i="12"/>
  <c r="AKF2" i="12"/>
  <c r="AVS2" i="12"/>
  <c r="AFB2" i="12"/>
  <c r="AEL2" i="12"/>
  <c r="ZH2" i="12"/>
  <c r="AQW2" i="12"/>
  <c r="ASZ2" i="12"/>
  <c r="AOT2" i="12"/>
  <c r="AVC2" i="12"/>
  <c r="AJP2" i="12"/>
  <c r="ADV2" i="12"/>
  <c r="YR2" i="12"/>
  <c r="AQG2" i="12"/>
  <c r="ASJ2" i="12"/>
  <c r="AOD2" i="12"/>
  <c r="AUM2" i="12"/>
  <c r="AIZ2" i="12"/>
  <c r="ADF2" i="12"/>
  <c r="YB2" i="12"/>
  <c r="ANN2" i="12"/>
  <c r="AIJ2" i="12"/>
  <c r="XL2" i="12"/>
  <c r="AHT2" i="12"/>
  <c r="ACP2" i="12"/>
  <c r="AMX2" i="12"/>
  <c r="AHD2" i="12"/>
  <c r="ABZ2" i="12"/>
  <c r="AMH2" i="12"/>
  <c r="WV2" i="12"/>
  <c r="AGN2" i="12"/>
  <c r="WF2" i="12"/>
  <c r="ABJ2" i="12"/>
  <c r="ALR2" i="12"/>
  <c r="ALB2" i="12"/>
  <c r="AFX2" i="12"/>
  <c r="AAT2" i="12"/>
  <c r="VP2" i="12"/>
  <c r="FF2" i="12"/>
  <c r="RD2" i="12"/>
  <c r="IN2" i="12"/>
  <c r="FE2" i="12"/>
  <c r="QL2" i="12"/>
  <c r="PB2" i="12"/>
  <c r="GL2" i="12"/>
  <c r="FD2" i="12"/>
  <c r="NE2" i="12"/>
  <c r="EO2" i="12"/>
  <c r="UZ2" i="12"/>
  <c r="TF2" i="12"/>
  <c r="ND2" i="12"/>
  <c r="UY2" i="12"/>
  <c r="RV2" i="12"/>
  <c r="OL2" i="12"/>
  <c r="LB2" i="12"/>
  <c r="JH2" i="12"/>
  <c r="HZ2" i="12"/>
  <c r="FU2" i="12"/>
  <c r="QH2" i="12"/>
  <c r="QF2" i="12"/>
  <c r="FV2" i="12"/>
  <c r="UX2" i="12"/>
  <c r="TD2" i="12"/>
  <c r="LA2" i="12"/>
  <c r="HY2" i="12"/>
  <c r="FT2" i="12"/>
  <c r="TP2" i="12"/>
  <c r="UJ2" i="12"/>
  <c r="JF2" i="12"/>
  <c r="QJ2" i="12"/>
  <c r="KY2" i="12"/>
  <c r="GY2" i="12"/>
  <c r="NR2" i="12"/>
  <c r="NA2" i="12"/>
  <c r="UV2" i="12"/>
  <c r="VH2" i="12"/>
  <c r="QR2" i="12"/>
  <c r="KV2" i="12"/>
  <c r="GF2" i="12"/>
  <c r="OV2" i="12"/>
  <c r="TL2" i="12"/>
  <c r="JP2" i="12"/>
  <c r="EZ2" i="12"/>
  <c r="SV2" i="12"/>
  <c r="IZ2" i="12"/>
  <c r="SF2" i="12"/>
  <c r="DD2" i="12"/>
  <c r="QQ2" i="12"/>
  <c r="VG2" i="12"/>
  <c r="OU2" i="12"/>
  <c r="TK2" i="12"/>
  <c r="KE2" i="12"/>
  <c r="RO2" i="12"/>
  <c r="MY2" i="12"/>
  <c r="II2" i="12"/>
  <c r="FS2" i="12"/>
  <c r="NS2" i="12"/>
  <c r="SI2" i="12"/>
  <c r="PN2" i="12"/>
  <c r="UD2" i="12"/>
  <c r="KX2" i="12"/>
  <c r="NB2" i="12"/>
  <c r="RR2" i="12"/>
  <c r="GX2" i="12"/>
  <c r="QD2" i="12"/>
  <c r="OW2" i="12"/>
  <c r="TM2" i="12"/>
  <c r="UT2" i="12"/>
  <c r="RB2" i="12"/>
  <c r="JC2" i="12"/>
  <c r="EH2" i="12"/>
  <c r="IX2" i="12"/>
  <c r="SD2" i="12"/>
  <c r="MX2" i="12"/>
  <c r="RN2" i="12"/>
  <c r="US2" i="12"/>
  <c r="QZ2" i="12"/>
  <c r="KG2" i="12"/>
  <c r="HT2" i="12"/>
  <c r="DU2" i="12"/>
  <c r="PL2" i="12"/>
  <c r="SB2" i="12"/>
  <c r="RL2" i="12"/>
  <c r="DP2" i="12"/>
  <c r="VE2" i="12"/>
  <c r="LY2" i="12"/>
  <c r="TW2" i="12"/>
  <c r="TG2" i="12"/>
  <c r="DR2" i="12"/>
  <c r="FC2" i="12"/>
  <c r="DW2" i="12"/>
  <c r="FR2" i="12"/>
  <c r="OX2" i="12"/>
  <c r="TN2" i="12"/>
  <c r="FB2" i="12"/>
  <c r="JR2" i="12"/>
  <c r="MC2" i="12"/>
  <c r="QS2" i="12"/>
  <c r="VI2" i="12"/>
  <c r="UC2" i="12"/>
  <c r="KW2" i="12"/>
  <c r="JQ2" i="12"/>
  <c r="FA2" i="12"/>
  <c r="SW2" i="12"/>
  <c r="HU2" i="12"/>
  <c r="DE2" i="12"/>
  <c r="RA2" i="12"/>
  <c r="GW2" i="12"/>
  <c r="OI2" i="12"/>
  <c r="KU2" i="12"/>
  <c r="EY2" i="12"/>
  <c r="SU2" i="12"/>
  <c r="OE2" i="12"/>
  <c r="DC2" i="12"/>
  <c r="MI2" i="12"/>
  <c r="SH2" i="12"/>
  <c r="GH2" i="12"/>
  <c r="DV2" i="12"/>
  <c r="EX2" i="12"/>
  <c r="ST2" i="12"/>
  <c r="QX2" i="12"/>
  <c r="PM2" i="12"/>
  <c r="LO2" i="12"/>
  <c r="GG2" i="12"/>
  <c r="OF2" i="12"/>
  <c r="KF2" i="12"/>
  <c r="DT2" i="12"/>
  <c r="OD2" i="12"/>
  <c r="KD2" i="12"/>
  <c r="GD2" i="12"/>
  <c r="DS2" i="12"/>
  <c r="SA2" i="12"/>
  <c r="HL2" i="12"/>
  <c r="PO2" i="12"/>
  <c r="UE2" i="12"/>
  <c r="DG2" i="12"/>
  <c r="HW2" i="12"/>
  <c r="HV2" i="12"/>
  <c r="DF2" i="12"/>
  <c r="NQ2" i="12"/>
  <c r="JA2" i="12"/>
  <c r="EK2" i="12"/>
  <c r="UU2" i="12"/>
  <c r="RC2" i="12"/>
  <c r="GV2" i="12"/>
  <c r="UR2" i="12"/>
  <c r="SE2" i="12"/>
  <c r="IY2" i="12"/>
  <c r="TO2" i="12"/>
  <c r="OH2" i="12"/>
  <c r="KH2" i="12"/>
  <c r="SG2" i="12"/>
  <c r="OG2" i="12"/>
  <c r="NC2" i="12"/>
  <c r="JB2" i="12"/>
  <c r="UQ2" i="12"/>
  <c r="QY2" i="12"/>
  <c r="LN2" i="12"/>
  <c r="GE2" i="12"/>
  <c r="TX2" i="12"/>
  <c r="CZ2" i="12"/>
  <c r="QV2" i="12"/>
  <c r="RS2" i="12"/>
  <c r="ML2" i="12"/>
  <c r="IM2" i="12"/>
  <c r="EM2" i="12"/>
  <c r="RJ2" i="12"/>
  <c r="LJ2" i="12"/>
  <c r="GT2" i="12"/>
  <c r="PZ2" i="12"/>
  <c r="UP2" i="12"/>
  <c r="RM2" i="12"/>
  <c r="IG2" i="12"/>
  <c r="OR2" i="12"/>
  <c r="KB2" i="12"/>
  <c r="FL2" i="12"/>
  <c r="MU2" i="12"/>
  <c r="IE2" i="12"/>
  <c r="DO2" i="12"/>
  <c r="NZ2" i="12"/>
  <c r="JJ2" i="12"/>
  <c r="ET2" i="12"/>
  <c r="HG2" i="12"/>
  <c r="DM2" i="12"/>
  <c r="UM2" i="12"/>
  <c r="VC2" i="12"/>
  <c r="KS2" i="12"/>
  <c r="PI2" i="12"/>
  <c r="GC2" i="12"/>
  <c r="TY2" i="12"/>
  <c r="MW2" i="12"/>
  <c r="OQ2" i="12"/>
  <c r="KA2" i="12"/>
  <c r="FK2" i="12"/>
  <c r="GQ2" i="12"/>
  <c r="PW2" i="12"/>
  <c r="NJ2" i="12"/>
  <c r="IT2" i="12"/>
  <c r="ED2" i="12"/>
  <c r="FI2" i="12"/>
  <c r="CX2" i="12"/>
  <c r="QT2" i="12"/>
  <c r="HN2" i="12"/>
  <c r="VD2" i="12"/>
  <c r="OC2" i="12"/>
  <c r="SS2" i="12"/>
  <c r="EW2" i="12"/>
  <c r="QW2" i="12"/>
  <c r="HQ2" i="12"/>
  <c r="LI2" i="12"/>
  <c r="PY2" i="12"/>
  <c r="NL2" i="12"/>
  <c r="EF2" i="12"/>
  <c r="LH2" i="12"/>
  <c r="GR2" i="12"/>
  <c r="PX2" i="12"/>
  <c r="OA2" i="12"/>
  <c r="JK2" i="12"/>
  <c r="EU2" i="12"/>
  <c r="KP2" i="12"/>
  <c r="PF2" i="12"/>
  <c r="FZ2" i="12"/>
  <c r="MT2" i="12"/>
  <c r="ID2" i="12"/>
  <c r="DN2" i="12"/>
  <c r="IV2" i="12"/>
  <c r="FY2" i="12"/>
  <c r="PE2" i="12"/>
  <c r="OS2" i="12"/>
  <c r="KC2" i="12"/>
  <c r="FM2" i="12"/>
  <c r="TI2" i="12"/>
  <c r="IW2" i="12"/>
  <c r="SC2" i="12"/>
  <c r="EG2" i="12"/>
  <c r="NM2" i="12"/>
  <c r="KR2" i="12"/>
  <c r="PH2" i="12"/>
  <c r="GB2" i="12"/>
  <c r="IF2" i="12"/>
  <c r="MV2" i="12"/>
  <c r="KQ2" i="12"/>
  <c r="PG2" i="12"/>
  <c r="GA2" i="12"/>
  <c r="HO2" i="12"/>
  <c r="ME2" i="12"/>
  <c r="QU2" i="12"/>
  <c r="CY2" i="12"/>
  <c r="OP2" i="12"/>
  <c r="JZ2" i="12"/>
  <c r="FJ2" i="12"/>
  <c r="ES2" i="12"/>
  <c r="OB2" i="12"/>
  <c r="JL2" i="12"/>
  <c r="EV2" i="12"/>
  <c r="HP2" i="12"/>
  <c r="HI2" i="12"/>
  <c r="QO2" i="12"/>
  <c r="NK2" i="12"/>
  <c r="IU2" i="12"/>
  <c r="EE2" i="12"/>
  <c r="QN2" i="12"/>
  <c r="LX2" i="12"/>
  <c r="HH2" i="12"/>
  <c r="UN2" i="12"/>
  <c r="GO2" i="12"/>
  <c r="PU2" i="12"/>
  <c r="EC2" i="12"/>
  <c r="TU2" i="12"/>
  <c r="MG2" i="12"/>
  <c r="JS2" i="12"/>
  <c r="MB2" i="12"/>
  <c r="MM2" i="12"/>
  <c r="LP2" i="12"/>
  <c r="GI2" i="12"/>
  <c r="MA2" i="12"/>
  <c r="HK2" i="12"/>
  <c r="LL2" i="12"/>
  <c r="LZ2" i="12"/>
  <c r="HJ2" i="12"/>
  <c r="QP2" i="12"/>
  <c r="LK2" i="12"/>
  <c r="GU2" i="12"/>
  <c r="QA2" i="12"/>
  <c r="KT2" i="12"/>
  <c r="PJ2" i="12"/>
  <c r="OT2" i="12"/>
  <c r="OO2" i="12"/>
  <c r="NY2" i="12"/>
  <c r="NI2" i="12"/>
  <c r="MS2" i="12"/>
  <c r="LW2" i="12"/>
  <c r="LE2" i="12"/>
  <c r="KO2" i="12"/>
  <c r="JY2" i="12"/>
  <c r="JI2" i="12"/>
  <c r="IS2" i="12"/>
  <c r="IC2" i="12"/>
  <c r="MD2" i="12"/>
  <c r="DJ32" i="2"/>
  <c r="DJ33" i="2" s="1"/>
  <c r="DV40" i="2" s="1"/>
  <c r="EA40" i="2" s="1"/>
  <c r="GS2" i="12" l="1"/>
  <c r="DO34" i="2"/>
  <c r="DL34" i="2"/>
  <c r="B3" i="6"/>
  <c r="DN34" i="2" l="1"/>
  <c r="DK34" i="2"/>
  <c r="DM34" i="2"/>
  <c r="CB2" i="12" l="1"/>
  <c r="BS2" i="12" l="1"/>
  <c r="EE34" i="2"/>
  <c r="DP2" i="2"/>
  <c r="K3" i="6" s="1"/>
  <c r="DP32" i="2" l="1"/>
  <c r="DP33" i="2" s="1"/>
  <c r="BY32" i="5"/>
  <c r="CK32" i="5"/>
  <c r="DQ2" i="2"/>
  <c r="BQ2" i="12"/>
  <c r="A2" i="2"/>
  <c r="B2" i="2"/>
  <c r="K11" i="10" l="1"/>
  <c r="L11" i="10"/>
  <c r="CL32" i="5"/>
  <c r="CK33" i="5"/>
  <c r="BY33" i="5"/>
  <c r="BZ32" i="5"/>
  <c r="DQ32" i="2"/>
  <c r="AE2" i="5" l="1"/>
  <c r="AE32" i="5" s="1"/>
  <c r="AE33" i="5" s="1"/>
  <c r="AF2" i="5"/>
  <c r="AF32" i="5" s="1"/>
  <c r="AF33" i="5" s="1"/>
  <c r="AG2" i="5"/>
  <c r="AG32" i="5" s="1"/>
  <c r="AG33" i="5" s="1"/>
  <c r="AH2" i="5"/>
  <c r="AH32" i="5" s="1"/>
  <c r="AH33" i="5" s="1"/>
  <c r="AI2" i="5"/>
  <c r="AI32" i="5" s="1"/>
  <c r="AI33" i="5" s="1"/>
  <c r="AJ2" i="5"/>
  <c r="AJ32" i="5" s="1"/>
  <c r="AJ33" i="5" s="1"/>
  <c r="AK2" i="5"/>
  <c r="AK32" i="5" s="1"/>
  <c r="AK33" i="5" s="1"/>
  <c r="AL2" i="5"/>
  <c r="AL32" i="5" s="1"/>
  <c r="AL33" i="5" s="1"/>
  <c r="AM2" i="5"/>
  <c r="AM32" i="5" s="1"/>
  <c r="AM33" i="5" s="1"/>
  <c r="AN2" i="5"/>
  <c r="AN32" i="5" s="1"/>
  <c r="AN33" i="5" s="1"/>
  <c r="AO2" i="5"/>
  <c r="AO32" i="5" s="1"/>
  <c r="AO33" i="5" s="1"/>
  <c r="AP2" i="5"/>
  <c r="AP32" i="5" s="1"/>
  <c r="AP33" i="5" s="1"/>
  <c r="AQ2" i="5"/>
  <c r="AQ32" i="5" s="1"/>
  <c r="AQ33" i="5" s="1"/>
  <c r="AR2" i="5"/>
  <c r="AR32" i="5" s="1"/>
  <c r="AR33" i="5" s="1"/>
  <c r="AS2" i="5"/>
  <c r="AS32" i="5" s="1"/>
  <c r="AS33" i="5" s="1"/>
  <c r="AT2" i="5"/>
  <c r="AT32" i="5" s="1"/>
  <c r="AT33" i="5" s="1"/>
  <c r="AU2" i="5"/>
  <c r="AU32" i="5" s="1"/>
  <c r="AU33" i="5" s="1"/>
  <c r="AV2" i="5"/>
  <c r="AV32" i="5" s="1"/>
  <c r="AV33" i="5" s="1"/>
  <c r="AW2" i="5"/>
  <c r="AW32" i="5" s="1"/>
  <c r="AW33" i="5" s="1"/>
  <c r="AX2" i="5"/>
  <c r="AX32" i="5" s="1"/>
  <c r="AX33" i="5" s="1"/>
  <c r="AY2" i="5"/>
  <c r="AY32" i="5" s="1"/>
  <c r="AY33" i="5" s="1"/>
  <c r="AZ2" i="5"/>
  <c r="AZ32" i="5" s="1"/>
  <c r="AZ33" i="5" s="1"/>
  <c r="BA2" i="5"/>
  <c r="BA32" i="5" s="1"/>
  <c r="BA33" i="5" s="1"/>
  <c r="BB2" i="5"/>
  <c r="BB32" i="5" s="1"/>
  <c r="BB33" i="5" s="1"/>
  <c r="AD2" i="5"/>
  <c r="AD32" i="5" s="1"/>
  <c r="AD33" i="5" s="1"/>
  <c r="AE1" i="5"/>
  <c r="AF1" i="5"/>
  <c r="AG1" i="5"/>
  <c r="AH1" i="5"/>
  <c r="AI1" i="5"/>
  <c r="AJ1" i="5"/>
  <c r="AK1" i="5"/>
  <c r="AL1" i="5"/>
  <c r="AM1" i="5"/>
  <c r="AN1" i="5"/>
  <c r="AO1" i="5"/>
  <c r="AP1" i="5"/>
  <c r="AQ1" i="5"/>
  <c r="AR1" i="5"/>
  <c r="AS1" i="5"/>
  <c r="AT1" i="5"/>
  <c r="AU1" i="5"/>
  <c r="AV1" i="5"/>
  <c r="AW1" i="5"/>
  <c r="AX1" i="5"/>
  <c r="AY1" i="5"/>
  <c r="AZ1" i="5"/>
  <c r="BA1" i="5"/>
  <c r="BB1" i="5"/>
  <c r="AD1" i="5"/>
  <c r="D1" i="5"/>
  <c r="E1" i="5"/>
  <c r="F1" i="5"/>
  <c r="G1" i="5"/>
  <c r="H1" i="5"/>
  <c r="I1" i="5"/>
  <c r="J1" i="5"/>
  <c r="K1" i="5"/>
  <c r="L1" i="5"/>
  <c r="M1" i="5"/>
  <c r="N1" i="5"/>
  <c r="O1" i="5"/>
  <c r="P1" i="5"/>
  <c r="Q1" i="5"/>
  <c r="R1" i="5"/>
  <c r="S1" i="5"/>
  <c r="T1" i="5"/>
  <c r="U1" i="5"/>
  <c r="V1" i="5"/>
  <c r="W1" i="5"/>
  <c r="X1" i="5"/>
  <c r="Y1" i="5"/>
  <c r="Z1" i="5"/>
  <c r="AA1" i="5"/>
  <c r="C1" i="5"/>
  <c r="D2" i="5"/>
  <c r="D32" i="5" s="1"/>
  <c r="D33" i="5" s="1"/>
  <c r="E2" i="5"/>
  <c r="E32" i="5" s="1"/>
  <c r="E33" i="5" s="1"/>
  <c r="AB39" i="5" s="1"/>
  <c r="F2" i="5"/>
  <c r="F32" i="5" s="1"/>
  <c r="F33" i="5" s="1"/>
  <c r="G2" i="5"/>
  <c r="G32" i="5" s="1"/>
  <c r="G33" i="5" s="1"/>
  <c r="H2" i="5"/>
  <c r="H32" i="5" s="1"/>
  <c r="H33" i="5" s="1"/>
  <c r="I2" i="5"/>
  <c r="I32" i="5" s="1"/>
  <c r="I33" i="5" s="1"/>
  <c r="J2" i="5"/>
  <c r="J32" i="5" s="1"/>
  <c r="J33" i="5" s="1"/>
  <c r="K2" i="5"/>
  <c r="K32" i="5" s="1"/>
  <c r="K33" i="5" s="1"/>
  <c r="L2" i="5"/>
  <c r="L32" i="5" s="1"/>
  <c r="L33" i="5" s="1"/>
  <c r="M2" i="5"/>
  <c r="M32" i="5" s="1"/>
  <c r="M33" i="5" s="1"/>
  <c r="N2" i="5"/>
  <c r="N32" i="5" s="1"/>
  <c r="N33" i="5" s="1"/>
  <c r="O2" i="5"/>
  <c r="O32" i="5" s="1"/>
  <c r="O33" i="5" s="1"/>
  <c r="P2" i="5"/>
  <c r="P32" i="5" s="1"/>
  <c r="P33" i="5" s="1"/>
  <c r="Q2" i="5"/>
  <c r="Q32" i="5" s="1"/>
  <c r="Q33" i="5" s="1"/>
  <c r="R2" i="5"/>
  <c r="R32" i="5" s="1"/>
  <c r="R33" i="5" s="1"/>
  <c r="S2" i="5"/>
  <c r="S32" i="5" s="1"/>
  <c r="S33" i="5" s="1"/>
  <c r="T2" i="5"/>
  <c r="T32" i="5" s="1"/>
  <c r="T33" i="5" s="1"/>
  <c r="U2" i="5"/>
  <c r="U32" i="5" s="1"/>
  <c r="U33" i="5" s="1"/>
  <c r="V2" i="5"/>
  <c r="V32" i="5" s="1"/>
  <c r="V33" i="5" s="1"/>
  <c r="W2" i="5"/>
  <c r="W32" i="5" s="1"/>
  <c r="W33" i="5" s="1"/>
  <c r="X2" i="5"/>
  <c r="X32" i="5" s="1"/>
  <c r="X33" i="5" s="1"/>
  <c r="Y2" i="5"/>
  <c r="Y32" i="5" s="1"/>
  <c r="Y33" i="5" s="1"/>
  <c r="Z2" i="5"/>
  <c r="Z32" i="5" s="1"/>
  <c r="Z33" i="5" s="1"/>
  <c r="AA2" i="5"/>
  <c r="AA32" i="5" s="1"/>
  <c r="AA33" i="5" s="1"/>
  <c r="C2" i="5"/>
  <c r="C32" i="5" s="1"/>
  <c r="C33" i="5" s="1"/>
  <c r="AB41" i="5" l="1"/>
  <c r="AB38" i="5"/>
  <c r="AB40" i="5"/>
  <c r="AB37" i="5"/>
  <c r="BC37" i="5"/>
  <c r="BC39" i="5"/>
  <c r="AC39" i="2" s="1"/>
  <c r="AB42" i="5"/>
  <c r="BC38" i="5"/>
  <c r="AC38" i="2" s="1"/>
  <c r="BV2" i="2"/>
  <c r="BV32" i="2" s="1"/>
  <c r="BV33" i="2" s="1"/>
  <c r="BW2" i="2"/>
  <c r="BW32" i="2" s="1"/>
  <c r="BW33" i="2" s="1"/>
  <c r="BX2" i="2"/>
  <c r="BX32" i="2" s="1"/>
  <c r="BX33" i="2" s="1"/>
  <c r="BY2" i="2"/>
  <c r="BY32" i="2" s="1"/>
  <c r="BY33" i="2" s="1"/>
  <c r="BZ2" i="2"/>
  <c r="BZ32" i="2" s="1"/>
  <c r="BZ33" i="2" s="1"/>
  <c r="CA2" i="2"/>
  <c r="CA32" i="2" s="1"/>
  <c r="CA33" i="2" s="1"/>
  <c r="CB2" i="2"/>
  <c r="CB32" i="2" s="1"/>
  <c r="CB33" i="2" s="1"/>
  <c r="CC2" i="2"/>
  <c r="CC32" i="2" s="1"/>
  <c r="CC33" i="2" s="1"/>
  <c r="CD2" i="2"/>
  <c r="CD32" i="2" s="1"/>
  <c r="CD33" i="2" s="1"/>
  <c r="CE2" i="2"/>
  <c r="CE32" i="2" s="1"/>
  <c r="CE33" i="2" s="1"/>
  <c r="CF2" i="2"/>
  <c r="CF32" i="2" s="1"/>
  <c r="CF33" i="2" s="1"/>
  <c r="CG2" i="2"/>
  <c r="CG32" i="2" s="1"/>
  <c r="CG33" i="2" s="1"/>
  <c r="CH2" i="2"/>
  <c r="CH32" i="2" s="1"/>
  <c r="CH33" i="2" s="1"/>
  <c r="CI2" i="2"/>
  <c r="CI32" i="2" s="1"/>
  <c r="CI33" i="2" s="1"/>
  <c r="CJ2" i="2"/>
  <c r="CJ32" i="2" s="1"/>
  <c r="CJ33" i="2" s="1"/>
  <c r="CK2" i="2"/>
  <c r="CK32" i="2" s="1"/>
  <c r="CK33" i="2" s="1"/>
  <c r="CL2" i="2"/>
  <c r="CL32" i="2" s="1"/>
  <c r="CL33" i="2" s="1"/>
  <c r="CM2" i="2"/>
  <c r="CM32" i="2" s="1"/>
  <c r="CM33" i="2" s="1"/>
  <c r="CN2" i="2"/>
  <c r="CN32" i="2" s="1"/>
  <c r="CN33" i="2" s="1"/>
  <c r="CO2" i="2"/>
  <c r="CO32" i="2" s="1"/>
  <c r="CO33" i="2" s="1"/>
  <c r="CP2" i="2"/>
  <c r="CP32" i="2" s="1"/>
  <c r="CP33" i="2" s="1"/>
  <c r="CQ2" i="2"/>
  <c r="CQ32" i="2" s="1"/>
  <c r="CQ33" i="2" s="1"/>
  <c r="CR2" i="2"/>
  <c r="CR32" i="2" s="1"/>
  <c r="CR33" i="2" s="1"/>
  <c r="CS2" i="2"/>
  <c r="CS32" i="2" s="1"/>
  <c r="CS33" i="2" s="1"/>
  <c r="BV1" i="2"/>
  <c r="BW1" i="2"/>
  <c r="BX1" i="2"/>
  <c r="BY1" i="2"/>
  <c r="BZ1" i="2"/>
  <c r="CA1" i="2"/>
  <c r="CB1" i="2"/>
  <c r="CC1" i="2"/>
  <c r="CD1" i="2"/>
  <c r="CE1" i="2"/>
  <c r="CF1" i="2"/>
  <c r="CG1" i="2"/>
  <c r="CH1" i="2"/>
  <c r="CI1" i="2"/>
  <c r="CJ1" i="2"/>
  <c r="CK1" i="2"/>
  <c r="CL1" i="2"/>
  <c r="CM1" i="2"/>
  <c r="CN1" i="2"/>
  <c r="CO1" i="2"/>
  <c r="CP1" i="2"/>
  <c r="CQ1" i="2"/>
  <c r="CR1" i="2"/>
  <c r="CS1" i="2"/>
  <c r="D1" i="2"/>
  <c r="E1" i="2"/>
  <c r="F1" i="2"/>
  <c r="G1" i="2"/>
  <c r="H1" i="2"/>
  <c r="I1" i="2"/>
  <c r="J1" i="2"/>
  <c r="K1" i="2"/>
  <c r="L1" i="2"/>
  <c r="M1" i="2"/>
  <c r="N1" i="2"/>
  <c r="O1" i="2"/>
  <c r="P1" i="2"/>
  <c r="Q1" i="2"/>
  <c r="R1" i="2"/>
  <c r="S1" i="2"/>
  <c r="T1" i="2"/>
  <c r="U1" i="2"/>
  <c r="V1" i="2"/>
  <c r="W1" i="2"/>
  <c r="X1" i="2"/>
  <c r="Y1" i="2"/>
  <c r="Z1" i="2"/>
  <c r="AA1" i="2"/>
  <c r="CT40" i="2" l="1"/>
  <c r="CU40" i="2" s="1"/>
  <c r="BD2" i="12" s="1"/>
  <c r="CT41" i="2"/>
  <c r="CU41" i="2" s="1"/>
  <c r="CT38" i="2"/>
  <c r="CU38" i="2" s="1"/>
  <c r="CT37" i="2"/>
  <c r="CU37" i="2" s="1"/>
  <c r="CT42" i="2"/>
  <c r="CU42" i="2" s="1"/>
  <c r="BE2" i="12" s="1"/>
  <c r="BB2" i="12"/>
  <c r="BZ2" i="12"/>
  <c r="AZ2" i="12"/>
  <c r="BU2" i="2"/>
  <c r="BU32" i="2" s="1"/>
  <c r="BU33" i="2" s="1"/>
  <c r="CT39" i="2" s="1"/>
  <c r="CU39" i="2" s="1"/>
  <c r="BC2" i="12" s="1"/>
  <c r="BU1" i="2"/>
  <c r="BA2" i="12" l="1"/>
  <c r="CA34" i="5"/>
  <c r="L3" i="10"/>
  <c r="CV1" i="2"/>
  <c r="L35" i="10" l="1"/>
  <c r="L34" i="10"/>
  <c r="L33" i="10"/>
  <c r="L36" i="10"/>
  <c r="BH2" i="12"/>
  <c r="DH2" i="2"/>
  <c r="J3" i="6" s="1"/>
  <c r="DH32" i="2" l="1"/>
  <c r="DI2" i="2"/>
  <c r="DI32" i="2" l="1"/>
  <c r="J11" i="10"/>
  <c r="DH33" i="2"/>
  <c r="CQ2" i="5"/>
  <c r="CQ32" i="5" s="1"/>
  <c r="CQ33" i="5" s="1"/>
  <c r="CR2" i="5"/>
  <c r="CR32" i="5" s="1"/>
  <c r="CR33" i="5" s="1"/>
  <c r="CS2" i="5"/>
  <c r="CS32" i="5" s="1"/>
  <c r="CS33" i="5" s="1"/>
  <c r="CT2" i="5"/>
  <c r="CT32" i="5" s="1"/>
  <c r="CT33" i="5" s="1"/>
  <c r="CU2" i="5"/>
  <c r="CU32" i="5" s="1"/>
  <c r="CU33" i="5" s="1"/>
  <c r="CV2" i="5"/>
  <c r="CV32" i="5" s="1"/>
  <c r="CV33" i="5" s="1"/>
  <c r="CW2" i="5"/>
  <c r="CW32" i="5" s="1"/>
  <c r="CW33" i="5" s="1"/>
  <c r="CX2" i="5"/>
  <c r="CX32" i="5" s="1"/>
  <c r="CX33" i="5" s="1"/>
  <c r="CY2" i="5"/>
  <c r="CY32" i="5" s="1"/>
  <c r="CY33" i="5" s="1"/>
  <c r="CZ2" i="5"/>
  <c r="CZ32" i="5" s="1"/>
  <c r="CZ33" i="5" s="1"/>
  <c r="DA2" i="5"/>
  <c r="DA32" i="5" s="1"/>
  <c r="DA33" i="5" s="1"/>
  <c r="DB2" i="5"/>
  <c r="DB32" i="5" s="1"/>
  <c r="DB33" i="5" s="1"/>
  <c r="DC2" i="5"/>
  <c r="DC32" i="5" s="1"/>
  <c r="DC33" i="5" s="1"/>
  <c r="DD2" i="5"/>
  <c r="DD32" i="5" s="1"/>
  <c r="DD33" i="5" s="1"/>
  <c r="DE2" i="5"/>
  <c r="DE32" i="5" s="1"/>
  <c r="DE33" i="5" s="1"/>
  <c r="DF2" i="5"/>
  <c r="DF32" i="5" s="1"/>
  <c r="DF33" i="5" s="1"/>
  <c r="DG2" i="5"/>
  <c r="DG32" i="5" s="1"/>
  <c r="DG33" i="5" s="1"/>
  <c r="DH2" i="5"/>
  <c r="DH32" i="5" s="1"/>
  <c r="DH33" i="5" s="1"/>
  <c r="DI2" i="5"/>
  <c r="DI32" i="5" s="1"/>
  <c r="DI33" i="5" s="1"/>
  <c r="DJ2" i="5"/>
  <c r="DJ32" i="5" s="1"/>
  <c r="DJ33" i="5" s="1"/>
  <c r="DK2" i="5"/>
  <c r="DK32" i="5" s="1"/>
  <c r="DK33" i="5" s="1"/>
  <c r="DL2" i="5"/>
  <c r="DL32" i="5" s="1"/>
  <c r="DL33" i="5" s="1"/>
  <c r="DM2" i="5"/>
  <c r="DM32" i="5" s="1"/>
  <c r="DM33" i="5" s="1"/>
  <c r="DN2" i="5"/>
  <c r="DN32" i="5" s="1"/>
  <c r="DN33" i="5" s="1"/>
  <c r="DO2" i="5"/>
  <c r="DO32" i="5" s="1"/>
  <c r="DO33" i="5" s="1"/>
  <c r="DP2" i="5"/>
  <c r="DP32" i="5" s="1"/>
  <c r="DP33" i="5" s="1"/>
  <c r="DQ2" i="5"/>
  <c r="DQ32" i="5" s="1"/>
  <c r="DQ33" i="5" s="1"/>
  <c r="DR2" i="5"/>
  <c r="DR32" i="5" s="1"/>
  <c r="DR33" i="5" s="1"/>
  <c r="DS2" i="5"/>
  <c r="DS32" i="5" s="1"/>
  <c r="DS33" i="5" s="1"/>
  <c r="DT2" i="5"/>
  <c r="DT32" i="5" s="1"/>
  <c r="DT33" i="5" s="1"/>
  <c r="DU2" i="5"/>
  <c r="DU32" i="5" s="1"/>
  <c r="DU33" i="5" s="1"/>
  <c r="DV2" i="5"/>
  <c r="DV32" i="5" s="1"/>
  <c r="DV33" i="5" s="1"/>
  <c r="DW2" i="5"/>
  <c r="DW32" i="5" s="1"/>
  <c r="DW33" i="5" s="1"/>
  <c r="DX2" i="5"/>
  <c r="DX32" i="5" s="1"/>
  <c r="DX33" i="5" s="1"/>
  <c r="DY2" i="5"/>
  <c r="DY32" i="5" s="1"/>
  <c r="DY33" i="5" s="1"/>
  <c r="DZ2" i="5"/>
  <c r="DZ32" i="5" s="1"/>
  <c r="DZ33" i="5" s="1"/>
  <c r="EA2" i="5"/>
  <c r="EA32" i="5" s="1"/>
  <c r="EA33" i="5" s="1"/>
  <c r="EB2" i="5"/>
  <c r="EB32" i="5" s="1"/>
  <c r="EB33" i="5" s="1"/>
  <c r="EC2" i="5"/>
  <c r="EC32" i="5" s="1"/>
  <c r="EC33" i="5" s="1"/>
  <c r="ED2" i="5"/>
  <c r="ED32" i="5" s="1"/>
  <c r="ED33" i="5" s="1"/>
  <c r="EE2" i="5"/>
  <c r="EE32" i="5" s="1"/>
  <c r="EE33" i="5" s="1"/>
  <c r="EF2" i="5"/>
  <c r="EF32" i="5" s="1"/>
  <c r="EF33" i="5" s="1"/>
  <c r="EG2" i="5"/>
  <c r="EG32" i="5" s="1"/>
  <c r="EG33" i="5" s="1"/>
  <c r="EH2" i="5"/>
  <c r="EH32" i="5" s="1"/>
  <c r="EH33" i="5" s="1"/>
  <c r="EI2" i="5"/>
  <c r="EI32" i="5" s="1"/>
  <c r="EI33" i="5" s="1"/>
  <c r="EJ2" i="5"/>
  <c r="EJ32" i="5" s="1"/>
  <c r="EJ33" i="5" s="1"/>
  <c r="EK2" i="5"/>
  <c r="EK32" i="5" s="1"/>
  <c r="EK33" i="5" s="1"/>
  <c r="EL2" i="5"/>
  <c r="EL32" i="5" s="1"/>
  <c r="EL33" i="5" s="1"/>
  <c r="EM2" i="5"/>
  <c r="EM32" i="5" s="1"/>
  <c r="EM33" i="5" s="1"/>
  <c r="EN2" i="5"/>
  <c r="EN32" i="5" s="1"/>
  <c r="EN33" i="5" s="1"/>
  <c r="EO2" i="5"/>
  <c r="EO32" i="5" s="1"/>
  <c r="EO33" i="5" s="1"/>
  <c r="EP2" i="5"/>
  <c r="EP32" i="5" s="1"/>
  <c r="EP33" i="5" s="1"/>
  <c r="EQ2" i="5"/>
  <c r="EQ32" i="5" s="1"/>
  <c r="EQ33" i="5" s="1"/>
  <c r="ER2" i="5"/>
  <c r="ER32" i="5" s="1"/>
  <c r="ER33" i="5" s="1"/>
  <c r="CP2" i="5"/>
  <c r="CP1" i="5"/>
  <c r="ES43" i="5" l="1"/>
  <c r="ES42" i="5"/>
  <c r="ES39" i="5"/>
  <c r="ES38" i="5"/>
  <c r="ES41" i="5"/>
  <c r="ES40" i="5"/>
  <c r="CP32" i="5"/>
  <c r="CP33" i="5" s="1"/>
  <c r="ES37" i="5" s="1"/>
  <c r="CQ2" i="12" s="1"/>
  <c r="ES2" i="5"/>
  <c r="ET2" i="5" s="1"/>
  <c r="CS2" i="12"/>
  <c r="CV2" i="12"/>
  <c r="CW2" i="12"/>
  <c r="CR2" i="12"/>
  <c r="CT2" i="12"/>
  <c r="CU2" i="12"/>
  <c r="ES32" i="5"/>
  <c r="ER34" i="5"/>
  <c r="EQ34" i="5"/>
  <c r="ES33" i="5" l="1"/>
  <c r="ET32" i="5"/>
  <c r="N3" i="6"/>
  <c r="M3" i="10"/>
  <c r="BE1" i="5"/>
  <c r="B2" i="5"/>
  <c r="A2" i="5"/>
  <c r="C3" i="6" s="1"/>
  <c r="N11" i="10" l="1"/>
  <c r="H10" i="12" s="1"/>
  <c r="N10" i="12" s="1"/>
  <c r="C11" i="10"/>
  <c r="B10" i="12" s="1"/>
  <c r="M34" i="10"/>
  <c r="M33" i="10"/>
  <c r="M35" i="10"/>
  <c r="M36" i="10"/>
  <c r="N3" i="10"/>
  <c r="C3" i="10"/>
  <c r="B2" i="12" s="1"/>
  <c r="AE2" i="2"/>
  <c r="AE32" i="2" s="1"/>
  <c r="AE33" i="2" s="1"/>
  <c r="AF2" i="2"/>
  <c r="AF32" i="2" s="1"/>
  <c r="AF33" i="2" s="1"/>
  <c r="AG2" i="2"/>
  <c r="AG32" i="2" s="1"/>
  <c r="AG33" i="2" s="1"/>
  <c r="AH2" i="2"/>
  <c r="AH32" i="2" s="1"/>
  <c r="AH33" i="2" s="1"/>
  <c r="AI2" i="2"/>
  <c r="AI32" i="2" s="1"/>
  <c r="AI33" i="2" s="1"/>
  <c r="AJ2" i="2"/>
  <c r="AJ32" i="2" s="1"/>
  <c r="AJ33" i="2" s="1"/>
  <c r="AK2" i="2"/>
  <c r="AK32" i="2" s="1"/>
  <c r="AK33" i="2" s="1"/>
  <c r="AL2" i="2"/>
  <c r="AL32" i="2" s="1"/>
  <c r="AL33" i="2" s="1"/>
  <c r="AM2" i="2"/>
  <c r="AM32" i="2" s="1"/>
  <c r="AM33" i="2" s="1"/>
  <c r="AN2" i="2"/>
  <c r="AN32" i="2" s="1"/>
  <c r="AN33" i="2" s="1"/>
  <c r="AO2" i="2"/>
  <c r="AO32" i="2" s="1"/>
  <c r="AO33" i="2" s="1"/>
  <c r="AP2" i="2"/>
  <c r="AP32" i="2" s="1"/>
  <c r="AP33" i="2" s="1"/>
  <c r="AQ2" i="2"/>
  <c r="AQ32" i="2" s="1"/>
  <c r="AQ33" i="2" s="1"/>
  <c r="AR2" i="2"/>
  <c r="AR32" i="2" s="1"/>
  <c r="AR33" i="2" s="1"/>
  <c r="AS2" i="2"/>
  <c r="AS32" i="2" s="1"/>
  <c r="AS33" i="2" s="1"/>
  <c r="AT2" i="2"/>
  <c r="AT32" i="2" s="1"/>
  <c r="AT33" i="2" s="1"/>
  <c r="AU2" i="2"/>
  <c r="AU32" i="2" s="1"/>
  <c r="AU33" i="2" s="1"/>
  <c r="AV2" i="2"/>
  <c r="AV32" i="2" s="1"/>
  <c r="AV33" i="2" s="1"/>
  <c r="AW2" i="2"/>
  <c r="AW32" i="2" s="1"/>
  <c r="AW33" i="2" s="1"/>
  <c r="AX2" i="2"/>
  <c r="AX32" i="2" s="1"/>
  <c r="AX33" i="2" s="1"/>
  <c r="AY2" i="2"/>
  <c r="AY32" i="2" s="1"/>
  <c r="AY33" i="2" s="1"/>
  <c r="AZ2" i="2"/>
  <c r="AZ32" i="2" s="1"/>
  <c r="AZ33" i="2" s="1"/>
  <c r="BA2" i="2"/>
  <c r="BA32" i="2" s="1"/>
  <c r="BA33" i="2" s="1"/>
  <c r="BB2" i="2"/>
  <c r="BB32" i="2" s="1"/>
  <c r="BB33" i="2" s="1"/>
  <c r="BC2" i="2"/>
  <c r="BC32" i="2" s="1"/>
  <c r="BC33" i="2" s="1"/>
  <c r="BD2" i="2"/>
  <c r="BD32" i="2" s="1"/>
  <c r="BD33" i="2" s="1"/>
  <c r="BE2" i="2"/>
  <c r="BE32" i="2" s="1"/>
  <c r="BE33" i="2" s="1"/>
  <c r="BF2" i="2"/>
  <c r="BF32" i="2" s="1"/>
  <c r="BF33" i="2" s="1"/>
  <c r="BG2" i="2"/>
  <c r="BG32" i="2" s="1"/>
  <c r="BG33" i="2" s="1"/>
  <c r="BH2" i="2"/>
  <c r="BH32" i="2" s="1"/>
  <c r="BH33" i="2" s="1"/>
  <c r="BI2" i="2"/>
  <c r="BI32" i="2" s="1"/>
  <c r="BI33" i="2" s="1"/>
  <c r="BJ2" i="2"/>
  <c r="BJ32" i="2" s="1"/>
  <c r="BJ33" i="2" s="1"/>
  <c r="BK2" i="2"/>
  <c r="BK32" i="2" s="1"/>
  <c r="BK33" i="2" s="1"/>
  <c r="BL2" i="2"/>
  <c r="BL32" i="2" s="1"/>
  <c r="BL33" i="2" s="1"/>
  <c r="BM2" i="2"/>
  <c r="BM32" i="2" s="1"/>
  <c r="BM33" i="2" s="1"/>
  <c r="BN2" i="2"/>
  <c r="BN32" i="2" s="1"/>
  <c r="BN33" i="2" s="1"/>
  <c r="BO2" i="2"/>
  <c r="BO32" i="2" s="1"/>
  <c r="BO33" i="2" s="1"/>
  <c r="BP2" i="2"/>
  <c r="BP32" i="2" s="1"/>
  <c r="BP33" i="2" s="1"/>
  <c r="BQ2" i="2"/>
  <c r="BQ32" i="2" s="1"/>
  <c r="BQ33" i="2" s="1"/>
  <c r="BR2" i="2"/>
  <c r="BR32" i="2" s="1"/>
  <c r="BR33" i="2" s="1"/>
  <c r="AE1" i="2"/>
  <c r="AF1" i="2"/>
  <c r="AG1" i="2"/>
  <c r="AH1" i="2"/>
  <c r="AI1" i="2"/>
  <c r="AJ1" i="2"/>
  <c r="AK1" i="2"/>
  <c r="AL1" i="2"/>
  <c r="AM1" i="2"/>
  <c r="AN1" i="2"/>
  <c r="AO1" i="2"/>
  <c r="AP1" i="2"/>
  <c r="AQ1" i="2"/>
  <c r="AR1" i="2"/>
  <c r="AS1" i="2"/>
  <c r="AT1" i="2"/>
  <c r="AU1" i="2"/>
  <c r="AV1" i="2"/>
  <c r="AW1" i="2"/>
  <c r="AX1" i="2"/>
  <c r="AY1" i="2"/>
  <c r="AZ1" i="2"/>
  <c r="BA1" i="2"/>
  <c r="BB1" i="2"/>
  <c r="BC1" i="2"/>
  <c r="BD1" i="2"/>
  <c r="BE1" i="2"/>
  <c r="BF1" i="2"/>
  <c r="BG1" i="2"/>
  <c r="BH1" i="2"/>
  <c r="BI1" i="2"/>
  <c r="BJ1" i="2"/>
  <c r="BK1" i="2"/>
  <c r="BL1" i="2"/>
  <c r="BM1" i="2"/>
  <c r="BN1" i="2"/>
  <c r="BO1" i="2"/>
  <c r="BP1" i="2"/>
  <c r="BQ1" i="2"/>
  <c r="BR1" i="2"/>
  <c r="AD2" i="2"/>
  <c r="AD32" i="2" s="1"/>
  <c r="AD33" i="2" s="1"/>
  <c r="AD1" i="2"/>
  <c r="C2" i="2"/>
  <c r="C32" i="2" s="1"/>
  <c r="C33" i="2" s="1"/>
  <c r="AB37" i="2" s="1"/>
  <c r="AC37" i="2" s="1"/>
  <c r="AX2" i="12" s="1"/>
  <c r="BS38" i="2" l="1"/>
  <c r="BT38" i="2" s="1"/>
  <c r="BS37" i="2"/>
  <c r="BT37" i="2" s="1"/>
  <c r="AU2" i="12" s="1"/>
  <c r="BS39" i="2"/>
  <c r="BT39" i="2" s="1"/>
  <c r="AW2" i="12" s="1"/>
  <c r="Z10" i="12"/>
  <c r="N33" i="10"/>
  <c r="N34" i="10"/>
  <c r="N35" i="10"/>
  <c r="N36" i="10"/>
  <c r="AY2" i="12"/>
  <c r="H2" i="12"/>
  <c r="N2" i="12" s="1"/>
  <c r="AV2" i="12"/>
  <c r="I3" i="6"/>
  <c r="BS2" i="2"/>
  <c r="BS32" i="2" s="1"/>
  <c r="A1" i="5"/>
  <c r="I11" i="10" l="1"/>
  <c r="G10" i="12" s="1"/>
  <c r="M10" i="12" s="1"/>
  <c r="BS33" i="2"/>
  <c r="BT32" i="2"/>
  <c r="Z2" i="12"/>
  <c r="J3" i="10"/>
  <c r="BT2" i="2"/>
  <c r="F3" i="6" s="1"/>
  <c r="F11" i="10" l="1"/>
  <c r="D10" i="12" s="1"/>
  <c r="J10" i="12" s="1"/>
  <c r="Y10" i="12"/>
  <c r="R10" i="12"/>
  <c r="AT2" i="12"/>
  <c r="AO2" i="12"/>
  <c r="AJ2" i="12"/>
  <c r="AE2" i="12"/>
  <c r="J36" i="10"/>
  <c r="J35" i="10"/>
  <c r="J34" i="10"/>
  <c r="J33" i="10"/>
  <c r="EL34" i="5"/>
  <c r="V10" i="12" l="1"/>
  <c r="O10" i="12"/>
  <c r="EM34" i="5"/>
  <c r="EK34" i="5"/>
  <c r="F34" i="2"/>
  <c r="G34" i="2" l="1"/>
  <c r="K3" i="10" l="1"/>
  <c r="K34" i="10" l="1"/>
  <c r="K36" i="10"/>
  <c r="K33" i="10"/>
  <c r="K35" i="10"/>
  <c r="EO34" i="5"/>
  <c r="EN34" i="5"/>
  <c r="EP34" i="5"/>
  <c r="CN34" i="5" l="1"/>
  <c r="CV34" i="2" l="1"/>
  <c r="R34" i="5"/>
  <c r="F34" i="5"/>
  <c r="N34" i="2"/>
  <c r="Z34" i="2"/>
  <c r="R34" i="2"/>
  <c r="Q34" i="2"/>
  <c r="E34" i="2"/>
  <c r="P34" i="2"/>
  <c r="D34" i="2"/>
  <c r="AA34" i="2"/>
  <c r="O34" i="2"/>
  <c r="M34" i="2"/>
  <c r="EB34" i="2"/>
  <c r="L34" i="2"/>
  <c r="W34" i="2"/>
  <c r="V34" i="2"/>
  <c r="J34" i="2"/>
  <c r="I34" i="2"/>
  <c r="T34" i="2"/>
  <c r="H34" i="2"/>
  <c r="Y34" i="2"/>
  <c r="X34" i="2"/>
  <c r="K34" i="2"/>
  <c r="U34" i="2"/>
  <c r="S34" i="2"/>
  <c r="E34" i="5"/>
  <c r="D34" i="5"/>
  <c r="N34" i="5"/>
  <c r="M34" i="5"/>
  <c r="X34" i="5"/>
  <c r="L34" i="5"/>
  <c r="Q34" i="5"/>
  <c r="AA34" i="5"/>
  <c r="O34" i="5"/>
  <c r="Z34" i="5"/>
  <c r="U34" i="5"/>
  <c r="I34" i="5"/>
  <c r="Y34" i="5"/>
  <c r="K34" i="5"/>
  <c r="V34" i="5"/>
  <c r="J34" i="5"/>
  <c r="BL34" i="5"/>
  <c r="T34" i="5"/>
  <c r="H34" i="5"/>
  <c r="P34" i="5"/>
  <c r="W34" i="5"/>
  <c r="S34" i="5"/>
  <c r="G34" i="5"/>
  <c r="BY34" i="5" l="1"/>
  <c r="CK34" i="5"/>
  <c r="DZ34" i="2"/>
  <c r="DP34" i="2"/>
  <c r="DD34" i="5"/>
  <c r="AX34" i="5"/>
  <c r="AH34" i="5"/>
  <c r="DQ34" i="5"/>
  <c r="EC34" i="5"/>
  <c r="AK34" i="5"/>
  <c r="DO34" i="5"/>
  <c r="DK34" i="5"/>
  <c r="AU34" i="5"/>
  <c r="EG34" i="5"/>
  <c r="AM34" i="5"/>
  <c r="AL34" i="5"/>
  <c r="DL34" i="5"/>
  <c r="AE34" i="5"/>
  <c r="CR34" i="5"/>
  <c r="CS34" i="5"/>
  <c r="DX34" i="5"/>
  <c r="DG34" i="5"/>
  <c r="BB34" i="5"/>
  <c r="DE34" i="5"/>
  <c r="DS34" i="5"/>
  <c r="DB34" i="5"/>
  <c r="CT34" i="5"/>
  <c r="DF34" i="5"/>
  <c r="DJ34" i="5"/>
  <c r="AF34" i="5"/>
  <c r="AI34" i="5"/>
  <c r="AN34" i="5"/>
  <c r="DU34" i="5"/>
  <c r="DY34" i="5"/>
  <c r="ED34" i="5"/>
  <c r="AZ34" i="5"/>
  <c r="DW34" i="5"/>
  <c r="AQ34" i="5"/>
  <c r="DP34" i="5"/>
  <c r="CV34" i="5"/>
  <c r="CX34" i="5"/>
  <c r="EI34" i="5"/>
  <c r="DM34" i="5"/>
  <c r="EJ34" i="5"/>
  <c r="EB34" i="5"/>
  <c r="CQ34" i="5"/>
  <c r="CY34" i="5"/>
  <c r="AW34" i="5"/>
  <c r="AR34" i="5"/>
  <c r="AY34" i="5"/>
  <c r="AJ34" i="5"/>
  <c r="AV34" i="5"/>
  <c r="AT34" i="5"/>
  <c r="DV34" i="5"/>
  <c r="DC34" i="5"/>
  <c r="AO34" i="5"/>
  <c r="AS34" i="5"/>
  <c r="AP34" i="5"/>
  <c r="DT34" i="5"/>
  <c r="EH34" i="5"/>
  <c r="BA34" i="5"/>
  <c r="AG34" i="5"/>
  <c r="AH34" i="2"/>
  <c r="CF34" i="2"/>
  <c r="BF34" i="2"/>
  <c r="CN34" i="2"/>
  <c r="BL34" i="2"/>
  <c r="BO34" i="2"/>
  <c r="AR34" i="2"/>
  <c r="AJ34" i="2"/>
  <c r="CM34" i="2"/>
  <c r="AV34" i="2"/>
  <c r="CI34" i="2"/>
  <c r="AT34" i="2"/>
  <c r="AL34" i="2"/>
  <c r="CR34" i="2"/>
  <c r="BR34" i="2"/>
  <c r="BJ34" i="2"/>
  <c r="CO34" i="2"/>
  <c r="AZ34" i="2"/>
  <c r="BC34" i="2"/>
  <c r="CH34" i="2"/>
  <c r="BH34" i="2"/>
  <c r="BP34" i="2"/>
  <c r="CK34" i="2"/>
  <c r="CP34" i="2"/>
  <c r="CE34" i="2"/>
  <c r="BG34" i="2"/>
  <c r="CQ34" i="2"/>
  <c r="AY34" i="2"/>
  <c r="CL34" i="2"/>
  <c r="BQ34" i="2"/>
  <c r="BM34" i="2"/>
  <c r="CD34" i="2"/>
  <c r="AN34" i="2"/>
  <c r="AQ34" i="2"/>
  <c r="CJ34" i="2"/>
  <c r="CA34" i="2"/>
  <c r="AW34" i="2"/>
  <c r="BD34" i="2"/>
  <c r="BY34" i="2"/>
  <c r="AP34" i="2"/>
  <c r="AU34" i="2"/>
  <c r="CG34" i="2"/>
  <c r="BB34" i="2"/>
  <c r="BK34" i="2"/>
  <c r="CC34" i="2"/>
  <c r="AG34" i="2"/>
  <c r="AX34" i="2"/>
  <c r="CS34" i="2"/>
  <c r="BN34" i="2"/>
  <c r="AM34" i="2"/>
  <c r="AK34" i="2"/>
  <c r="AS34" i="2"/>
  <c r="AO34" i="2"/>
  <c r="BI34" i="2"/>
  <c r="BE34" i="2"/>
  <c r="BA34" i="2"/>
  <c r="DJ34" i="2"/>
  <c r="DR34" i="2"/>
  <c r="BZ34" i="2"/>
  <c r="BX34" i="2"/>
  <c r="BW34" i="2"/>
  <c r="AF34" i="2"/>
  <c r="C34" i="2"/>
  <c r="AE34" i="2"/>
  <c r="CB34" i="2"/>
  <c r="AI34" i="2"/>
  <c r="BV34" i="2"/>
  <c r="AD34" i="2"/>
  <c r="DN34" i="5"/>
  <c r="DH34" i="5"/>
  <c r="DZ34" i="5"/>
  <c r="CZ34" i="5"/>
  <c r="CU34" i="5"/>
  <c r="EE34" i="5"/>
  <c r="B1" i="5"/>
  <c r="I3" i="10" l="1"/>
  <c r="BE34" i="5"/>
  <c r="CW34" i="5"/>
  <c r="DR34" i="5"/>
  <c r="EA34" i="5"/>
  <c r="EF34" i="5"/>
  <c r="DI34" i="5"/>
  <c r="DA34" i="5"/>
  <c r="AD34" i="5"/>
  <c r="BC2" i="5"/>
  <c r="BC32" i="5" s="1"/>
  <c r="AB2" i="5"/>
  <c r="AB32" i="5" s="1"/>
  <c r="BC33" i="5" l="1"/>
  <c r="BD32" i="5"/>
  <c r="AB33" i="5"/>
  <c r="AC32" i="5"/>
  <c r="I36" i="10"/>
  <c r="I33" i="10"/>
  <c r="I34" i="10"/>
  <c r="I35" i="10"/>
  <c r="G2" i="12"/>
  <c r="M2" i="12" s="1"/>
  <c r="R2" i="12" s="1"/>
  <c r="BD2" i="5"/>
  <c r="AC2" i="5"/>
  <c r="CT2" i="2"/>
  <c r="CT32" i="2" s="1"/>
  <c r="CT33" i="2" l="1"/>
  <c r="CU32" i="2"/>
  <c r="Y2" i="12"/>
  <c r="H3" i="6"/>
  <c r="BC34" i="5"/>
  <c r="ES34" i="5"/>
  <c r="BJ34" i="5"/>
  <c r="CU2" i="2"/>
  <c r="CP34" i="5"/>
  <c r="H11" i="10" l="1"/>
  <c r="F10" i="12" s="1"/>
  <c r="L10" i="12" s="1"/>
  <c r="AD2" i="12"/>
  <c r="AS2" i="12"/>
  <c r="AN2" i="12"/>
  <c r="AI2" i="12"/>
  <c r="E17" i="18"/>
  <c r="F17" i="18"/>
  <c r="G17" i="18"/>
  <c r="D17" i="18"/>
  <c r="H3" i="10"/>
  <c r="DH34" i="2"/>
  <c r="Q10" i="12" l="1"/>
  <c r="X10" i="12"/>
  <c r="H35" i="10"/>
  <c r="H36" i="10"/>
  <c r="H33" i="10"/>
  <c r="H34" i="10"/>
  <c r="F2" i="12"/>
  <c r="L2" i="12" s="1"/>
  <c r="Q2" i="12" s="1"/>
  <c r="X2" i="12" l="1"/>
  <c r="AB2" i="2"/>
  <c r="AB32" i="2" s="1"/>
  <c r="AB33" i="2" l="1"/>
  <c r="AC2" i="12"/>
  <c r="G15" i="18" s="1"/>
  <c r="AR2" i="12"/>
  <c r="D15" i="18" s="1"/>
  <c r="AM2" i="12"/>
  <c r="E15" i="18" s="1"/>
  <c r="AH2" i="12"/>
  <c r="F15" i="18" s="1"/>
  <c r="G3" i="6"/>
  <c r="G16" i="18"/>
  <c r="D16" i="18"/>
  <c r="E16" i="18"/>
  <c r="F16" i="18"/>
  <c r="AC2" i="2"/>
  <c r="AC32" i="2" s="1"/>
  <c r="G11" i="10" l="1"/>
  <c r="E10" i="12" s="1"/>
  <c r="K10" i="12" s="1"/>
  <c r="D3" i="6"/>
  <c r="G3" i="10"/>
  <c r="F3" i="10"/>
  <c r="BS34" i="2"/>
  <c r="AB34" i="5"/>
  <c r="C34" i="5"/>
  <c r="D11" i="10" l="1"/>
  <c r="C10" i="12" s="1"/>
  <c r="I10" i="12" s="1"/>
  <c r="P10" i="12"/>
  <c r="S10" i="12" s="1"/>
  <c r="T10" i="12" s="1"/>
  <c r="U10" i="12" s="1"/>
  <c r="W10" i="12"/>
  <c r="F33" i="10"/>
  <c r="F36" i="10"/>
  <c r="F35" i="10"/>
  <c r="F34" i="10"/>
  <c r="G36" i="10"/>
  <c r="G34" i="10"/>
  <c r="G35" i="10"/>
  <c r="G33" i="10"/>
  <c r="D2" i="12"/>
  <c r="J2" i="12" s="1"/>
  <c r="V2" i="12" s="1"/>
  <c r="E2" i="12"/>
  <c r="K2" i="12" s="1"/>
  <c r="W2" i="12" s="1"/>
  <c r="E3" i="6"/>
  <c r="D3" i="10"/>
  <c r="E11" i="10" l="1"/>
  <c r="D35" i="10"/>
  <c r="D36" i="10"/>
  <c r="D33" i="10"/>
  <c r="D34" i="10"/>
  <c r="AB2" i="12"/>
  <c r="AQ2" i="12"/>
  <c r="AL2" i="12"/>
  <c r="AG2" i="12"/>
  <c r="AA2" i="12"/>
  <c r="AP2" i="12"/>
  <c r="AK2" i="12"/>
  <c r="AF2" i="12"/>
  <c r="C2" i="12"/>
  <c r="I2" i="12" s="1"/>
  <c r="P2" i="12"/>
  <c r="O2" i="12"/>
  <c r="E3" i="10"/>
  <c r="AB34" i="2"/>
  <c r="S2" i="12" l="1"/>
  <c r="T2" i="12" s="1"/>
  <c r="F14" i="18"/>
  <c r="G14" i="18"/>
  <c r="E14" i="18"/>
  <c r="D14" i="18"/>
  <c r="D13" i="18"/>
  <c r="E13" i="18"/>
  <c r="F13" i="18"/>
  <c r="G13" i="18"/>
  <c r="U2" i="12" l="1"/>
  <c r="CT34" i="2"/>
  <c r="BU34" i="2"/>
  <c r="BF2" i="12" l="1"/>
</calcChain>
</file>

<file path=xl/sharedStrings.xml><?xml version="1.0" encoding="utf-8"?>
<sst xmlns="http://schemas.openxmlformats.org/spreadsheetml/2006/main" count="10104" uniqueCount="1770">
  <si>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</si>
  <si>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</si>
  <si>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</si>
  <si>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</si>
  <si>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</si>
  <si>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</si>
  <si>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</si>
  <si>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</si>
  <si>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</si>
  <si>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</si>
  <si>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</si>
  <si>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</si>
  <si>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</si>
  <si>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</si>
  <si>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</si>
  <si>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</si>
  <si>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</si>
  <si>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</si>
  <si>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</si>
  <si>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</si>
  <si>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</si>
  <si>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</si>
  <si>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</si>
  <si>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</si>
  <si>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</si>
  <si>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</si>
  <si>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</si>
  <si>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</si>
  <si>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</si>
  <si>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</si>
  <si>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</si>
  <si>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</si>
  <si>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</si>
  <si>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</si>
  <si>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</si>
  <si>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</si>
  <si>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</si>
  <si>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</si>
  <si>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</si>
  <si>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</si>
  <si>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</si>
  <si>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</si>
  <si>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</si>
  <si>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</si>
  <si>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</si>
  <si>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</si>
  <si>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</si>
  <si>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</si>
  <si>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</si>
  <si>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</si>
  <si>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</si>
  <si>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</si>
  <si>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</si>
  <si>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</si>
  <si>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</si>
  <si>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</si>
  <si>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</si>
  <si>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</si>
  <si>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</si>
  <si>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</si>
  <si>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</si>
  <si>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</si>
  <si>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</si>
  <si>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</si>
  <si>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</si>
  <si>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</si>
  <si>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</si>
  <si>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</si>
  <si>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</si>
  <si>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</si>
  <si>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</si>
  <si>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</si>
  <si>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</si>
  <si>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</si>
  <si>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</si>
  <si>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</si>
  <si>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</si>
  <si>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</si>
  <si>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</si>
  <si>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</si>
  <si>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</si>
  <si>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</si>
  <si>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</si>
  <si>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</si>
  <si>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</si>
  <si>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</si>
  <si>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</si>
  <si>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</si>
  <si>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</si>
  <si>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</si>
  <si>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</si>
  <si>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</si>
  <si>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</si>
  <si>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</si>
  <si>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</si>
  <si>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</si>
  <si>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</si>
  <si>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</si>
  <si>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</si>
  <si>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</si>
  <si>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</si>
  <si>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</si>
  <si>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</si>
  <si>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</si>
  <si>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</si>
  <si>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</si>
  <si>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</si>
  <si>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</si>
  <si>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</si>
  <si>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</si>
  <si>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</si>
  <si>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</si>
  <si>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</si>
  <si>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</si>
  <si>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</si>
  <si>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</si>
  <si>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</si>
  <si>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</si>
  <si>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</si>
  <si>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</si>
  <si>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Apellidos y Nombres</t>
  </si>
  <si>
    <t>Codigo</t>
  </si>
  <si>
    <t>#PC</t>
  </si>
  <si>
    <t>%P</t>
  </si>
  <si>
    <t>PUESTO</t>
  </si>
  <si>
    <t>APELLIDOS Y NOMBRES</t>
  </si>
  <si>
    <t>GLOBAL</t>
  </si>
  <si>
    <t>NIVEL</t>
  </si>
  <si>
    <t>L.CRITICA</t>
  </si>
  <si>
    <t>SOCIALES Y CIUDADANA</t>
  </si>
  <si>
    <t>CIENCIAS NATURALES</t>
  </si>
  <si>
    <t>INGLES</t>
  </si>
  <si>
    <t>PROMEDIO</t>
  </si>
  <si>
    <t>DESVIACIÓN ESTANDAR</t>
  </si>
  <si>
    <t>BIOLOGIA</t>
  </si>
  <si>
    <t>QUIMICA</t>
  </si>
  <si>
    <t>FISICA</t>
  </si>
  <si>
    <t>CTS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</si>
  <si>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</si>
  <si>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</si>
  <si>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</si>
  <si>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</si>
  <si>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</si>
  <si>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</si>
  <si>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</si>
  <si>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</si>
  <si>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</si>
  <si>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</si>
  <si>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</si>
  <si>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</si>
  <si>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</si>
  <si>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</si>
  <si>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</si>
  <si>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</si>
  <si>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</si>
  <si>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</si>
  <si>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# DE PREGUNTAS CORRECTAS</t>
  </si>
  <si>
    <t>% DE PREGUNTAS INCORRECTAS</t>
  </si>
  <si>
    <t>NIVEL DE DIFICULTAD</t>
  </si>
  <si>
    <t>Aprendizajes</t>
  </si>
  <si>
    <t>Frente a un problema que involucre información cuantitativa, plantea e implementa estrategias que lleven a soluciones adecuadas.</t>
  </si>
  <si>
    <t>Identifica y entiende los contenidos locales que conforman un texto.</t>
  </si>
  <si>
    <t>Comprende modelos conceptuales, sus características y contextos de aplicación</t>
  </si>
  <si>
    <t>Comprende y transforma la información cuantitativa y esquemática presentada en distintos formatos.</t>
  </si>
  <si>
    <t xml:space="preserve">Comprende cómo se articulan las partes de un texto para darle un sentido global. </t>
  </si>
  <si>
    <t>Comprende dimensiones espaciales y temporales de eventos, problemáticas y  prácticas sociales.</t>
  </si>
  <si>
    <t>Valida procedimientos y estrategias matemáticas utilizadas para dar solución a problemas.</t>
  </si>
  <si>
    <t>Reflexiona a partir de un texto y evalúa su contenido.</t>
  </si>
  <si>
    <t>Contextualiza y evalúa usos de fuentes y argumentos.</t>
  </si>
  <si>
    <t>Comprende perspectivas de distintos actores y grupos sociales.</t>
  </si>
  <si>
    <t>Evalúa usos sociales de las ciencias sociales.</t>
  </si>
  <si>
    <t>Comprende que los problemas y sus soluciones involucran distintas dimensiones y reconoce relaciones entre estas.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</si>
  <si>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</si>
  <si>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</si>
  <si>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</si>
  <si>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</si>
  <si>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</si>
  <si>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</si>
  <si>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</si>
  <si>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</si>
  <si>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</si>
  <si>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PUNTAJE MÁXIMO</t>
  </si>
  <si>
    <t>PUNTAJE MÍNIMO</t>
  </si>
  <si>
    <t>50.0</t>
  </si>
  <si>
    <t>59.0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</si>
  <si>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</si>
  <si>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</si>
  <si>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</si>
  <si>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</si>
  <si>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</si>
  <si>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</si>
  <si>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</si>
  <si>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</si>
  <si>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</si>
  <si>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</si>
  <si>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</si>
  <si>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</si>
  <si>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</si>
  <si>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</si>
  <si>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</si>
  <si>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</si>
  <si>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</si>
  <si>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</si>
  <si>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N37</t>
  </si>
  <si>
    <t>N38</t>
  </si>
  <si>
    <t>ESTABLECIMIENTOS EDUCATIVOS</t>
  </si>
  <si>
    <t>% DE ESTUDIATES EN LOS NIVELES DE DESEMPEÑOS</t>
  </si>
  <si>
    <t>LECTURA CRÍTICA</t>
  </si>
  <si>
    <t>MATEMÁTICA</t>
  </si>
  <si>
    <t>CIENCIAS SOCIALES Y CIUDADANA</t>
  </si>
  <si>
    <t>1-P-A1 INSUFICIENTE</t>
  </si>
  <si>
    <t>2-A1 BAJO</t>
  </si>
  <si>
    <t>3-A2 SATISFACTORIO</t>
  </si>
  <si>
    <t>4-B1 AVANZADO</t>
  </si>
  <si>
    <t>[36 -50]</t>
  </si>
  <si>
    <t>[0 - 35]</t>
  </si>
  <si>
    <t>[51 - 65]</t>
  </si>
  <si>
    <t>[66 - 100]</t>
  </si>
  <si>
    <t>[51 - 70]</t>
  </si>
  <si>
    <t>[71 - 100]</t>
  </si>
  <si>
    <t>[0 - 40]</t>
  </si>
  <si>
    <t>[41 -55]</t>
  </si>
  <si>
    <t>[56 - 70]</t>
  </si>
  <si>
    <t>[0 - 36]</t>
  </si>
  <si>
    <t>[37 -57]</t>
  </si>
  <si>
    <t>[58 - 70]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</si>
  <si>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</si>
  <si>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</si>
  <si>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</si>
  <si>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</si>
  <si>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</si>
  <si>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</si>
  <si>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</si>
  <si>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</si>
  <si>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</si>
  <si>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APRENDIZAJES</t>
  </si>
  <si>
    <t>BIO</t>
  </si>
  <si>
    <t>QUI</t>
  </si>
  <si>
    <t>FIS</t>
  </si>
  <si>
    <t>ND</t>
  </si>
  <si>
    <t>Conocimiento lexical</t>
  </si>
  <si>
    <t>Indaga por el conocimiento pragmático</t>
  </si>
  <si>
    <t>Evalúa el conocimiento comunicativo</t>
  </si>
  <si>
    <t xml:space="preserve">Con base en un texto, evalúa el conocimiento gramatical </t>
  </si>
  <si>
    <t>Evalúa la comprensión de lectura literal de un texto</t>
  </si>
  <si>
    <t>Con base en un texto, evalúa el conocimiento gramatical y lexical</t>
  </si>
  <si>
    <t>Evalúa el proceso de lectura inferencial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</si>
  <si>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</si>
  <si>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</si>
  <si>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</si>
  <si>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</si>
  <si>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</si>
  <si>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</si>
  <si>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</si>
  <si>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</si>
  <si>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</si>
  <si>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</si>
  <si>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</si>
  <si>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</si>
  <si>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</si>
  <si>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</si>
  <si>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</si>
  <si>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</si>
  <si>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</si>
  <si>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</si>
  <si>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</si>
  <si>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</si>
  <si>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</si>
  <si>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</si>
  <si>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</si>
  <si>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</si>
  <si>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</si>
  <si>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</si>
  <si>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</si>
  <si>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</si>
  <si>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</si>
  <si>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</si>
  <si>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</si>
  <si>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</si>
  <si>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</si>
  <si>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</si>
  <si>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</si>
  <si>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</si>
  <si>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</si>
  <si>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</si>
  <si>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</si>
  <si>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</si>
  <si>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</si>
  <si>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</si>
  <si>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</si>
  <si>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</si>
  <si>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</si>
  <si>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</si>
  <si>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QuizName</t>
  </si>
  <si>
    <t>QuizClass</t>
  </si>
  <si>
    <t>FirstName</t>
  </si>
  <si>
    <t>LastName</t>
  </si>
  <si>
    <t>ZipGradeID</t>
  </si>
  <si>
    <t>ExternalID</t>
  </si>
  <si>
    <t>EarnedPts</t>
  </si>
  <si>
    <t>PossiblePts</t>
  </si>
  <si>
    <t>PercentCorrect</t>
  </si>
  <si>
    <t>QuizCreated</t>
  </si>
  <si>
    <t>DataExported</t>
  </si>
  <si>
    <t>KeyVersion</t>
  </si>
  <si>
    <t>P130</t>
  </si>
  <si>
    <t>P131</t>
  </si>
  <si>
    <t>P132</t>
  </si>
  <si>
    <t>MATEMATICA</t>
  </si>
  <si>
    <t>P133</t>
  </si>
  <si>
    <t>P134</t>
  </si>
  <si>
    <t>120.0</t>
  </si>
  <si>
    <t>134.0</t>
  </si>
  <si>
    <t>49.0</t>
  </si>
  <si>
    <t>63.0</t>
  </si>
  <si>
    <t>45.0</t>
  </si>
  <si>
    <t>52.0</t>
  </si>
  <si>
    <t>43.3</t>
  </si>
  <si>
    <t>56.0</t>
  </si>
  <si>
    <t>46.7</t>
  </si>
  <si>
    <t>55.0</t>
  </si>
  <si>
    <t>41.0</t>
  </si>
  <si>
    <t>51.0</t>
  </si>
  <si>
    <t>42.5</t>
  </si>
  <si>
    <t>47.0</t>
  </si>
  <si>
    <t>36.6</t>
  </si>
  <si>
    <t>35.8</t>
  </si>
  <si>
    <t>46.0</t>
  </si>
  <si>
    <t>40.0</t>
  </si>
  <si>
    <t>34.3</t>
  </si>
  <si>
    <t>A</t>
  </si>
  <si>
    <t>C</t>
  </si>
  <si>
    <t>D</t>
  </si>
  <si>
    <t>B</t>
  </si>
  <si>
    <t>BD</t>
  </si>
  <si>
    <t>E</t>
  </si>
  <si>
    <t>G</t>
  </si>
  <si>
    <t>F</t>
  </si>
  <si>
    <t>RESPUESTA A</t>
  </si>
  <si>
    <t>RESPUESTA B</t>
  </si>
  <si>
    <t>RESPUESTA C</t>
  </si>
  <si>
    <t>RESPUESTA D</t>
  </si>
  <si>
    <t>RESPUESTA E</t>
  </si>
  <si>
    <t>RESPUESTA F</t>
  </si>
  <si>
    <t>RESPUESTA G</t>
  </si>
  <si>
    <t>EN BLANCO</t>
  </si>
  <si>
    <t>MULTIMARCA</t>
  </si>
  <si>
    <t>TOTAL</t>
  </si>
  <si>
    <t>ANALISIS AL ITEM</t>
  </si>
  <si>
    <t xml:space="preserve"> K 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</si>
  <si>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</si>
  <si>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</si>
  <si>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</si>
  <si>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</si>
  <si>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</si>
  <si>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</si>
  <si>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</si>
  <si>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</si>
  <si>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</si>
  <si>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</si>
  <si>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</si>
  <si>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</si>
  <si>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</si>
  <si>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</si>
  <si>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</si>
  <si>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</si>
  <si>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</si>
  <si>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</si>
  <si>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</si>
  <si>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</si>
  <si>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</si>
  <si>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</si>
  <si>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</si>
  <si>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</si>
  <si>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</si>
  <si>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</si>
  <si>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</si>
  <si>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</si>
  <si>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</si>
  <si>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</si>
  <si>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</si>
  <si>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</si>
  <si>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</si>
  <si>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</si>
  <si>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</si>
  <si>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</si>
  <si>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</si>
  <si>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</si>
  <si>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</si>
  <si>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</si>
  <si>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</si>
  <si>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</si>
  <si>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</si>
  <si>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</si>
  <si>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</si>
  <si>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</si>
  <si>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</si>
  <si>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</si>
  <si>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</si>
  <si>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</si>
  <si>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</si>
  <si>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</si>
  <si>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</si>
  <si>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</si>
  <si>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</si>
  <si>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</si>
  <si>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</si>
  <si>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</si>
  <si>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</si>
  <si>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</si>
  <si>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</si>
  <si>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</si>
  <si>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</si>
  <si>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</si>
  <si>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</si>
  <si>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</si>
  <si>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</si>
  <si>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</si>
  <si>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</si>
  <si>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</si>
  <si>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</si>
  <si>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</si>
  <si>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</si>
  <si>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</si>
  <si>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</si>
  <si>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</si>
  <si>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</si>
  <si>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</si>
  <si>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</si>
  <si>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</si>
  <si>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</si>
  <si>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</si>
  <si>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</si>
  <si>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</si>
  <si>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</si>
  <si>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</si>
  <si>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</si>
  <si>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</si>
  <si>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</si>
  <si>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</si>
  <si>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</si>
  <si>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R95</t>
  </si>
  <si>
    <t>R96</t>
  </si>
  <si>
    <t>R101</t>
  </si>
  <si>
    <t>R104</t>
  </si>
  <si>
    <t>R105</t>
  </si>
  <si>
    <t>R120</t>
  </si>
  <si>
    <t>R93</t>
  </si>
  <si>
    <t>R100</t>
  </si>
  <si>
    <t>R102</t>
  </si>
  <si>
    <t>R106</t>
  </si>
  <si>
    <t>R110</t>
  </si>
  <si>
    <t>R114</t>
  </si>
  <si>
    <t>R118</t>
  </si>
  <si>
    <t>R92</t>
  </si>
  <si>
    <t>R94</t>
  </si>
  <si>
    <t>R98</t>
  </si>
  <si>
    <t>R99</t>
  </si>
  <si>
    <t>R103</t>
  </si>
  <si>
    <t>R108</t>
  </si>
  <si>
    <t>R111</t>
  </si>
  <si>
    <t>R116</t>
  </si>
  <si>
    <t>R117</t>
  </si>
  <si>
    <t>R119</t>
  </si>
  <si>
    <t>R97</t>
  </si>
  <si>
    <t>R107</t>
  </si>
  <si>
    <t>R109</t>
  </si>
  <si>
    <t>R112</t>
  </si>
  <si>
    <t>R113</t>
  </si>
  <si>
    <t>R115</t>
  </si>
  <si>
    <t>87.0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</si>
  <si>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</si>
  <si>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</si>
  <si>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</si>
  <si>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</si>
  <si>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</si>
  <si>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</si>
  <si>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</si>
  <si>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</si>
  <si>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</si>
  <si>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</si>
  <si>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</si>
  <si>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</si>
  <si>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</si>
  <si>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</si>
  <si>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 xml:space="preserve"> </t>
  </si>
  <si>
    <t>Analiza el potencial del uso de recursos naturales o artefactos y sus efectos sobre el entorno y la salud, así como las posibilidades de desarrollo para las comunidades</t>
  </si>
  <si>
    <t>Explica cómo ocurren algunos fenómenos de la naturaleza basado en observaciones, patrones y conceptos propios del conocimiento científico.</t>
  </si>
  <si>
    <t>Modela fenómenos de la naturaleza basado en el análisis de variables, la relación entre dos o más conceptos del conocimiento científico y de la evidencia derivada de investigaciones científicas.</t>
  </si>
  <si>
    <t>Asocia fenómenos naturales con conceptos propios del conocimiento científico.</t>
  </si>
  <si>
    <t>Identifica las características de algunos fenómenos de la naturaleza basado en el análisis de información y conceptos propios del conocimiento científico.</t>
  </si>
  <si>
    <t>Comprende que a partir de la investigación científica se construyen explicaciones sobre el mundo natural.</t>
  </si>
  <si>
    <t>Deriva conclusiones para algunos fenómenos de la naturaleza, basándose en conocimientos científicos y en la evidencia de su propia investigación y la de otros.</t>
  </si>
  <si>
    <t>Observa y relaciona patrones en los datos para evaluar las predicciones.</t>
  </si>
  <si>
    <t>Utiliza algunas habilidades de pensamiento y de procedimiento para evaluar predicciones.</t>
  </si>
  <si>
    <t>MA1</t>
  </si>
  <si>
    <t>MA2</t>
  </si>
  <si>
    <t>MA3</t>
  </si>
  <si>
    <t>MA4</t>
  </si>
  <si>
    <t>MA5</t>
  </si>
  <si>
    <t>MA6</t>
  </si>
  <si>
    <t>MA7</t>
  </si>
  <si>
    <t>MA8</t>
  </si>
  <si>
    <t>MA9</t>
  </si>
  <si>
    <t>MA10</t>
  </si>
  <si>
    <t>MA11</t>
  </si>
  <si>
    <t>MA12</t>
  </si>
  <si>
    <t>MA13</t>
  </si>
  <si>
    <t>MA14</t>
  </si>
  <si>
    <t>MA15</t>
  </si>
  <si>
    <t>MA16</t>
  </si>
  <si>
    <t>MA17</t>
  </si>
  <si>
    <t>MA18</t>
  </si>
  <si>
    <t>MA19</t>
  </si>
  <si>
    <t>MA20</t>
  </si>
  <si>
    <t>MA21</t>
  </si>
  <si>
    <t>MA22</t>
  </si>
  <si>
    <t>MA23</t>
  </si>
  <si>
    <t>MA24</t>
  </si>
  <si>
    <t>MA25</t>
  </si>
  <si>
    <t>LA26</t>
  </si>
  <si>
    <t>LA27</t>
  </si>
  <si>
    <t>LA28</t>
  </si>
  <si>
    <t>LA29</t>
  </si>
  <si>
    <t>LA30</t>
  </si>
  <si>
    <t>LA31</t>
  </si>
  <si>
    <t>LA32</t>
  </si>
  <si>
    <t>LA33</t>
  </si>
  <si>
    <t>LA34</t>
  </si>
  <si>
    <t>LA35</t>
  </si>
  <si>
    <t>LA36</t>
  </si>
  <si>
    <t>LA37</t>
  </si>
  <si>
    <t>LA38</t>
  </si>
  <si>
    <t>LA39</t>
  </si>
  <si>
    <t>LA40</t>
  </si>
  <si>
    <t>LA41</t>
  </si>
  <si>
    <t>LA42</t>
  </si>
  <si>
    <t>LA43</t>
  </si>
  <si>
    <t>LA44</t>
  </si>
  <si>
    <t>LA45</t>
  </si>
  <si>
    <t>LA46</t>
  </si>
  <si>
    <t>LA47</t>
  </si>
  <si>
    <t>LA48</t>
  </si>
  <si>
    <t>LA49</t>
  </si>
  <si>
    <t>LA50</t>
  </si>
  <si>
    <t>LA51</t>
  </si>
  <si>
    <t>LA52</t>
  </si>
  <si>
    <t>LA53</t>
  </si>
  <si>
    <t>LA54</t>
  </si>
  <si>
    <t>LA55</t>
  </si>
  <si>
    <t>LA56</t>
  </si>
  <si>
    <t>LA57</t>
  </si>
  <si>
    <t>LA58</t>
  </si>
  <si>
    <t>LA59</t>
  </si>
  <si>
    <t>LA60</t>
  </si>
  <si>
    <t>LA61</t>
  </si>
  <si>
    <t>LA62</t>
  </si>
  <si>
    <t>LA63</t>
  </si>
  <si>
    <t>LA64</t>
  </si>
  <si>
    <t>LA65</t>
  </si>
  <si>
    <t>LA66</t>
  </si>
  <si>
    <t>SA67</t>
  </si>
  <si>
    <t>SA68</t>
  </si>
  <si>
    <t>SA69</t>
  </si>
  <si>
    <t>SA70</t>
  </si>
  <si>
    <t>SA71</t>
  </si>
  <si>
    <t>SA72</t>
  </si>
  <si>
    <t>SA73</t>
  </si>
  <si>
    <t>SA74</t>
  </si>
  <si>
    <t>SA75</t>
  </si>
  <si>
    <t>SA76</t>
  </si>
  <si>
    <t>SA77</t>
  </si>
  <si>
    <t>SA78</t>
  </si>
  <si>
    <t>SA79</t>
  </si>
  <si>
    <t>SA80</t>
  </si>
  <si>
    <t>SA81</t>
  </si>
  <si>
    <t>SA82</t>
  </si>
  <si>
    <t>SA83</t>
  </si>
  <si>
    <t>SA84</t>
  </si>
  <si>
    <t>SA85</t>
  </si>
  <si>
    <t>SA86</t>
  </si>
  <si>
    <t>SA87</t>
  </si>
  <si>
    <t>SA88</t>
  </si>
  <si>
    <t>SA89</t>
  </si>
  <si>
    <t>SA90</t>
  </si>
  <si>
    <t>SA91</t>
  </si>
  <si>
    <t>BA95</t>
  </si>
  <si>
    <t>BA96</t>
  </si>
  <si>
    <t>BA101</t>
  </si>
  <si>
    <t>BA104</t>
  </si>
  <si>
    <t>BA105</t>
  </si>
  <si>
    <t>BA120</t>
  </si>
  <si>
    <t>QA93</t>
  </si>
  <si>
    <t>QA100</t>
  </si>
  <si>
    <t>QA102</t>
  </si>
  <si>
    <t>QA106</t>
  </si>
  <si>
    <t>QA110</t>
  </si>
  <si>
    <t>QA114</t>
  </si>
  <si>
    <t>QA118</t>
  </si>
  <si>
    <t>FA92</t>
  </si>
  <si>
    <t>FA94</t>
  </si>
  <si>
    <t>FA98</t>
  </si>
  <si>
    <t>FA99</t>
  </si>
  <si>
    <t>FA103</t>
  </si>
  <si>
    <t>FA108</t>
  </si>
  <si>
    <t>FA111</t>
  </si>
  <si>
    <t>FA116</t>
  </si>
  <si>
    <t>FA117</t>
  </si>
  <si>
    <t>FA119</t>
  </si>
  <si>
    <t>TA109</t>
  </si>
  <si>
    <t>TA112</t>
  </si>
  <si>
    <t>TA113</t>
  </si>
  <si>
    <t>TA115</t>
  </si>
  <si>
    <t>MB1</t>
  </si>
  <si>
    <t>MB2</t>
  </si>
  <si>
    <t>MB3</t>
  </si>
  <si>
    <t>MB4</t>
  </si>
  <si>
    <t>MB5</t>
  </si>
  <si>
    <t>MB6</t>
  </si>
  <si>
    <t>MB7</t>
  </si>
  <si>
    <t>MB8</t>
  </si>
  <si>
    <t>MB9</t>
  </si>
  <si>
    <t>MB10</t>
  </si>
  <si>
    <t>MB11</t>
  </si>
  <si>
    <t>MB12</t>
  </si>
  <si>
    <t>MB13</t>
  </si>
  <si>
    <t>MB14</t>
  </si>
  <si>
    <t>MB15</t>
  </si>
  <si>
    <t>MB16</t>
  </si>
  <si>
    <t>MB17</t>
  </si>
  <si>
    <t>MB18</t>
  </si>
  <si>
    <t>MB19</t>
  </si>
  <si>
    <t>MB20</t>
  </si>
  <si>
    <t>MB21</t>
  </si>
  <si>
    <t>MB22</t>
  </si>
  <si>
    <t>MB23</t>
  </si>
  <si>
    <t>MB24</t>
  </si>
  <si>
    <t>MB25</t>
  </si>
  <si>
    <t>LB26</t>
  </si>
  <si>
    <t>LB27</t>
  </si>
  <si>
    <t>LB28</t>
  </si>
  <si>
    <t>LB29</t>
  </si>
  <si>
    <t>LB30</t>
  </si>
  <si>
    <t>LB31</t>
  </si>
  <si>
    <t>LB32</t>
  </si>
  <si>
    <t>LB33</t>
  </si>
  <si>
    <t>LB34</t>
  </si>
  <si>
    <t>LB35</t>
  </si>
  <si>
    <t>LB36</t>
  </si>
  <si>
    <t>LB37</t>
  </si>
  <si>
    <t>LB38</t>
  </si>
  <si>
    <t>LB39</t>
  </si>
  <si>
    <t>LB40</t>
  </si>
  <si>
    <t>LB41</t>
  </si>
  <si>
    <t>LB42</t>
  </si>
  <si>
    <t>LB43</t>
  </si>
  <si>
    <t>LB44</t>
  </si>
  <si>
    <t>LB45</t>
  </si>
  <si>
    <t>LB46</t>
  </si>
  <si>
    <t>LB47</t>
  </si>
  <si>
    <t>LB48</t>
  </si>
  <si>
    <t>LB49</t>
  </si>
  <si>
    <t>LB50</t>
  </si>
  <si>
    <t>LB51</t>
  </si>
  <si>
    <t>LB52</t>
  </si>
  <si>
    <t>LB53</t>
  </si>
  <si>
    <t>LB54</t>
  </si>
  <si>
    <t>LB55</t>
  </si>
  <si>
    <t>LB56</t>
  </si>
  <si>
    <t>LB57</t>
  </si>
  <si>
    <t>LB58</t>
  </si>
  <si>
    <t>LB59</t>
  </si>
  <si>
    <t>LB60</t>
  </si>
  <si>
    <t>LB61</t>
  </si>
  <si>
    <t>LB62</t>
  </si>
  <si>
    <t>LB63</t>
  </si>
  <si>
    <t>LB64</t>
  </si>
  <si>
    <t>LB65</t>
  </si>
  <si>
    <t>LB66</t>
  </si>
  <si>
    <t>SB67</t>
  </si>
  <si>
    <t>SB68</t>
  </si>
  <si>
    <t>SB69</t>
  </si>
  <si>
    <t>SB70</t>
  </si>
  <si>
    <t>SB71</t>
  </si>
  <si>
    <t>SB72</t>
  </si>
  <si>
    <t>SB73</t>
  </si>
  <si>
    <t>SB74</t>
  </si>
  <si>
    <t>SB75</t>
  </si>
  <si>
    <t>SB76</t>
  </si>
  <si>
    <t>SB77</t>
  </si>
  <si>
    <t>SB78</t>
  </si>
  <si>
    <t>SB79</t>
  </si>
  <si>
    <t>SB80</t>
  </si>
  <si>
    <t>SB81</t>
  </si>
  <si>
    <t>SB82</t>
  </si>
  <si>
    <t>SB83</t>
  </si>
  <si>
    <t>SB84</t>
  </si>
  <si>
    <t>SB85</t>
  </si>
  <si>
    <t>SB86</t>
  </si>
  <si>
    <t>SB87</t>
  </si>
  <si>
    <t>SB88</t>
  </si>
  <si>
    <t>SB89</t>
  </si>
  <si>
    <t>SB90</t>
  </si>
  <si>
    <t>SB91</t>
  </si>
  <si>
    <t>BB95</t>
  </si>
  <si>
    <t>BB96</t>
  </si>
  <si>
    <t>BB101</t>
  </si>
  <si>
    <t>BB104</t>
  </si>
  <si>
    <t>BB105</t>
  </si>
  <si>
    <t>BB120</t>
  </si>
  <si>
    <t>QB93</t>
  </si>
  <si>
    <t>QB100</t>
  </si>
  <si>
    <t>QB102</t>
  </si>
  <si>
    <t>QB106</t>
  </si>
  <si>
    <t>QB110</t>
  </si>
  <si>
    <t>QB114</t>
  </si>
  <si>
    <t>QB118</t>
  </si>
  <si>
    <t>FB92</t>
  </si>
  <si>
    <t>FB94</t>
  </si>
  <si>
    <t>FB98</t>
  </si>
  <si>
    <t>FB99</t>
  </si>
  <si>
    <t>FB103</t>
  </si>
  <si>
    <t>FB108</t>
  </si>
  <si>
    <t>FB111</t>
  </si>
  <si>
    <t>FB116</t>
  </si>
  <si>
    <t>FB117</t>
  </si>
  <si>
    <t>FB119</t>
  </si>
  <si>
    <t>TB109</t>
  </si>
  <si>
    <t>TB112</t>
  </si>
  <si>
    <t>TB113</t>
  </si>
  <si>
    <t>TB115</t>
  </si>
  <si>
    <t>MC1</t>
  </si>
  <si>
    <t>MC2</t>
  </si>
  <si>
    <t>MC3</t>
  </si>
  <si>
    <t>MC4</t>
  </si>
  <si>
    <t>MC5</t>
  </si>
  <si>
    <t>MC6</t>
  </si>
  <si>
    <t>MC7</t>
  </si>
  <si>
    <t>MC8</t>
  </si>
  <si>
    <t>MC9</t>
  </si>
  <si>
    <t>MC10</t>
  </si>
  <si>
    <t>MC11</t>
  </si>
  <si>
    <t>MC12</t>
  </si>
  <si>
    <t>MC13</t>
  </si>
  <si>
    <t>MC14</t>
  </si>
  <si>
    <t>MC15</t>
  </si>
  <si>
    <t>MC16</t>
  </si>
  <si>
    <t>MC17</t>
  </si>
  <si>
    <t>MC18</t>
  </si>
  <si>
    <t>MC19</t>
  </si>
  <si>
    <t>MC20</t>
  </si>
  <si>
    <t>MC21</t>
  </si>
  <si>
    <t>MC22</t>
  </si>
  <si>
    <t>MC23</t>
  </si>
  <si>
    <t>MC24</t>
  </si>
  <si>
    <t>MC25</t>
  </si>
  <si>
    <t>LC26</t>
  </si>
  <si>
    <t>LC27</t>
  </si>
  <si>
    <t>LC28</t>
  </si>
  <si>
    <t>LC29</t>
  </si>
  <si>
    <t>LC30</t>
  </si>
  <si>
    <t>LC31</t>
  </si>
  <si>
    <t>LC32</t>
  </si>
  <si>
    <t>LC33</t>
  </si>
  <si>
    <t>LC34</t>
  </si>
  <si>
    <t>LC35</t>
  </si>
  <si>
    <t>LC36</t>
  </si>
  <si>
    <t>LC37</t>
  </si>
  <si>
    <t>LC38</t>
  </si>
  <si>
    <t>LC39</t>
  </si>
  <si>
    <t>LC40</t>
  </si>
  <si>
    <t>LC41</t>
  </si>
  <si>
    <t>LC42</t>
  </si>
  <si>
    <t>LC43</t>
  </si>
  <si>
    <t>LC44</t>
  </si>
  <si>
    <t>LC45</t>
  </si>
  <si>
    <t>LC46</t>
  </si>
  <si>
    <t>LC47</t>
  </si>
  <si>
    <t>LC48</t>
  </si>
  <si>
    <t>LC49</t>
  </si>
  <si>
    <t>LC50</t>
  </si>
  <si>
    <t>LC51</t>
  </si>
  <si>
    <t>LC52</t>
  </si>
  <si>
    <t>LC53</t>
  </si>
  <si>
    <t>LC54</t>
  </si>
  <si>
    <t>LC55</t>
  </si>
  <si>
    <t>LC56</t>
  </si>
  <si>
    <t>LC57</t>
  </si>
  <si>
    <t>LC58</t>
  </si>
  <si>
    <t>LC59</t>
  </si>
  <si>
    <t>LC60</t>
  </si>
  <si>
    <t>LC61</t>
  </si>
  <si>
    <t>LC62</t>
  </si>
  <si>
    <t>LC63</t>
  </si>
  <si>
    <t>LC64</t>
  </si>
  <si>
    <t>LC65</t>
  </si>
  <si>
    <t>LC66</t>
  </si>
  <si>
    <t>SC67</t>
  </si>
  <si>
    <t>SC68</t>
  </si>
  <si>
    <t>SC69</t>
  </si>
  <si>
    <t>SC70</t>
  </si>
  <si>
    <t>SC71</t>
  </si>
  <si>
    <t>SC72</t>
  </si>
  <si>
    <t>SC73</t>
  </si>
  <si>
    <t>SC74</t>
  </si>
  <si>
    <t>SC75</t>
  </si>
  <si>
    <t>SC76</t>
  </si>
  <si>
    <t>SC77</t>
  </si>
  <si>
    <t>SC78</t>
  </si>
  <si>
    <t>SC79</t>
  </si>
  <si>
    <t>SC80</t>
  </si>
  <si>
    <t>SC81</t>
  </si>
  <si>
    <t>SC82</t>
  </si>
  <si>
    <t>SC83</t>
  </si>
  <si>
    <t>SC84</t>
  </si>
  <si>
    <t>SC85</t>
  </si>
  <si>
    <t>SC86</t>
  </si>
  <si>
    <t>SC87</t>
  </si>
  <si>
    <t>SC88</t>
  </si>
  <si>
    <t>SC89</t>
  </si>
  <si>
    <t>SC90</t>
  </si>
  <si>
    <t>SC91</t>
  </si>
  <si>
    <t>BC95</t>
  </si>
  <si>
    <t>BC96</t>
  </si>
  <si>
    <t>BC101</t>
  </si>
  <si>
    <t>BC104</t>
  </si>
  <si>
    <t>BC105</t>
  </si>
  <si>
    <t>BC120</t>
  </si>
  <si>
    <t>QC93</t>
  </si>
  <si>
    <t>QC100</t>
  </si>
  <si>
    <t>QC102</t>
  </si>
  <si>
    <t>QC106</t>
  </si>
  <si>
    <t>QC110</t>
  </si>
  <si>
    <t>QC114</t>
  </si>
  <si>
    <t>QC118</t>
  </si>
  <si>
    <t>FC92</t>
  </si>
  <si>
    <t>FC94</t>
  </si>
  <si>
    <t>FC98</t>
  </si>
  <si>
    <t>FC99</t>
  </si>
  <si>
    <t>FC103</t>
  </si>
  <si>
    <t>FC108</t>
  </si>
  <si>
    <t>FC111</t>
  </si>
  <si>
    <t>FC116</t>
  </si>
  <si>
    <t>FC117</t>
  </si>
  <si>
    <t>FC119</t>
  </si>
  <si>
    <t>TC109</t>
  </si>
  <si>
    <t>TC112</t>
  </si>
  <si>
    <t>TC113</t>
  </si>
  <si>
    <t>TC115</t>
  </si>
  <si>
    <t>MD1</t>
  </si>
  <si>
    <t>MD2</t>
  </si>
  <si>
    <t>MD3</t>
  </si>
  <si>
    <t>MD4</t>
  </si>
  <si>
    <t>MD5</t>
  </si>
  <si>
    <t>MD6</t>
  </si>
  <si>
    <t>MD7</t>
  </si>
  <si>
    <t>MD8</t>
  </si>
  <si>
    <t>MD9</t>
  </si>
  <si>
    <t>MD10</t>
  </si>
  <si>
    <t>MD11</t>
  </si>
  <si>
    <t>MD12</t>
  </si>
  <si>
    <t>MD13</t>
  </si>
  <si>
    <t>MD14</t>
  </si>
  <si>
    <t>MD15</t>
  </si>
  <si>
    <t>MD16</t>
  </si>
  <si>
    <t>MD17</t>
  </si>
  <si>
    <t>MD18</t>
  </si>
  <si>
    <t>MD19</t>
  </si>
  <si>
    <t>MD20</t>
  </si>
  <si>
    <t>MD21</t>
  </si>
  <si>
    <t>MD22</t>
  </si>
  <si>
    <t>MD23</t>
  </si>
  <si>
    <t>MD24</t>
  </si>
  <si>
    <t>MD25</t>
  </si>
  <si>
    <t>LD26</t>
  </si>
  <si>
    <t>LD27</t>
  </si>
  <si>
    <t>LD28</t>
  </si>
  <si>
    <t>LD29</t>
  </si>
  <si>
    <t>LD30</t>
  </si>
  <si>
    <t>LD31</t>
  </si>
  <si>
    <t>LD32</t>
  </si>
  <si>
    <t>LD33</t>
  </si>
  <si>
    <t>LD34</t>
  </si>
  <si>
    <t>LD35</t>
  </si>
  <si>
    <t>LD36</t>
  </si>
  <si>
    <t>LD37</t>
  </si>
  <si>
    <t>LD38</t>
  </si>
  <si>
    <t>LD39</t>
  </si>
  <si>
    <t>LD40</t>
  </si>
  <si>
    <t>LD41</t>
  </si>
  <si>
    <t>LD42</t>
  </si>
  <si>
    <t>LD43</t>
  </si>
  <si>
    <t>LD44</t>
  </si>
  <si>
    <t>LD45</t>
  </si>
  <si>
    <t>LD46</t>
  </si>
  <si>
    <t>LD47</t>
  </si>
  <si>
    <t>LD48</t>
  </si>
  <si>
    <t>LD49</t>
  </si>
  <si>
    <t>LD50</t>
  </si>
  <si>
    <t>LD51</t>
  </si>
  <si>
    <t>LD52</t>
  </si>
  <si>
    <t>LD53</t>
  </si>
  <si>
    <t>LD54</t>
  </si>
  <si>
    <t>LD55</t>
  </si>
  <si>
    <t>LD56</t>
  </si>
  <si>
    <t>LD57</t>
  </si>
  <si>
    <t>LD58</t>
  </si>
  <si>
    <t>LD59</t>
  </si>
  <si>
    <t>LD60</t>
  </si>
  <si>
    <t>LD61</t>
  </si>
  <si>
    <t>LD62</t>
  </si>
  <si>
    <t>LD63</t>
  </si>
  <si>
    <t>LD64</t>
  </si>
  <si>
    <t>LD65</t>
  </si>
  <si>
    <t>LD66</t>
  </si>
  <si>
    <t>SD67</t>
  </si>
  <si>
    <t>SD68</t>
  </si>
  <si>
    <t>SD69</t>
  </si>
  <si>
    <t>SD70</t>
  </si>
  <si>
    <t>SD71</t>
  </si>
  <si>
    <t>SD72</t>
  </si>
  <si>
    <t>SD73</t>
  </si>
  <si>
    <t>SD74</t>
  </si>
  <si>
    <t>SD75</t>
  </si>
  <si>
    <t>SD76</t>
  </si>
  <si>
    <t>SD77</t>
  </si>
  <si>
    <t>SD78</t>
  </si>
  <si>
    <t>SD79</t>
  </si>
  <si>
    <t>SD80</t>
  </si>
  <si>
    <t>SD81</t>
  </si>
  <si>
    <t>SD82</t>
  </si>
  <si>
    <t>SD83</t>
  </si>
  <si>
    <t>SD84</t>
  </si>
  <si>
    <t>SD85</t>
  </si>
  <si>
    <t>SD86</t>
  </si>
  <si>
    <t>SD87</t>
  </si>
  <si>
    <t>SD88</t>
  </si>
  <si>
    <t>SD89</t>
  </si>
  <si>
    <t>SD90</t>
  </si>
  <si>
    <t>SD91</t>
  </si>
  <si>
    <t>BD95</t>
  </si>
  <si>
    <t>BD96</t>
  </si>
  <si>
    <t>BD101</t>
  </si>
  <si>
    <t>BD104</t>
  </si>
  <si>
    <t>BD105</t>
  </si>
  <si>
    <t>BD120</t>
  </si>
  <si>
    <t>QD93</t>
  </si>
  <si>
    <t>QD100</t>
  </si>
  <si>
    <t>QD102</t>
  </si>
  <si>
    <t>QD106</t>
  </si>
  <si>
    <t>QD110</t>
  </si>
  <si>
    <t>QD114</t>
  </si>
  <si>
    <t>QD118</t>
  </si>
  <si>
    <t>FD92</t>
  </si>
  <si>
    <t>FD94</t>
  </si>
  <si>
    <t>FD98</t>
  </si>
  <si>
    <t>FD99</t>
  </si>
  <si>
    <t>FD103</t>
  </si>
  <si>
    <t>FD108</t>
  </si>
  <si>
    <t>FD111</t>
  </si>
  <si>
    <t>FD116</t>
  </si>
  <si>
    <t>FD117</t>
  </si>
  <si>
    <t>FD119</t>
  </si>
  <si>
    <t>TD109</t>
  </si>
  <si>
    <t>TD112</t>
  </si>
  <si>
    <t>TD113</t>
  </si>
  <si>
    <t>TD115</t>
  </si>
  <si>
    <t>SA1</t>
  </si>
  <si>
    <t>SA2</t>
  </si>
  <si>
    <t>SA3</t>
  </si>
  <si>
    <t>SA4</t>
  </si>
  <si>
    <t>SA5</t>
  </si>
  <si>
    <t>SA6</t>
  </si>
  <si>
    <t>SA7</t>
  </si>
  <si>
    <t>SA8</t>
  </si>
  <si>
    <t>SA9</t>
  </si>
  <si>
    <t>SA10</t>
  </si>
  <si>
    <t>SA11</t>
  </si>
  <si>
    <t>SA12</t>
  </si>
  <si>
    <t>SA13</t>
  </si>
  <si>
    <t>SA14</t>
  </si>
  <si>
    <t>SA15</t>
  </si>
  <si>
    <t>SA16</t>
  </si>
  <si>
    <t>SA17</t>
  </si>
  <si>
    <t>SA18</t>
  </si>
  <si>
    <t>SA19</t>
  </si>
  <si>
    <t>SA20</t>
  </si>
  <si>
    <t>SA21</t>
  </si>
  <si>
    <t>SA22</t>
  </si>
  <si>
    <t>SA23</t>
  </si>
  <si>
    <t>SA24</t>
  </si>
  <si>
    <t>SA25</t>
  </si>
  <si>
    <t>MA26</t>
  </si>
  <si>
    <t>MA27</t>
  </si>
  <si>
    <t>MA28</t>
  </si>
  <si>
    <t>MA29</t>
  </si>
  <si>
    <t>MA30</t>
  </si>
  <si>
    <t>MA31</t>
  </si>
  <si>
    <t>MA32</t>
  </si>
  <si>
    <t>MA33</t>
  </si>
  <si>
    <t>MA34</t>
  </si>
  <si>
    <t>MA35</t>
  </si>
  <si>
    <t>MA36</t>
  </si>
  <si>
    <t>MA37</t>
  </si>
  <si>
    <t>MA38</t>
  </si>
  <si>
    <t>MA39</t>
  </si>
  <si>
    <t>MA40</t>
  </si>
  <si>
    <t>MA41</t>
  </si>
  <si>
    <t>MA42</t>
  </si>
  <si>
    <t>MA43</t>
  </si>
  <si>
    <t>MA44</t>
  </si>
  <si>
    <t>MA45</t>
  </si>
  <si>
    <t>MA46</t>
  </si>
  <si>
    <t>MA47</t>
  </si>
  <si>
    <t>MA48</t>
  </si>
  <si>
    <t>MA49</t>
  </si>
  <si>
    <t>MA50</t>
  </si>
  <si>
    <t>BA51</t>
  </si>
  <si>
    <t>BA52</t>
  </si>
  <si>
    <t>BA53</t>
  </si>
  <si>
    <t>BA56</t>
  </si>
  <si>
    <t>BA57</t>
  </si>
  <si>
    <t>BA60</t>
  </si>
  <si>
    <t>BA67</t>
  </si>
  <si>
    <t>BA71</t>
  </si>
  <si>
    <t>BA75</t>
  </si>
  <si>
    <t>BA77</t>
  </si>
  <si>
    <t>BA79</t>
  </si>
  <si>
    <t>QA54</t>
  </si>
  <si>
    <t>QA59</t>
  </si>
  <si>
    <t>QA61</t>
  </si>
  <si>
    <t>QA64</t>
  </si>
  <si>
    <t>QA65</t>
  </si>
  <si>
    <t>QA68</t>
  </si>
  <si>
    <t>QA69</t>
  </si>
  <si>
    <t>FA55</t>
  </si>
  <si>
    <t>FA62</t>
  </si>
  <si>
    <t>FA63</t>
  </si>
  <si>
    <t>FA70</t>
  </si>
  <si>
    <t>FA72</t>
  </si>
  <si>
    <t>TA76</t>
  </si>
  <si>
    <t>IA80</t>
  </si>
  <si>
    <t>IA81</t>
  </si>
  <si>
    <t>IA82</t>
  </si>
  <si>
    <t>IA83</t>
  </si>
  <si>
    <t>IA84</t>
  </si>
  <si>
    <t>IA85</t>
  </si>
  <si>
    <t>IA86</t>
  </si>
  <si>
    <t>IA87</t>
  </si>
  <si>
    <t>IA88</t>
  </si>
  <si>
    <t>IA89</t>
  </si>
  <si>
    <t>IA90</t>
  </si>
  <si>
    <t>IA91</t>
  </si>
  <si>
    <t>IA92</t>
  </si>
  <si>
    <t>IA93</t>
  </si>
  <si>
    <t>IA94</t>
  </si>
  <si>
    <t>IA95</t>
  </si>
  <si>
    <t>IA96</t>
  </si>
  <si>
    <t>IA97</t>
  </si>
  <si>
    <t>IA98</t>
  </si>
  <si>
    <t>IA99</t>
  </si>
  <si>
    <t>IA100</t>
  </si>
  <si>
    <t>IA101</t>
  </si>
  <si>
    <t>IA102</t>
  </si>
  <si>
    <t>IA103</t>
  </si>
  <si>
    <t>IA104</t>
  </si>
  <si>
    <t>IA105</t>
  </si>
  <si>
    <t>IA106</t>
  </si>
  <si>
    <t>IA107</t>
  </si>
  <si>
    <t>IA108</t>
  </si>
  <si>
    <t>IA109</t>
  </si>
  <si>
    <t>IA110</t>
  </si>
  <si>
    <t>IA111</t>
  </si>
  <si>
    <t>IA112</t>
  </si>
  <si>
    <t>IA113</t>
  </si>
  <si>
    <t>IA114</t>
  </si>
  <si>
    <t>IA115</t>
  </si>
  <si>
    <t>IA116</t>
  </si>
  <si>
    <t>IA117</t>
  </si>
  <si>
    <t>IA118</t>
  </si>
  <si>
    <t>IA119</t>
  </si>
  <si>
    <t>IA120</t>
  </si>
  <si>
    <t>IA121</t>
  </si>
  <si>
    <t>IA122</t>
  </si>
  <si>
    <t>IA123</t>
  </si>
  <si>
    <t>IA124</t>
  </si>
  <si>
    <t>IA125</t>
  </si>
  <si>
    <t>IA126</t>
  </si>
  <si>
    <t>IA127</t>
  </si>
  <si>
    <t>IA128</t>
  </si>
  <si>
    <t>IA129</t>
  </si>
  <si>
    <t>IA130</t>
  </si>
  <si>
    <t>IA131</t>
  </si>
  <si>
    <t>IA132</t>
  </si>
  <si>
    <t>IA133</t>
  </si>
  <si>
    <t>IA134</t>
  </si>
  <si>
    <t>SB1</t>
  </si>
  <si>
    <t>SB2</t>
  </si>
  <si>
    <t>SB3</t>
  </si>
  <si>
    <t>SB4</t>
  </si>
  <si>
    <t>SB5</t>
  </si>
  <si>
    <t>SB6</t>
  </si>
  <si>
    <t>SB7</t>
  </si>
  <si>
    <t>SB8</t>
  </si>
  <si>
    <t>SB9</t>
  </si>
  <si>
    <t>SB10</t>
  </si>
  <si>
    <t>SB11</t>
  </si>
  <si>
    <t>SB12</t>
  </si>
  <si>
    <t>SB13</t>
  </si>
  <si>
    <t>SB14</t>
  </si>
  <si>
    <t>SB15</t>
  </si>
  <si>
    <t>SB16</t>
  </si>
  <si>
    <t>SB17</t>
  </si>
  <si>
    <t>SB18</t>
  </si>
  <si>
    <t>SB19</t>
  </si>
  <si>
    <t>SB20</t>
  </si>
  <si>
    <t>SB21</t>
  </si>
  <si>
    <t>SB22</t>
  </si>
  <si>
    <t>SB23</t>
  </si>
  <si>
    <t>SB24</t>
  </si>
  <si>
    <t>SB25</t>
  </si>
  <si>
    <t>MB26</t>
  </si>
  <si>
    <t>MB27</t>
  </si>
  <si>
    <t>MB28</t>
  </si>
  <si>
    <t>MB29</t>
  </si>
  <si>
    <t>MB30</t>
  </si>
  <si>
    <t>MB31</t>
  </si>
  <si>
    <t>MB32</t>
  </si>
  <si>
    <t>MB33</t>
  </si>
  <si>
    <t>MB34</t>
  </si>
  <si>
    <t>MB35</t>
  </si>
  <si>
    <t>MB36</t>
  </si>
  <si>
    <t>MB37</t>
  </si>
  <si>
    <t>MB38</t>
  </si>
  <si>
    <t>MB39</t>
  </si>
  <si>
    <t>MB40</t>
  </si>
  <si>
    <t>MB41</t>
  </si>
  <si>
    <t>MB42</t>
  </si>
  <si>
    <t>MB43</t>
  </si>
  <si>
    <t>MB44</t>
  </si>
  <si>
    <t>MB45</t>
  </si>
  <si>
    <t>MB46</t>
  </si>
  <si>
    <t>MB47</t>
  </si>
  <si>
    <t>MB48</t>
  </si>
  <si>
    <t>MB49</t>
  </si>
  <si>
    <t>MB50</t>
  </si>
  <si>
    <t>BB51</t>
  </si>
  <si>
    <t>BB52</t>
  </si>
  <si>
    <t>BB53</t>
  </si>
  <si>
    <t>BB56</t>
  </si>
  <si>
    <t>BB57</t>
  </si>
  <si>
    <t>BB60</t>
  </si>
  <si>
    <t>BB67</t>
  </si>
  <si>
    <t>BB71</t>
  </si>
  <si>
    <t>BB75</t>
  </si>
  <si>
    <t>BB77</t>
  </si>
  <si>
    <t>BB79</t>
  </si>
  <si>
    <t>QB54</t>
  </si>
  <si>
    <t>QB59</t>
  </si>
  <si>
    <t>QB61</t>
  </si>
  <si>
    <t>QB64</t>
  </si>
  <si>
    <t>QB65</t>
  </si>
  <si>
    <t>QB68</t>
  </si>
  <si>
    <t>QB69</t>
  </si>
  <si>
    <t>FB55</t>
  </si>
  <si>
    <t>FB62</t>
  </si>
  <si>
    <t>FB63</t>
  </si>
  <si>
    <t>FB70</t>
  </si>
  <si>
    <t>FB72</t>
  </si>
  <si>
    <t>TB76</t>
  </si>
  <si>
    <t>IB80</t>
  </si>
  <si>
    <t>IB81</t>
  </si>
  <si>
    <t>IB82</t>
  </si>
  <si>
    <t>IB83</t>
  </si>
  <si>
    <t>IB84</t>
  </si>
  <si>
    <t>IB85</t>
  </si>
  <si>
    <t>IB86</t>
  </si>
  <si>
    <t>IB87</t>
  </si>
  <si>
    <t>IB88</t>
  </si>
  <si>
    <t>IB89</t>
  </si>
  <si>
    <t>IB90</t>
  </si>
  <si>
    <t>IB91</t>
  </si>
  <si>
    <t>IB92</t>
  </si>
  <si>
    <t>IB93</t>
  </si>
  <si>
    <t>IB94</t>
  </si>
  <si>
    <t>IB95</t>
  </si>
  <si>
    <t>IB96</t>
  </si>
  <si>
    <t>IB97</t>
  </si>
  <si>
    <t>IB98</t>
  </si>
  <si>
    <t>IB99</t>
  </si>
  <si>
    <t>IB100</t>
  </si>
  <si>
    <t>IB101</t>
  </si>
  <si>
    <t>IB102</t>
  </si>
  <si>
    <t>IB103</t>
  </si>
  <si>
    <t>IB104</t>
  </si>
  <si>
    <t>IB105</t>
  </si>
  <si>
    <t>IB106</t>
  </si>
  <si>
    <t>IB107</t>
  </si>
  <si>
    <t>IB108</t>
  </si>
  <si>
    <t>IB109</t>
  </si>
  <si>
    <t>IB110</t>
  </si>
  <si>
    <t>IB111</t>
  </si>
  <si>
    <t>IB112</t>
  </si>
  <si>
    <t>IB113</t>
  </si>
  <si>
    <t>IB114</t>
  </si>
  <si>
    <t>IB115</t>
  </si>
  <si>
    <t>IB116</t>
  </si>
  <si>
    <t>IB117</t>
  </si>
  <si>
    <t>IB118</t>
  </si>
  <si>
    <t>IB119</t>
  </si>
  <si>
    <t>IB120</t>
  </si>
  <si>
    <t>IB121</t>
  </si>
  <si>
    <t>IB122</t>
  </si>
  <si>
    <t>IB123</t>
  </si>
  <si>
    <t>IB124</t>
  </si>
  <si>
    <t>IB125</t>
  </si>
  <si>
    <t>IB126</t>
  </si>
  <si>
    <t>IB127</t>
  </si>
  <si>
    <t>IB128</t>
  </si>
  <si>
    <t>IB129</t>
  </si>
  <si>
    <t>IB130</t>
  </si>
  <si>
    <t>IB131</t>
  </si>
  <si>
    <t>IB132</t>
  </si>
  <si>
    <t>IB133</t>
  </si>
  <si>
    <t>IB134</t>
  </si>
  <si>
    <t>SC1</t>
  </si>
  <si>
    <t>SC2</t>
  </si>
  <si>
    <t>SC3</t>
  </si>
  <si>
    <t>SC4</t>
  </si>
  <si>
    <t>SC5</t>
  </si>
  <si>
    <t>SC6</t>
  </si>
  <si>
    <t>SC7</t>
  </si>
  <si>
    <t>SC8</t>
  </si>
  <si>
    <t>SC9</t>
  </si>
  <si>
    <t>SC10</t>
  </si>
  <si>
    <t>SC11</t>
  </si>
  <si>
    <t>SC12</t>
  </si>
  <si>
    <t>SC13</t>
  </si>
  <si>
    <t>SC14</t>
  </si>
  <si>
    <t>SC15</t>
  </si>
  <si>
    <t>SC16</t>
  </si>
  <si>
    <t>SC17</t>
  </si>
  <si>
    <t>SC18</t>
  </si>
  <si>
    <t>SC19</t>
  </si>
  <si>
    <t>SC20</t>
  </si>
  <si>
    <t>SC21</t>
  </si>
  <si>
    <t>SC22</t>
  </si>
  <si>
    <t>SC23</t>
  </si>
  <si>
    <t>SC24</t>
  </si>
  <si>
    <t>SC25</t>
  </si>
  <si>
    <t>MC26</t>
  </si>
  <si>
    <t>MC27</t>
  </si>
  <si>
    <t>MC28</t>
  </si>
  <si>
    <t>MC29</t>
  </si>
  <si>
    <t>MC30</t>
  </si>
  <si>
    <t>MC31</t>
  </si>
  <si>
    <t>MC32</t>
  </si>
  <si>
    <t>MC33</t>
  </si>
  <si>
    <t>MC34</t>
  </si>
  <si>
    <t>MC35</t>
  </si>
  <si>
    <t>MC36</t>
  </si>
  <si>
    <t>MC37</t>
  </si>
  <si>
    <t>MC38</t>
  </si>
  <si>
    <t>MC39</t>
  </si>
  <si>
    <t>MC40</t>
  </si>
  <si>
    <t>MC41</t>
  </si>
  <si>
    <t>MC42</t>
  </si>
  <si>
    <t>MC43</t>
  </si>
  <si>
    <t>MC44</t>
  </si>
  <si>
    <t>MC45</t>
  </si>
  <si>
    <t>MC46</t>
  </si>
  <si>
    <t>MC47</t>
  </si>
  <si>
    <t>MC48</t>
  </si>
  <si>
    <t>MC49</t>
  </si>
  <si>
    <t>MC50</t>
  </si>
  <si>
    <t>BC51</t>
  </si>
  <si>
    <t>BC52</t>
  </si>
  <si>
    <t>BC53</t>
  </si>
  <si>
    <t>BC56</t>
  </si>
  <si>
    <t>BC57</t>
  </si>
  <si>
    <t>BC60</t>
  </si>
  <si>
    <t>BC67</t>
  </si>
  <si>
    <t>BC71</t>
  </si>
  <si>
    <t>BC75</t>
  </si>
  <si>
    <t>BC77</t>
  </si>
  <si>
    <t>BC79</t>
  </si>
  <si>
    <t>QC54</t>
  </si>
  <si>
    <t>QC59</t>
  </si>
  <si>
    <t>QC61</t>
  </si>
  <si>
    <t>QC64</t>
  </si>
  <si>
    <t>QC65</t>
  </si>
  <si>
    <t>QC68</t>
  </si>
  <si>
    <t>QC69</t>
  </si>
  <si>
    <t>FC55</t>
  </si>
  <si>
    <t>FC62</t>
  </si>
  <si>
    <t>FC63</t>
  </si>
  <si>
    <t>FC70</t>
  </si>
  <si>
    <t>FC72</t>
  </si>
  <si>
    <t>TC76</t>
  </si>
  <si>
    <t>IC80</t>
  </si>
  <si>
    <t>IC81</t>
  </si>
  <si>
    <t>IC82</t>
  </si>
  <si>
    <t>IC83</t>
  </si>
  <si>
    <t>IC84</t>
  </si>
  <si>
    <t>IC85</t>
  </si>
  <si>
    <t>IC86</t>
  </si>
  <si>
    <t>IC87</t>
  </si>
  <si>
    <t>IC88</t>
  </si>
  <si>
    <t>IC89</t>
  </si>
  <si>
    <t>IC90</t>
  </si>
  <si>
    <t>IC91</t>
  </si>
  <si>
    <t>IC92</t>
  </si>
  <si>
    <t>IC93</t>
  </si>
  <si>
    <t>IC94</t>
  </si>
  <si>
    <t>IC95</t>
  </si>
  <si>
    <t>IC96</t>
  </si>
  <si>
    <t>IC97</t>
  </si>
  <si>
    <t>IC98</t>
  </si>
  <si>
    <t>IC99</t>
  </si>
  <si>
    <t>IC100</t>
  </si>
  <si>
    <t>IC101</t>
  </si>
  <si>
    <t>IC102</t>
  </si>
  <si>
    <t>IC103</t>
  </si>
  <si>
    <t>IC104</t>
  </si>
  <si>
    <t>IC105</t>
  </si>
  <si>
    <t>IC106</t>
  </si>
  <si>
    <t>IC107</t>
  </si>
  <si>
    <t>IC108</t>
  </si>
  <si>
    <t>IC109</t>
  </si>
  <si>
    <t>IC110</t>
  </si>
  <si>
    <t>IC111</t>
  </si>
  <si>
    <t>IC112</t>
  </si>
  <si>
    <t>IC113</t>
  </si>
  <si>
    <t>IC114</t>
  </si>
  <si>
    <t>IC115</t>
  </si>
  <si>
    <t>IC116</t>
  </si>
  <si>
    <t>IC117</t>
  </si>
  <si>
    <t>IC118</t>
  </si>
  <si>
    <t>IC119</t>
  </si>
  <si>
    <t>IC120</t>
  </si>
  <si>
    <t>IC121</t>
  </si>
  <si>
    <t>IC122</t>
  </si>
  <si>
    <t>IC123</t>
  </si>
  <si>
    <t>IC124</t>
  </si>
  <si>
    <t>IC125</t>
  </si>
  <si>
    <t>IC126</t>
  </si>
  <si>
    <t>IC127</t>
  </si>
  <si>
    <t>IC128</t>
  </si>
  <si>
    <t>IC129</t>
  </si>
  <si>
    <t>IC130</t>
  </si>
  <si>
    <t>IC131</t>
  </si>
  <si>
    <t>IC132</t>
  </si>
  <si>
    <t>IC133</t>
  </si>
  <si>
    <t>IC134</t>
  </si>
  <si>
    <t>SD1</t>
  </si>
  <si>
    <t>SD2</t>
  </si>
  <si>
    <t>SD3</t>
  </si>
  <si>
    <t>SD4</t>
  </si>
  <si>
    <t>SD5</t>
  </si>
  <si>
    <t>SD6</t>
  </si>
  <si>
    <t>SD7</t>
  </si>
  <si>
    <t>SD8</t>
  </si>
  <si>
    <t>SD9</t>
  </si>
  <si>
    <t>SD10</t>
  </si>
  <si>
    <t>SD11</t>
  </si>
  <si>
    <t>SD12</t>
  </si>
  <si>
    <t>SD13</t>
  </si>
  <si>
    <t>SD14</t>
  </si>
  <si>
    <t>SD15</t>
  </si>
  <si>
    <t>SD16</t>
  </si>
  <si>
    <t>SD17</t>
  </si>
  <si>
    <t>SD18</t>
  </si>
  <si>
    <t>SD19</t>
  </si>
  <si>
    <t>SD20</t>
  </si>
  <si>
    <t>SD21</t>
  </si>
  <si>
    <t>SD22</t>
  </si>
  <si>
    <t>SD23</t>
  </si>
  <si>
    <t>SD24</t>
  </si>
  <si>
    <t>SD25</t>
  </si>
  <si>
    <t>MD26</t>
  </si>
  <si>
    <t>MD27</t>
  </si>
  <si>
    <t>MD28</t>
  </si>
  <si>
    <t>MD29</t>
  </si>
  <si>
    <t>MD30</t>
  </si>
  <si>
    <t>MD31</t>
  </si>
  <si>
    <t>MD32</t>
  </si>
  <si>
    <t>MD33</t>
  </si>
  <si>
    <t>MD34</t>
  </si>
  <si>
    <t>MD35</t>
  </si>
  <si>
    <t>MD36</t>
  </si>
  <si>
    <t>MD37</t>
  </si>
  <si>
    <t>MD38</t>
  </si>
  <si>
    <t>MD39</t>
  </si>
  <si>
    <t>MD40</t>
  </si>
  <si>
    <t>MD41</t>
  </si>
  <si>
    <t>MD42</t>
  </si>
  <si>
    <t>MD43</t>
  </si>
  <si>
    <t>MD44</t>
  </si>
  <si>
    <t>MD45</t>
  </si>
  <si>
    <t>MD46</t>
  </si>
  <si>
    <t>MD47</t>
  </si>
  <si>
    <t>MD48</t>
  </si>
  <si>
    <t>MD49</t>
  </si>
  <si>
    <t>MD50</t>
  </si>
  <si>
    <t>BD51</t>
  </si>
  <si>
    <t>BD52</t>
  </si>
  <si>
    <t>BD53</t>
  </si>
  <si>
    <t>BD56</t>
  </si>
  <si>
    <t>BD57</t>
  </si>
  <si>
    <t>BD60</t>
  </si>
  <si>
    <t>BD67</t>
  </si>
  <si>
    <t>BD71</t>
  </si>
  <si>
    <t>BD75</t>
  </si>
  <si>
    <t>BD77</t>
  </si>
  <si>
    <t>BD79</t>
  </si>
  <si>
    <t>QD54</t>
  </si>
  <si>
    <t>QD59</t>
  </si>
  <si>
    <t>QD61</t>
  </si>
  <si>
    <t>QD64</t>
  </si>
  <si>
    <t>QD65</t>
  </si>
  <si>
    <t>QD68</t>
  </si>
  <si>
    <t>QD69</t>
  </si>
  <si>
    <t>FD55</t>
  </si>
  <si>
    <t>FD62</t>
  </si>
  <si>
    <t>FD63</t>
  </si>
  <si>
    <t>FD70</t>
  </si>
  <si>
    <t>FD72</t>
  </si>
  <si>
    <t>TD76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</si>
  <si>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</si>
  <si>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</si>
  <si>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</si>
  <si>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</si>
  <si>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</si>
  <si>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</si>
  <si>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</si>
  <si>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</si>
  <si>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</si>
  <si>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</si>
  <si>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</si>
  <si>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</si>
  <si>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</si>
  <si>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</si>
  <si>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</si>
  <si>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</si>
  <si>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</si>
  <si>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</si>
  <si>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</si>
  <si>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</si>
  <si>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</si>
  <si>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</si>
  <si>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</si>
  <si>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</si>
  <si>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</si>
  <si>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</si>
  <si>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</si>
  <si>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</si>
  <si>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ID108</t>
  </si>
  <si>
    <t>ID109</t>
  </si>
  <si>
    <t>ID110</t>
  </si>
  <si>
    <t>ID111</t>
  </si>
  <si>
    <t>ID112</t>
  </si>
  <si>
    <t>ID113</t>
  </si>
  <si>
    <t>ID114</t>
  </si>
  <si>
    <t>ID115</t>
  </si>
  <si>
    <t>ID116</t>
  </si>
  <si>
    <t>ID117</t>
  </si>
  <si>
    <t>ID118</t>
  </si>
  <si>
    <t>ID119</t>
  </si>
  <si>
    <t>ID120</t>
  </si>
  <si>
    <t>ID121</t>
  </si>
  <si>
    <t>ID122</t>
  </si>
  <si>
    <t>ID123</t>
  </si>
  <si>
    <t>ID124</t>
  </si>
  <si>
    <t>ID125</t>
  </si>
  <si>
    <t>ID126</t>
  </si>
  <si>
    <t>ID127</t>
  </si>
  <si>
    <t>ID128</t>
  </si>
  <si>
    <t>ID129</t>
  </si>
  <si>
    <t>ID130</t>
  </si>
  <si>
    <t>ID131</t>
  </si>
  <si>
    <t>ID132</t>
  </si>
  <si>
    <t>ID133</t>
  </si>
  <si>
    <t>ID134</t>
  </si>
  <si>
    <t>IE80</t>
  </si>
  <si>
    <t>IE81</t>
  </si>
  <si>
    <t>IE82</t>
  </si>
  <si>
    <t>IE83</t>
  </si>
  <si>
    <t>IE84</t>
  </si>
  <si>
    <t>IE85</t>
  </si>
  <si>
    <t>IE86</t>
  </si>
  <si>
    <t>IE87</t>
  </si>
  <si>
    <t>IE88</t>
  </si>
  <si>
    <t>IE89</t>
  </si>
  <si>
    <t>IE90</t>
  </si>
  <si>
    <t>IE91</t>
  </si>
  <si>
    <t>IE92</t>
  </si>
  <si>
    <t>IE93</t>
  </si>
  <si>
    <t>IE94</t>
  </si>
  <si>
    <t>IE95</t>
  </si>
  <si>
    <t>IE96</t>
  </si>
  <si>
    <t>IE97</t>
  </si>
  <si>
    <t>IE98</t>
  </si>
  <si>
    <t>IE99</t>
  </si>
  <si>
    <t>IE100</t>
  </si>
  <si>
    <t>IE101</t>
  </si>
  <si>
    <t>IE102</t>
  </si>
  <si>
    <t>IE103</t>
  </si>
  <si>
    <t>IE104</t>
  </si>
  <si>
    <t>IE105</t>
  </si>
  <si>
    <t>IE106</t>
  </si>
  <si>
    <t>IE107</t>
  </si>
  <si>
    <t>IE108</t>
  </si>
  <si>
    <t>IE109</t>
  </si>
  <si>
    <t>IE110</t>
  </si>
  <si>
    <t>IE111</t>
  </si>
  <si>
    <t>IE112</t>
  </si>
  <si>
    <t>IE113</t>
  </si>
  <si>
    <t>IE114</t>
  </si>
  <si>
    <t>IE115</t>
  </si>
  <si>
    <t>IE116</t>
  </si>
  <si>
    <t>IE117</t>
  </si>
  <si>
    <t>IE118</t>
  </si>
  <si>
    <t>IE119</t>
  </si>
  <si>
    <t>IE120</t>
  </si>
  <si>
    <t>IE121</t>
  </si>
  <si>
    <t>IE122</t>
  </si>
  <si>
    <t>IE123</t>
  </si>
  <si>
    <t>IE124</t>
  </si>
  <si>
    <t>IE125</t>
  </si>
  <si>
    <t>IE126</t>
  </si>
  <si>
    <t>IE127</t>
  </si>
  <si>
    <t>IE128</t>
  </si>
  <si>
    <t>IE129</t>
  </si>
  <si>
    <t>IE130</t>
  </si>
  <si>
    <t>IE131</t>
  </si>
  <si>
    <t>IE132</t>
  </si>
  <si>
    <t>IE133</t>
  </si>
  <si>
    <t>IE134</t>
  </si>
  <si>
    <t>IF80</t>
  </si>
  <si>
    <t>IF81</t>
  </si>
  <si>
    <t>IF82</t>
  </si>
  <si>
    <t>IF83</t>
  </si>
  <si>
    <t>IF84</t>
  </si>
  <si>
    <t>IF85</t>
  </si>
  <si>
    <t>IF86</t>
  </si>
  <si>
    <t>IF87</t>
  </si>
  <si>
    <t>IF88</t>
  </si>
  <si>
    <t>IF89</t>
  </si>
  <si>
    <t>IF90</t>
  </si>
  <si>
    <t>IF91</t>
  </si>
  <si>
    <t>IF92</t>
  </si>
  <si>
    <t>IF93</t>
  </si>
  <si>
    <t>IF94</t>
  </si>
  <si>
    <t>IF95</t>
  </si>
  <si>
    <t>IF96</t>
  </si>
  <si>
    <t>IF97</t>
  </si>
  <si>
    <t>IF98</t>
  </si>
  <si>
    <t>IF99</t>
  </si>
  <si>
    <t>IF100</t>
  </si>
  <si>
    <t>IF101</t>
  </si>
  <si>
    <t>IF102</t>
  </si>
  <si>
    <t>IF103</t>
  </si>
  <si>
    <t>IF104</t>
  </si>
  <si>
    <t>IF105</t>
  </si>
  <si>
    <t>IF106</t>
  </si>
  <si>
    <t>IF107</t>
  </si>
  <si>
    <t>IF108</t>
  </si>
  <si>
    <t>IF109</t>
  </si>
  <si>
    <t>IF110</t>
  </si>
  <si>
    <t>IF111</t>
  </si>
  <si>
    <t>IF112</t>
  </si>
  <si>
    <t>IF113</t>
  </si>
  <si>
    <t>IF114</t>
  </si>
  <si>
    <t>IF115</t>
  </si>
  <si>
    <t>IF116</t>
  </si>
  <si>
    <t>IF117</t>
  </si>
  <si>
    <t>IF118</t>
  </si>
  <si>
    <t>IF119</t>
  </si>
  <si>
    <t>IF120</t>
  </si>
  <si>
    <t>IF121</t>
  </si>
  <si>
    <t>IF122</t>
  </si>
  <si>
    <t>IF123</t>
  </si>
  <si>
    <t>IF124</t>
  </si>
  <si>
    <t>IF125</t>
  </si>
  <si>
    <t>IF126</t>
  </si>
  <si>
    <t>IF127</t>
  </si>
  <si>
    <t>IF128</t>
  </si>
  <si>
    <t>IF129</t>
  </si>
  <si>
    <t>IF130</t>
  </si>
  <si>
    <t>IF131</t>
  </si>
  <si>
    <t>IF132</t>
  </si>
  <si>
    <t>IF133</t>
  </si>
  <si>
    <t>IF134</t>
  </si>
  <si>
    <t>IG80</t>
  </si>
  <si>
    <t>IG81</t>
  </si>
  <si>
    <t>IG82</t>
  </si>
  <si>
    <t>IG83</t>
  </si>
  <si>
    <t>IG84</t>
  </si>
  <si>
    <t>IG85</t>
  </si>
  <si>
    <t>IG86</t>
  </si>
  <si>
    <t>IG87</t>
  </si>
  <si>
    <t>IG88</t>
  </si>
  <si>
    <t>IG89</t>
  </si>
  <si>
    <t>IG90</t>
  </si>
  <si>
    <t>IG91</t>
  </si>
  <si>
    <t>IG92</t>
  </si>
  <si>
    <t>IG93</t>
  </si>
  <si>
    <t>IG94</t>
  </si>
  <si>
    <t>IG95</t>
  </si>
  <si>
    <t>IG96</t>
  </si>
  <si>
    <t>IG97</t>
  </si>
  <si>
    <t>IG98</t>
  </si>
  <si>
    <t>IG99</t>
  </si>
  <si>
    <t>IG100</t>
  </si>
  <si>
    <t>IG101</t>
  </si>
  <si>
    <t>IG102</t>
  </si>
  <si>
    <t>IG103</t>
  </si>
  <si>
    <t>IG104</t>
  </si>
  <si>
    <t>IG105</t>
  </si>
  <si>
    <t>IG106</t>
  </si>
  <si>
    <t>IG107</t>
  </si>
  <si>
    <t>IG108</t>
  </si>
  <si>
    <t>IG109</t>
  </si>
  <si>
    <t>IG110</t>
  </si>
  <si>
    <t>IG111</t>
  </si>
  <si>
    <t>IG112</t>
  </si>
  <si>
    <t>IG113</t>
  </si>
  <si>
    <t>IG114</t>
  </si>
  <si>
    <t>IG115</t>
  </si>
  <si>
    <t>IG116</t>
  </si>
  <si>
    <t>IG117</t>
  </si>
  <si>
    <t>IG118</t>
  </si>
  <si>
    <t>IG119</t>
  </si>
  <si>
    <t>IG120</t>
  </si>
  <si>
    <t>IG121</t>
  </si>
  <si>
    <t>IG122</t>
  </si>
  <si>
    <t>IG123</t>
  </si>
  <si>
    <t>IG124</t>
  </si>
  <si>
    <t>IG125</t>
  </si>
  <si>
    <t>IG126</t>
  </si>
  <si>
    <t>IG127</t>
  </si>
  <si>
    <t>IG128</t>
  </si>
  <si>
    <t>IG129</t>
  </si>
  <si>
    <t>IG130</t>
  </si>
  <si>
    <t>IG131</t>
  </si>
  <si>
    <t>IG132</t>
  </si>
  <si>
    <t>IG133</t>
  </si>
  <si>
    <t>IG134</t>
  </si>
  <si>
    <t>MUL</t>
  </si>
  <si>
    <t>BLA</t>
  </si>
  <si>
    <t>49.2</t>
  </si>
  <si>
    <t>29.9</t>
  </si>
  <si>
    <t>64.9</t>
  </si>
  <si>
    <t>92.0</t>
  </si>
  <si>
    <t>BA107</t>
  </si>
  <si>
    <t>FA97</t>
  </si>
  <si>
    <t>BB107</t>
  </si>
  <si>
    <t>FB97</t>
  </si>
  <si>
    <t>BC107</t>
  </si>
  <si>
    <t>FC97</t>
  </si>
  <si>
    <t>BD107</t>
  </si>
  <si>
    <t>FD97</t>
  </si>
  <si>
    <t>QA66</t>
  </si>
  <si>
    <t>QA74</t>
  </si>
  <si>
    <t>FA58</t>
  </si>
  <si>
    <t>FA73</t>
  </si>
  <si>
    <t>TA78</t>
  </si>
  <si>
    <t>QB66</t>
  </si>
  <si>
    <t>QB74</t>
  </si>
  <si>
    <t>FB58</t>
  </si>
  <si>
    <t>FB73</t>
  </si>
  <si>
    <t>TB78</t>
  </si>
  <si>
    <t>QC66</t>
  </si>
  <si>
    <t>QC74</t>
  </si>
  <si>
    <t>FC58</t>
  </si>
  <si>
    <t>FC73</t>
  </si>
  <si>
    <t>TC78</t>
  </si>
  <si>
    <t>QD66</t>
  </si>
  <si>
    <t>QD74</t>
  </si>
  <si>
    <t>FD73</t>
  </si>
  <si>
    <t>TD78</t>
  </si>
  <si>
    <t>FD58</t>
  </si>
  <si>
    <t>52.5</t>
  </si>
  <si>
    <t>40.8</t>
  </si>
  <si>
    <t>45.8</t>
  </si>
  <si>
    <t>42.0</t>
  </si>
  <si>
    <t>35.0</t>
  </si>
  <si>
    <t>44.0</t>
  </si>
  <si>
    <t>32.8</t>
  </si>
  <si>
    <t>37.0</t>
  </si>
  <si>
    <t>27.6</t>
  </si>
  <si>
    <t>48.0</t>
  </si>
  <si>
    <t>39.2</t>
  </si>
  <si>
    <t>AC</t>
  </si>
  <si>
    <t>30.8</t>
  </si>
  <si>
    <t>43.0</t>
  </si>
  <si>
    <t>37.5</t>
  </si>
  <si>
    <t>34.0</t>
  </si>
  <si>
    <t>33.0</t>
  </si>
  <si>
    <t>27.5</t>
  </si>
  <si>
    <t>25.0</t>
  </si>
  <si>
    <t>34.2</t>
  </si>
  <si>
    <t>37.3</t>
  </si>
  <si>
    <t>35.1</t>
  </si>
  <si>
    <t>31.3</t>
  </si>
  <si>
    <t>38.8</t>
  </si>
  <si>
    <t>32.1</t>
  </si>
  <si>
    <t>26.1</t>
  </si>
  <si>
    <t>25.4</t>
  </si>
  <si>
    <t>38.0</t>
  </si>
  <si>
    <t>28.4</t>
  </si>
  <si>
    <t>39.0</t>
  </si>
  <si>
    <t>#</t>
  </si>
  <si>
    <t>ANÁLISIS ITEM DE MATEMÁTICA</t>
  </si>
  <si>
    <t>ANÁLISIS ITEM DE LECTURA CRITICA</t>
  </si>
  <si>
    <t>ANÁLISIS ITEM DE SOCIALES Y CIUDADANA</t>
  </si>
  <si>
    <t>ANÁLISIS ITEM DE CIENCIAS NATURALES</t>
  </si>
  <si>
    <t>ANÁLISIS ITEM DE INGLES PARTE 1 Y 2</t>
  </si>
  <si>
    <t>RESPUESTAS Y ANÁLISIS AL ITEM DE LA SEGUNDA SESIÓN</t>
  </si>
  <si>
    <t>RESPUESTAS Y ANÁLISIS AL ITEM DE LA PRIMERA SESIÓN</t>
  </si>
  <si>
    <t>ANÁLISIS ITEM DE INGLES PARTES           3 - 4 - 5 - 6 - 7</t>
  </si>
  <si>
    <t>cerro tofeme monteria 1sesion [4053]</t>
  </si>
  <si>
    <t>76.7</t>
  </si>
  <si>
    <t>mar. 14 2026 09:28 a.Â m.</t>
  </si>
  <si>
    <t>mar. 14 2026 09:34 a.Â m.</t>
  </si>
  <si>
    <t>32.5</t>
  </si>
  <si>
    <t>31.7</t>
  </si>
  <si>
    <t>mar. 14 2026 09:30 a.Â m.</t>
  </si>
  <si>
    <t>29.0</t>
  </si>
  <si>
    <t>24.2</t>
  </si>
  <si>
    <t>20.8</t>
  </si>
  <si>
    <t>mar. 14 2026 09:31 a.Â m.</t>
  </si>
  <si>
    <t>mar. 14 2026 09:32 a.Â m.</t>
  </si>
  <si>
    <t>mar. 14 2026 09:33 a.Â m.</t>
  </si>
  <si>
    <t>cerro tofeme monteria 2da sesiÃ³n [4077]</t>
  </si>
  <si>
    <t>mar. 14 2026 09:29 a.Â m.</t>
  </si>
  <si>
    <t>mar. 14 2026 09:35 a.Â m.</t>
  </si>
  <si>
    <t>24.6</t>
  </si>
  <si>
    <t>AF</t>
  </si>
  <si>
    <t>AGRESOT SUAREZ DIEGO ALEJANDRO</t>
  </si>
  <si>
    <t>BRAVO FLOREZ MIGUEL ANDRES</t>
  </si>
  <si>
    <t>CALDERA CALVO MARIA ALEJANDRA</t>
  </si>
  <si>
    <t>CARVAJAL MIRANDA YOELIS MARIA</t>
  </si>
  <si>
    <t>DIAZ DONADO ROSA ANDREA</t>
  </si>
  <si>
    <t>DIAZ MARTINEZ DINA MARCELA</t>
  </si>
  <si>
    <t>LAGARES PEREZ OVIER ANTONIO</t>
  </si>
  <si>
    <t xml:space="preserve">SANTANA RAMOS EUSEBIO </t>
  </si>
  <si>
    <t xml:space="preserve">TRIVIÑO AYALA JONATHAN </t>
  </si>
  <si>
    <t>VELASQUEZ GANOT MARIA JOSE</t>
  </si>
  <si>
    <t>ZARZA BARRAGAN JOHAN SEBASTIAN</t>
  </si>
  <si>
    <t xml:space="preserve">BENITEZ GALINDO SAMUEL DAVID  </t>
  </si>
  <si>
    <t xml:space="preserve">CASTAÑO EMERIS DANIELA LUCIA  </t>
  </si>
  <si>
    <t xml:space="preserve">CAUSIL RAMOS SANTIAGO DAVID  </t>
  </si>
  <si>
    <t xml:space="preserve">CHAMORRO ARTEAGA JUAN DAVID  </t>
  </si>
  <si>
    <t xml:space="preserve">FLOREZ HERNANDEZ BRAYAN ANDRES  </t>
  </si>
  <si>
    <t xml:space="preserve">LOZANO BENITEZ HECTOR DAVID  </t>
  </si>
  <si>
    <t xml:space="preserve">MACHADO CARVAJAL YANDRI VANESSA  </t>
  </si>
  <si>
    <t xml:space="preserve">MARTINEZ CAUCIL SARETH MILENA  </t>
  </si>
  <si>
    <t xml:space="preserve">MERCADO RAMOS DANIELA SOFIA  </t>
  </si>
  <si>
    <t xml:space="preserve">RAMOS MESTRA FABIAN DE JESUS  </t>
  </si>
  <si>
    <t xml:space="preserve">RAMOS RAMOS SEBASTIAN ANDRES  </t>
  </si>
  <si>
    <t>ALVAREZ MARQUEZ FRANK LUIS</t>
  </si>
  <si>
    <t>BRAVO OVALLES KAMILA ANDREA</t>
  </si>
  <si>
    <t xml:space="preserve">FLOREZ PEREIRA SARAY </t>
  </si>
  <si>
    <t>MARQUEZ BARRAGAN DAIVER JOSE</t>
  </si>
  <si>
    <t>MARQUEZ CERMEÑO ELY JOHANA</t>
  </si>
  <si>
    <t xml:space="preserve">RUIZ OLIVARES MARISOL </t>
  </si>
  <si>
    <t>SOTO MARTINEZ YURANIS PAOLA</t>
  </si>
  <si>
    <t>VELASQUEZ PASCACIO ADRIANA JOSÉ</t>
  </si>
  <si>
    <t xml:space="preserve">SEGUIMIENTO CERRO TOFEME  SAN JOSE DE LOMA VERDE    GRADO 11° GENERAL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</si>
</sst>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FFFF"/>
      <name val="Algerian"/>
      <family val="5"/>
    </font>
    <font>
      <b/>
      <sz val="10"/>
      <color theme="1"/>
      <name val="Tahoma"/>
      <family val="2"/>
    </font>
    <font>
      <b/>
      <sz val="14"/>
      <color theme="1"/>
      <name val="Calibri"/>
      <family val="2"/>
      <scheme val="minor"/>
    </font>
    <font>
      <b/>
      <sz val="12"/>
      <color rgb="FFFFFFFF"/>
      <name val="Algerian"/>
      <family val="5"/>
    </font>
    <font>
      <sz val="14"/>
      <color rgb="FF000000"/>
      <name val="Algerian"/>
      <family val="5"/>
    </font>
    <font>
      <b/>
      <sz val="11"/>
      <color rgb="FFFF0000"/>
      <name val="Calibri"/>
      <family val="2"/>
      <scheme val="minor"/>
    </font>
    <font>
      <b/>
      <sz val="11"/>
      <color theme="1"/>
      <name val="Arial Black"/>
      <family val="2"/>
    </font>
    <font>
      <b/>
      <sz val="10"/>
      <color theme="1"/>
      <name val="Arial Black"/>
      <family val="2"/>
    </font>
    <font>
      <b/>
      <sz val="10"/>
      <color theme="0"/>
      <name val="Arial Black"/>
      <family val="2"/>
    </font>
    <font>
      <sz val="22"/>
      <color rgb="FFC00000"/>
      <name val="Arial Black"/>
      <family val="2"/>
    </font>
    <font>
      <sz val="20"/>
      <color rgb="FFC00000"/>
      <name val="Arial Black"/>
      <family val="2"/>
    </font>
  </fonts>
  <fills count="5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9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B0F0"/>
      </left>
      <right style="medium">
        <color rgb="FF00B0F0"/>
      </right>
      <top style="medium">
        <color rgb="FF00B0F0"/>
      </top>
      <bottom style="medium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rgb="FF00B0F0"/>
      </left>
      <right/>
      <top style="medium">
        <color rgb="FF00B0F0"/>
      </top>
      <bottom style="medium">
        <color rgb="FF00B0F0"/>
      </bottom>
      <diagonal/>
    </border>
    <border>
      <left/>
      <right style="medium">
        <color rgb="FF00B0F0"/>
      </right>
      <top style="medium">
        <color rgb="FF00B0F0"/>
      </top>
      <bottom style="medium">
        <color rgb="FF00B0F0"/>
      </bottom>
      <diagonal/>
    </border>
    <border>
      <left style="medium">
        <color rgb="FF00B0F0"/>
      </left>
      <right style="medium">
        <color rgb="FF00B0F0"/>
      </right>
      <top/>
      <bottom style="medium">
        <color rgb="FF00B0F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/>
      <right style="thick">
        <color rgb="FFFFFFFF"/>
      </right>
      <top/>
      <bottom/>
      <diagonal/>
    </border>
    <border>
      <left/>
      <right style="medium">
        <color rgb="FF70AD47"/>
      </right>
      <top/>
      <bottom style="medium">
        <color rgb="FF70AD47"/>
      </bottom>
      <diagonal/>
    </border>
    <border>
      <left style="medium">
        <color rgb="FF00B050"/>
      </left>
      <right style="thick">
        <color rgb="FFFFFFFF"/>
      </right>
      <top style="medium">
        <color rgb="FF00B050"/>
      </top>
      <bottom/>
      <diagonal/>
    </border>
    <border>
      <left style="thick">
        <color rgb="FFFFFFFF"/>
      </left>
      <right/>
      <top style="medium">
        <color rgb="FF00B050"/>
      </top>
      <bottom style="thick">
        <color rgb="FFFFFFFF"/>
      </bottom>
      <diagonal/>
    </border>
    <border>
      <left/>
      <right/>
      <top style="medium">
        <color rgb="FF00B050"/>
      </top>
      <bottom style="thick">
        <color rgb="FFFFFFFF"/>
      </bottom>
      <diagonal/>
    </border>
    <border>
      <left/>
      <right style="medium">
        <color rgb="FF00B050"/>
      </right>
      <top style="medium">
        <color rgb="FF00B050"/>
      </top>
      <bottom style="thick">
        <color rgb="FFFFFFFF"/>
      </bottom>
      <diagonal/>
    </border>
    <border>
      <left style="medium">
        <color rgb="FF00B050"/>
      </left>
      <right style="thick">
        <color rgb="FFFFFFFF"/>
      </right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 style="medium">
        <color rgb="FF70AD47"/>
      </right>
      <top/>
      <bottom style="medium">
        <color rgb="FF70AD47"/>
      </bottom>
      <diagonal/>
    </border>
    <border>
      <left/>
      <right style="medium">
        <color rgb="FF00B050"/>
      </right>
      <top/>
      <bottom style="medium">
        <color rgb="FF70AD47"/>
      </bottom>
      <diagonal/>
    </border>
    <border>
      <left style="medium">
        <color rgb="FF00B050"/>
      </left>
      <right style="medium">
        <color rgb="FF70AD47"/>
      </right>
      <top/>
      <bottom style="medium">
        <color rgb="FF00B050"/>
      </bottom>
      <diagonal/>
    </border>
    <border>
      <left/>
      <right style="medium">
        <color rgb="FF70AD47"/>
      </right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medium">
        <color rgb="FF00B0F0"/>
      </left>
      <right style="medium">
        <color rgb="FF00B0F0"/>
      </right>
      <top style="medium">
        <color rgb="FF00B0F0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B0F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FFFF00"/>
      </left>
      <right/>
      <top style="medium">
        <color rgb="FFFFFF00"/>
      </top>
      <bottom/>
      <diagonal/>
    </border>
    <border>
      <left/>
      <right/>
      <top style="medium">
        <color rgb="FFFFFF00"/>
      </top>
      <bottom/>
      <diagonal/>
    </border>
    <border>
      <left/>
      <right style="medium">
        <color rgb="FFFFFF00"/>
      </right>
      <top style="medium">
        <color rgb="FFFFFF00"/>
      </top>
      <bottom/>
      <diagonal/>
    </border>
    <border>
      <left style="medium">
        <color rgb="FFFFFF00"/>
      </left>
      <right/>
      <top/>
      <bottom/>
      <diagonal/>
    </border>
    <border>
      <left/>
      <right style="medium">
        <color rgb="FFFFFF00"/>
      </right>
      <top/>
      <bottom/>
      <diagonal/>
    </border>
    <border>
      <left style="thin">
        <color rgb="FFFFFF00"/>
      </left>
      <right/>
      <top/>
      <bottom/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medium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 style="medium">
        <color rgb="FFFFFF00"/>
      </right>
      <top style="thin">
        <color rgb="FFFFFF00"/>
      </top>
      <bottom style="thin">
        <color rgb="FFFFFF00"/>
      </bottom>
      <diagonal/>
    </border>
    <border>
      <left style="medium">
        <color rgb="FFFFFF00"/>
      </left>
      <right style="thin">
        <color rgb="FFFFFF00"/>
      </right>
      <top style="thin">
        <color rgb="FFFFFF00"/>
      </top>
      <bottom style="medium">
        <color rgb="FFFFFF00"/>
      </bottom>
      <diagonal/>
    </border>
    <border>
      <left style="medium">
        <color rgb="FF00B0F0"/>
      </left>
      <right style="thin">
        <color rgb="FF00B0F0"/>
      </right>
      <top style="medium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medium">
        <color rgb="FF00B0F0"/>
      </top>
      <bottom style="thin">
        <color rgb="FF00B0F0"/>
      </bottom>
      <diagonal/>
    </border>
    <border>
      <left style="thin">
        <color rgb="FF00B0F0"/>
      </left>
      <right style="medium">
        <color rgb="FF00B0F0"/>
      </right>
      <top style="medium">
        <color rgb="FF00B0F0"/>
      </top>
      <bottom style="thin">
        <color rgb="FF00B0F0"/>
      </bottom>
      <diagonal/>
    </border>
    <border>
      <left style="medium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medium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rgb="FF00B0F0"/>
      </left>
      <right style="thin">
        <color rgb="FF00B0F0"/>
      </right>
      <top style="thin">
        <color rgb="FF00B0F0"/>
      </top>
      <bottom style="medium">
        <color rgb="FF00B0F0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medium">
        <color rgb="FF00B050"/>
      </left>
      <right style="thin">
        <color rgb="FF00B050"/>
      </right>
      <top style="medium">
        <color rgb="FF00B050"/>
      </top>
      <bottom style="thin">
        <color rgb="FF00B050"/>
      </bottom>
      <diagonal/>
    </border>
    <border>
      <left style="thin">
        <color rgb="FF00B050"/>
      </left>
      <right style="thin">
        <color rgb="FF00B050"/>
      </right>
      <top style="medium">
        <color rgb="FF00B050"/>
      </top>
      <bottom style="thin">
        <color rgb="FF00B050"/>
      </bottom>
      <diagonal/>
    </border>
    <border>
      <left style="thin">
        <color rgb="FF00B050"/>
      </left>
      <right style="medium">
        <color rgb="FF00B050"/>
      </right>
      <top style="medium">
        <color rgb="FF00B050"/>
      </top>
      <bottom style="thin">
        <color rgb="FF00B050"/>
      </bottom>
      <diagonal/>
    </border>
    <border>
      <left style="medium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 style="medium">
        <color rgb="FF00B050"/>
      </right>
      <top style="thin">
        <color rgb="FF00B050"/>
      </top>
      <bottom style="thin">
        <color rgb="FF00B050"/>
      </bottom>
      <diagonal/>
    </border>
    <border>
      <left style="medium">
        <color rgb="FF00B050"/>
      </left>
      <right style="thin">
        <color rgb="FF00B050"/>
      </right>
      <top style="thin">
        <color rgb="FF00B050"/>
      </top>
      <bottom style="medium">
        <color rgb="FF00B050"/>
      </bottom>
      <diagonal/>
    </border>
    <border>
      <left style="medium">
        <color rgb="FF92D050"/>
      </left>
      <right style="thin">
        <color theme="9"/>
      </right>
      <top style="medium">
        <color rgb="FF92D050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medium">
        <color rgb="FF92D050"/>
      </top>
      <bottom style="thin">
        <color theme="9"/>
      </bottom>
      <diagonal/>
    </border>
    <border>
      <left style="thin">
        <color theme="9"/>
      </left>
      <right style="medium">
        <color rgb="FF92D050"/>
      </right>
      <top style="medium">
        <color rgb="FF92D050"/>
      </top>
      <bottom style="thin">
        <color theme="9"/>
      </bottom>
      <diagonal/>
    </border>
    <border>
      <left style="medium">
        <color rgb="FF92D050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medium">
        <color rgb="FF92D050"/>
      </right>
      <top style="thin">
        <color theme="9"/>
      </top>
      <bottom style="thin">
        <color theme="9"/>
      </bottom>
      <diagonal/>
    </border>
    <border>
      <left style="medium">
        <color rgb="FF92D050"/>
      </left>
      <right style="thin">
        <color theme="9"/>
      </right>
      <top style="thin">
        <color theme="9"/>
      </top>
      <bottom style="medium">
        <color rgb="FF92D05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rgb="FFFF0000"/>
      </left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 style="thin">
        <color rgb="FFFF0000"/>
      </left>
      <right style="medium">
        <color rgb="FFFF0000"/>
      </right>
      <top style="medium">
        <color rgb="FFFF0000"/>
      </top>
      <bottom style="thin">
        <color rgb="FFFF0000"/>
      </bottom>
      <diagonal/>
    </border>
    <border>
      <left style="medium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medium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rgb="FFFF0000"/>
      </left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/>
      <diagonal/>
    </border>
    <border>
      <left/>
      <right/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00B050"/>
      </left>
      <right style="medium">
        <color rgb="FFFF0000"/>
      </right>
      <top/>
      <bottom/>
      <diagonal/>
    </border>
    <border>
      <left style="medium">
        <color rgb="FFFFFF00"/>
      </left>
      <right style="medium">
        <color rgb="FF00B050"/>
      </right>
      <top/>
      <bottom/>
      <diagonal/>
    </border>
    <border>
      <left style="medium">
        <color rgb="FF92D050"/>
      </left>
      <right style="medium">
        <color rgb="FFFFFF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7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center"/>
    </xf>
    <xf numFmtId="0" fontId="0" fillId="33" borderId="10" xfId="0" applyFill="1" applyBorder="1"/>
    <xf numFmtId="0" fontId="0" fillId="35" borderId="10" xfId="0" applyFill="1" applyBorder="1"/>
    <xf numFmtId="0" fontId="0" fillId="37" borderId="10" xfId="0" applyFill="1" applyBorder="1"/>
    <xf numFmtId="0" fontId="0" fillId="40" borderId="10" xfId="0" applyFill="1" applyBorder="1"/>
    <xf numFmtId="1" fontId="0" fillId="40" borderId="10" xfId="0" applyNumberFormat="1" applyFill="1" applyBorder="1"/>
    <xf numFmtId="0" fontId="0" fillId="0" borderId="11" xfId="0" applyBorder="1"/>
    <xf numFmtId="1" fontId="0" fillId="0" borderId="12" xfId="0" applyNumberFormat="1" applyBorder="1" applyAlignment="1">
      <alignment horizontal="center"/>
    </xf>
    <xf numFmtId="1" fontId="0" fillId="39" borderId="12" xfId="0" applyNumberFormat="1" applyFill="1" applyBorder="1" applyAlignment="1">
      <alignment horizontal="center"/>
    </xf>
    <xf numFmtId="0" fontId="0" fillId="42" borderId="10" xfId="0" applyFill="1" applyBorder="1"/>
    <xf numFmtId="0" fontId="0" fillId="43" borderId="10" xfId="0" applyFill="1" applyBorder="1"/>
    <xf numFmtId="0" fontId="0" fillId="44" borderId="10" xfId="0" applyFill="1" applyBorder="1"/>
    <xf numFmtId="1" fontId="0" fillId="44" borderId="10" xfId="0" applyNumberFormat="1" applyFill="1" applyBorder="1"/>
    <xf numFmtId="1" fontId="0" fillId="43" borderId="10" xfId="0" applyNumberFormat="1" applyFill="1" applyBorder="1"/>
    <xf numFmtId="1" fontId="0" fillId="42" borderId="10" xfId="0" applyNumberFormat="1" applyFill="1" applyBorder="1"/>
    <xf numFmtId="0" fontId="0" fillId="45" borderId="10" xfId="0" applyFill="1" applyBorder="1"/>
    <xf numFmtId="0" fontId="0" fillId="39" borderId="10" xfId="0" applyFill="1" applyBorder="1"/>
    <xf numFmtId="1" fontId="0" fillId="35" borderId="10" xfId="0" applyNumberFormat="1" applyFill="1" applyBorder="1"/>
    <xf numFmtId="1" fontId="0" fillId="45" borderId="10" xfId="0" applyNumberFormat="1" applyFill="1" applyBorder="1"/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0" fontId="13" fillId="41" borderId="13" xfId="0" applyFont="1" applyFill="1" applyBorder="1" applyAlignment="1">
      <alignment horizontal="center" vertical="center" textRotation="90"/>
    </xf>
    <xf numFmtId="1" fontId="13" fillId="34" borderId="13" xfId="0" applyNumberFormat="1" applyFont="1" applyFill="1" applyBorder="1" applyAlignment="1">
      <alignment horizontal="center"/>
    </xf>
    <xf numFmtId="1" fontId="13" fillId="34" borderId="17" xfId="0" applyNumberFormat="1" applyFont="1" applyFill="1" applyBorder="1" applyAlignment="1">
      <alignment horizontal="center"/>
    </xf>
    <xf numFmtId="0" fontId="13" fillId="41" borderId="10" xfId="0" applyFont="1" applyFill="1" applyBorder="1"/>
    <xf numFmtId="0" fontId="16" fillId="0" borderId="10" xfId="0" applyFont="1" applyBorder="1" applyAlignment="1">
      <alignment horizontal="center"/>
    </xf>
    <xf numFmtId="0" fontId="13" fillId="41" borderId="10" xfId="0" applyFont="1" applyFill="1" applyBorder="1" applyAlignment="1">
      <alignment horizontal="right" vertical="center"/>
    </xf>
    <xf numFmtId="1" fontId="0" fillId="33" borderId="10" xfId="0" applyNumberFormat="1" applyFill="1" applyBorder="1"/>
    <xf numFmtId="1" fontId="0" fillId="46" borderId="10" xfId="0" applyNumberFormat="1" applyFill="1" applyBorder="1"/>
    <xf numFmtId="1" fontId="0" fillId="37" borderId="10" xfId="0" applyNumberFormat="1" applyFill="1" applyBorder="1"/>
    <xf numFmtId="0" fontId="0" fillId="33" borderId="0" xfId="0" applyFill="1"/>
    <xf numFmtId="0" fontId="0" fillId="37" borderId="0" xfId="0" applyFill="1"/>
    <xf numFmtId="0" fontId="0" fillId="44" borderId="0" xfId="0" applyFill="1"/>
    <xf numFmtId="0" fontId="0" fillId="42" borderId="0" xfId="0" applyFill="1"/>
    <xf numFmtId="0" fontId="0" fillId="43" borderId="0" xfId="0" applyFill="1"/>
    <xf numFmtId="0" fontId="0" fillId="45" borderId="0" xfId="0" applyFill="1"/>
    <xf numFmtId="0" fontId="0" fillId="35" borderId="0" xfId="0" applyFill="1"/>
    <xf numFmtId="0" fontId="0" fillId="40" borderId="0" xfId="0" applyFill="1"/>
    <xf numFmtId="0" fontId="20" fillId="0" borderId="0" xfId="0" applyFont="1"/>
    <xf numFmtId="1" fontId="13" fillId="38" borderId="17" xfId="0" applyNumberFormat="1" applyFont="1" applyFill="1" applyBorder="1" applyAlignment="1">
      <alignment horizontal="center"/>
    </xf>
    <xf numFmtId="0" fontId="0" fillId="0" borderId="10" xfId="0" applyBorder="1" applyAlignment="1">
      <alignment horizontal="left" vertical="center"/>
    </xf>
    <xf numFmtId="0" fontId="0" fillId="38" borderId="0" xfId="0" applyFill="1"/>
    <xf numFmtId="0" fontId="23" fillId="0" borderId="24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5" fillId="40" borderId="23" xfId="0" applyFont="1" applyFill="1" applyBorder="1" applyAlignment="1">
      <alignment horizontal="center" vertical="center" wrapText="1"/>
    </xf>
    <xf numFmtId="0" fontId="25" fillId="46" borderId="23" xfId="0" applyFont="1" applyFill="1" applyBorder="1" applyAlignment="1">
      <alignment horizontal="center" vertical="center" wrapText="1"/>
    </xf>
    <xf numFmtId="0" fontId="25" fillId="33" borderId="23" xfId="0" applyFont="1" applyFill="1" applyBorder="1" applyAlignment="1">
      <alignment horizontal="center" vertical="center" wrapText="1"/>
    </xf>
    <xf numFmtId="0" fontId="25" fillId="38" borderId="30" xfId="0" applyFont="1" applyFill="1" applyBorder="1" applyAlignment="1">
      <alignment horizontal="center" vertical="center" wrapText="1"/>
    </xf>
    <xf numFmtId="0" fontId="22" fillId="0" borderId="31" xfId="0" applyFont="1" applyBorder="1" applyAlignment="1">
      <alignment horizontal="left" vertical="center" wrapText="1"/>
    </xf>
    <xf numFmtId="0" fontId="23" fillId="0" borderId="32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left" vertical="center" wrapText="1"/>
    </xf>
    <xf numFmtId="0" fontId="23" fillId="0" borderId="34" xfId="0" applyFont="1" applyBorder="1" applyAlignment="1">
      <alignment horizontal="center" vertical="center" wrapText="1"/>
    </xf>
    <xf numFmtId="0" fontId="23" fillId="0" borderId="35" xfId="0" applyFont="1" applyBorder="1" applyAlignment="1">
      <alignment horizontal="center" vertical="center" wrapText="1"/>
    </xf>
    <xf numFmtId="1" fontId="0" fillId="0" borderId="10" xfId="0" applyNumberFormat="1" applyBorder="1" applyAlignment="1">
      <alignment horizontal="center"/>
    </xf>
    <xf numFmtId="0" fontId="0" fillId="0" borderId="18" xfId="0" applyBorder="1" applyAlignment="1"/>
    <xf numFmtId="0" fontId="0" fillId="0" borderId="19" xfId="0" applyBorder="1" applyAlignment="1"/>
    <xf numFmtId="0" fontId="0" fillId="0" borderId="20" xfId="0" applyBorder="1" applyAlignment="1"/>
    <xf numFmtId="0" fontId="17" fillId="34" borderId="18" xfId="0" applyFont="1" applyFill="1" applyBorder="1" applyAlignment="1">
      <alignment wrapText="1"/>
    </xf>
    <xf numFmtId="0" fontId="19" fillId="47" borderId="18" xfId="0" applyFont="1" applyFill="1" applyBorder="1" applyAlignment="1"/>
    <xf numFmtId="0" fontId="0" fillId="48" borderId="18" xfId="0" applyFont="1" applyFill="1" applyBorder="1" applyAlignment="1"/>
    <xf numFmtId="1" fontId="0" fillId="46" borderId="10" xfId="0" applyNumberFormat="1" applyFill="1" applyBorder="1" applyAlignment="1">
      <alignment horizontal="center"/>
    </xf>
    <xf numFmtId="1" fontId="0" fillId="46" borderId="10" xfId="0" applyNumberFormat="1" applyFont="1" applyFill="1" applyBorder="1"/>
    <xf numFmtId="0" fontId="0" fillId="0" borderId="10" xfId="0" applyFill="1" applyBorder="1"/>
    <xf numFmtId="0" fontId="0" fillId="0" borderId="36" xfId="0" applyBorder="1" applyAlignment="1">
      <alignment horizontal="center"/>
    </xf>
    <xf numFmtId="0" fontId="13" fillId="41" borderId="37" xfId="0" applyFont="1" applyFill="1" applyBorder="1" applyAlignment="1">
      <alignment horizontal="center" vertical="center"/>
    </xf>
    <xf numFmtId="0" fontId="13" fillId="41" borderId="37" xfId="0" applyFont="1" applyFill="1" applyBorder="1" applyAlignment="1">
      <alignment horizontal="center" vertical="center" textRotation="90"/>
    </xf>
    <xf numFmtId="0" fontId="13" fillId="35" borderId="37" xfId="0" applyFont="1" applyFill="1" applyBorder="1" applyAlignment="1">
      <alignment horizontal="center" vertical="center" textRotation="90"/>
    </xf>
    <xf numFmtId="0" fontId="16" fillId="33" borderId="37" xfId="0" applyFont="1" applyFill="1" applyBorder="1" applyAlignment="1">
      <alignment horizontal="center" vertical="center" textRotation="90"/>
    </xf>
    <xf numFmtId="0" fontId="13" fillId="37" borderId="37" xfId="0" applyFont="1" applyFill="1" applyBorder="1" applyAlignment="1">
      <alignment horizontal="center" vertical="center" textRotation="90" wrapText="1"/>
    </xf>
    <xf numFmtId="0" fontId="13" fillId="38" borderId="37" xfId="0" applyFont="1" applyFill="1" applyBorder="1" applyAlignment="1">
      <alignment horizontal="center" vertical="center" textRotation="90" wrapText="1"/>
    </xf>
    <xf numFmtId="0" fontId="13" fillId="44" borderId="37" xfId="0" applyFont="1" applyFill="1" applyBorder="1" applyAlignment="1">
      <alignment horizontal="center" vertical="center" textRotation="90" wrapText="1"/>
    </xf>
    <xf numFmtId="0" fontId="13" fillId="42" borderId="37" xfId="0" applyFont="1" applyFill="1" applyBorder="1" applyAlignment="1">
      <alignment horizontal="center" vertical="center" textRotation="90" wrapText="1"/>
    </xf>
    <xf numFmtId="0" fontId="13" fillId="43" borderId="37" xfId="0" applyFont="1" applyFill="1" applyBorder="1" applyAlignment="1">
      <alignment horizontal="center" vertical="center" textRotation="90" wrapText="1"/>
    </xf>
    <xf numFmtId="0" fontId="13" fillId="45" borderId="37" xfId="0" applyFont="1" applyFill="1" applyBorder="1" applyAlignment="1">
      <alignment horizontal="center" vertical="center" textRotation="90" wrapText="1"/>
    </xf>
    <xf numFmtId="0" fontId="13" fillId="40" borderId="37" xfId="0" applyFont="1" applyFill="1" applyBorder="1" applyAlignment="1">
      <alignment horizontal="center" vertical="center" textRotation="90"/>
    </xf>
    <xf numFmtId="0" fontId="0" fillId="0" borderId="20" xfId="0" applyBorder="1" applyAlignment="1">
      <alignment horizontal="left"/>
    </xf>
    <xf numFmtId="1" fontId="0" fillId="0" borderId="10" xfId="0" applyNumberFormat="1" applyBorder="1"/>
    <xf numFmtId="0" fontId="0" fillId="0" borderId="38" xfId="0" applyBorder="1" applyAlignment="1">
      <alignment horizontal="center"/>
    </xf>
    <xf numFmtId="0" fontId="13" fillId="41" borderId="0" xfId="0" applyFont="1" applyFill="1" applyBorder="1" applyAlignment="1">
      <alignment horizontal="center" vertical="center"/>
    </xf>
    <xf numFmtId="0" fontId="13" fillId="41" borderId="39" xfId="0" applyFont="1" applyFill="1" applyBorder="1" applyAlignment="1">
      <alignment horizontal="center" vertical="center"/>
    </xf>
    <xf numFmtId="0" fontId="13" fillId="41" borderId="39" xfId="0" applyFont="1" applyFill="1" applyBorder="1" applyAlignment="1">
      <alignment horizontal="center" vertical="center" textRotation="90"/>
    </xf>
    <xf numFmtId="0" fontId="13" fillId="35" borderId="39" xfId="0" applyFont="1" applyFill="1" applyBorder="1" applyAlignment="1">
      <alignment horizontal="center" vertical="center" textRotation="90"/>
    </xf>
    <xf numFmtId="0" fontId="16" fillId="33" borderId="39" xfId="0" applyFont="1" applyFill="1" applyBorder="1" applyAlignment="1">
      <alignment horizontal="center" vertical="center" textRotation="90"/>
    </xf>
    <xf numFmtId="0" fontId="13" fillId="37" borderId="39" xfId="0" applyFont="1" applyFill="1" applyBorder="1" applyAlignment="1">
      <alignment horizontal="center" vertical="center" textRotation="90" wrapText="1"/>
    </xf>
    <xf numFmtId="0" fontId="13" fillId="38" borderId="39" xfId="0" applyFont="1" applyFill="1" applyBorder="1" applyAlignment="1">
      <alignment horizontal="center" vertical="center" textRotation="90" wrapText="1"/>
    </xf>
    <xf numFmtId="0" fontId="13" fillId="44" borderId="39" xfId="0" applyFont="1" applyFill="1" applyBorder="1" applyAlignment="1">
      <alignment horizontal="center" vertical="center" textRotation="90" wrapText="1"/>
    </xf>
    <xf numFmtId="0" fontId="13" fillId="42" borderId="39" xfId="0" applyFont="1" applyFill="1" applyBorder="1" applyAlignment="1">
      <alignment horizontal="center" vertical="center" textRotation="90" wrapText="1"/>
    </xf>
    <xf numFmtId="0" fontId="13" fillId="43" borderId="39" xfId="0" applyFont="1" applyFill="1" applyBorder="1" applyAlignment="1">
      <alignment horizontal="center" vertical="center" textRotation="90" wrapText="1"/>
    </xf>
    <xf numFmtId="0" fontId="13" fillId="45" borderId="39" xfId="0" applyFont="1" applyFill="1" applyBorder="1" applyAlignment="1">
      <alignment horizontal="center" vertical="center" textRotation="90" wrapText="1"/>
    </xf>
    <xf numFmtId="0" fontId="13" fillId="40" borderId="39" xfId="0" applyFont="1" applyFill="1" applyBorder="1" applyAlignment="1">
      <alignment horizontal="center" vertical="center" textRotation="90"/>
    </xf>
    <xf numFmtId="0" fontId="16" fillId="0" borderId="14" xfId="0" applyFont="1" applyBorder="1" applyAlignment="1">
      <alignment horizontal="left"/>
    </xf>
    <xf numFmtId="0" fontId="16" fillId="0" borderId="0" xfId="0" applyFont="1"/>
    <xf numFmtId="0" fontId="16" fillId="0" borderId="14" xfId="0" applyFont="1" applyBorder="1" applyAlignment="1">
      <alignment horizontal="center"/>
    </xf>
    <xf numFmtId="1" fontId="16" fillId="0" borderId="14" xfId="0" applyNumberFormat="1" applyFont="1" applyBorder="1" applyAlignment="1">
      <alignment horizontal="center"/>
    </xf>
    <xf numFmtId="0" fontId="16" fillId="0" borderId="0" xfId="0" applyFont="1" applyBorder="1"/>
    <xf numFmtId="0" fontId="16" fillId="0" borderId="10" xfId="0" applyFont="1" applyBorder="1"/>
    <xf numFmtId="0" fontId="13" fillId="38" borderId="41" xfId="0" applyFont="1" applyFill="1" applyBorder="1" applyAlignment="1">
      <alignment horizontal="right"/>
    </xf>
    <xf numFmtId="0" fontId="0" fillId="0" borderId="41" xfId="0" applyBorder="1"/>
    <xf numFmtId="0" fontId="0" fillId="33" borderId="41" xfId="0" applyFill="1" applyBorder="1"/>
    <xf numFmtId="0" fontId="0" fillId="35" borderId="41" xfId="0" applyFill="1" applyBorder="1"/>
    <xf numFmtId="0" fontId="0" fillId="37" borderId="41" xfId="0" applyFill="1" applyBorder="1"/>
    <xf numFmtId="0" fontId="0" fillId="0" borderId="42" xfId="0" applyBorder="1"/>
    <xf numFmtId="0" fontId="0" fillId="33" borderId="42" xfId="0" applyFill="1" applyBorder="1"/>
    <xf numFmtId="0" fontId="0" fillId="35" borderId="42" xfId="0" applyFill="1" applyBorder="1"/>
    <xf numFmtId="0" fontId="0" fillId="37" borderId="42" xfId="0" applyFill="1" applyBorder="1"/>
    <xf numFmtId="0" fontId="16" fillId="44" borderId="10" xfId="0" applyFont="1" applyFill="1" applyBorder="1" applyAlignment="1">
      <alignment horizontal="center"/>
    </xf>
    <xf numFmtId="0" fontId="0" fillId="44" borderId="41" xfId="0" applyFill="1" applyBorder="1"/>
    <xf numFmtId="0" fontId="0" fillId="44" borderId="42" xfId="0" applyFill="1" applyBorder="1"/>
    <xf numFmtId="0" fontId="16" fillId="42" borderId="10" xfId="0" applyFont="1" applyFill="1" applyBorder="1" applyAlignment="1">
      <alignment horizontal="center"/>
    </xf>
    <xf numFmtId="0" fontId="0" fillId="42" borderId="41" xfId="0" applyFill="1" applyBorder="1"/>
    <xf numFmtId="0" fontId="0" fillId="42" borderId="42" xfId="0" applyFill="1" applyBorder="1"/>
    <xf numFmtId="0" fontId="16" fillId="43" borderId="10" xfId="0" applyFont="1" applyFill="1" applyBorder="1" applyAlignment="1">
      <alignment horizontal="center"/>
    </xf>
    <xf numFmtId="1" fontId="0" fillId="43" borderId="10" xfId="0" applyNumberFormat="1" applyFill="1" applyBorder="1" applyAlignment="1">
      <alignment horizontal="center"/>
    </xf>
    <xf numFmtId="0" fontId="0" fillId="43" borderId="41" xfId="0" applyFill="1" applyBorder="1"/>
    <xf numFmtId="0" fontId="0" fillId="43" borderId="42" xfId="0" applyFill="1" applyBorder="1"/>
    <xf numFmtId="1" fontId="0" fillId="0" borderId="10" xfId="0" applyNumberFormat="1" applyFill="1" applyBorder="1" applyAlignment="1">
      <alignment horizontal="center"/>
    </xf>
    <xf numFmtId="0" fontId="16" fillId="45" borderId="10" xfId="0" applyFont="1" applyFill="1" applyBorder="1" applyAlignment="1">
      <alignment horizontal="center"/>
    </xf>
    <xf numFmtId="0" fontId="0" fillId="45" borderId="10" xfId="0" applyFont="1" applyFill="1" applyBorder="1"/>
    <xf numFmtId="0" fontId="0" fillId="45" borderId="41" xfId="0" applyFill="1" applyBorder="1"/>
    <xf numFmtId="0" fontId="0" fillId="45" borderId="42" xfId="0" applyFill="1" applyBorder="1"/>
    <xf numFmtId="1" fontId="19" fillId="40" borderId="10" xfId="0" applyNumberFormat="1" applyFont="1" applyFill="1" applyBorder="1"/>
    <xf numFmtId="0" fontId="0" fillId="40" borderId="41" xfId="0" applyFill="1" applyBorder="1"/>
    <xf numFmtId="0" fontId="0" fillId="40" borderId="42" xfId="0" applyFill="1" applyBorder="1"/>
    <xf numFmtId="0" fontId="0" fillId="50" borderId="0" xfId="0" applyFill="1"/>
    <xf numFmtId="0" fontId="26" fillId="38" borderId="10" xfId="0" applyFont="1" applyFill="1" applyBorder="1"/>
    <xf numFmtId="0" fontId="26" fillId="0" borderId="10" xfId="0" applyFont="1" applyFill="1" applyBorder="1"/>
    <xf numFmtId="0" fontId="14" fillId="0" borderId="10" xfId="0" applyFont="1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3" xfId="0" applyFill="1" applyBorder="1"/>
    <xf numFmtId="0" fontId="0" fillId="0" borderId="44" xfId="0" applyFill="1" applyBorder="1"/>
    <xf numFmtId="0" fontId="0" fillId="0" borderId="18" xfId="0" applyBorder="1"/>
    <xf numFmtId="0" fontId="0" fillId="44" borderId="0" xfId="0" applyFont="1" applyFill="1"/>
    <xf numFmtId="0" fontId="16" fillId="0" borderId="10" xfId="0" applyFont="1" applyBorder="1" applyAlignment="1">
      <alignment horizontal="right"/>
    </xf>
    <xf numFmtId="0" fontId="16" fillId="0" borderId="10" xfId="0" applyFont="1" applyFill="1" applyBorder="1"/>
    <xf numFmtId="0" fontId="16" fillId="0" borderId="10" xfId="0" applyFont="1" applyFill="1" applyBorder="1" applyAlignment="1">
      <alignment horizontal="right"/>
    </xf>
    <xf numFmtId="0" fontId="0" fillId="0" borderId="10" xfId="0" applyFont="1" applyBorder="1"/>
    <xf numFmtId="0" fontId="0" fillId="0" borderId="10" xfId="0" applyFont="1" applyFill="1" applyBorder="1"/>
    <xf numFmtId="0" fontId="14" fillId="38" borderId="10" xfId="0" applyFont="1" applyFill="1" applyBorder="1"/>
    <xf numFmtId="1" fontId="0" fillId="38" borderId="10" xfId="0" applyNumberFormat="1" applyFill="1" applyBorder="1" applyAlignment="1">
      <alignment horizontal="center"/>
    </xf>
    <xf numFmtId="1" fontId="0" fillId="38" borderId="10" xfId="0" applyNumberFormat="1" applyFill="1" applyBorder="1"/>
    <xf numFmtId="0" fontId="0" fillId="0" borderId="51" xfId="0" applyBorder="1"/>
    <xf numFmtId="0" fontId="27" fillId="34" borderId="53" xfId="0" applyFont="1" applyFill="1" applyBorder="1" applyAlignment="1">
      <alignment wrapText="1"/>
    </xf>
    <xf numFmtId="0" fontId="27" fillId="34" borderId="52" xfId="0" applyFont="1" applyFill="1" applyBorder="1" applyAlignment="1">
      <alignment wrapText="1"/>
    </xf>
    <xf numFmtId="0" fontId="27" fillId="34" borderId="54" xfId="0" applyFont="1" applyFill="1" applyBorder="1" applyAlignment="1">
      <alignment wrapText="1"/>
    </xf>
    <xf numFmtId="0" fontId="27" fillId="34" borderId="59" xfId="0" applyFont="1" applyFill="1" applyBorder="1" applyAlignment="1">
      <alignment wrapText="1"/>
    </xf>
    <xf numFmtId="0" fontId="27" fillId="34" borderId="14" xfId="0" applyFont="1" applyFill="1" applyBorder="1" applyAlignment="1">
      <alignment wrapText="1"/>
    </xf>
    <xf numFmtId="0" fontId="27" fillId="34" borderId="60" xfId="0" applyFont="1" applyFill="1" applyBorder="1" applyAlignment="1">
      <alignment wrapText="1"/>
    </xf>
    <xf numFmtId="0" fontId="27" fillId="34" borderId="73" xfId="0" applyFont="1" applyFill="1" applyBorder="1" applyAlignment="1">
      <alignment wrapText="1"/>
    </xf>
    <xf numFmtId="0" fontId="27" fillId="34" borderId="62" xfId="0" applyFont="1" applyFill="1" applyBorder="1" applyAlignment="1">
      <alignment wrapText="1"/>
    </xf>
    <xf numFmtId="0" fontId="27" fillId="34" borderId="74" xfId="0" applyFont="1" applyFill="1" applyBorder="1" applyAlignment="1">
      <alignment wrapText="1"/>
    </xf>
    <xf numFmtId="0" fontId="27" fillId="34" borderId="67" xfId="0" applyFont="1" applyFill="1" applyBorder="1" applyAlignment="1">
      <alignment wrapText="1"/>
    </xf>
    <xf numFmtId="0" fontId="27" fillId="34" borderId="63" xfId="0" applyFont="1" applyFill="1" applyBorder="1" applyAlignment="1">
      <alignment wrapText="1"/>
    </xf>
    <xf numFmtId="0" fontId="27" fillId="34" borderId="68" xfId="0" applyFont="1" applyFill="1" applyBorder="1" applyAlignment="1">
      <alignment wrapText="1"/>
    </xf>
    <xf numFmtId="0" fontId="16" fillId="33" borderId="53" xfId="0" applyFont="1" applyFill="1" applyBorder="1" applyAlignment="1">
      <alignment wrapText="1"/>
    </xf>
    <xf numFmtId="0" fontId="16" fillId="35" borderId="59" xfId="0" applyFont="1" applyFill="1" applyBorder="1" applyAlignment="1">
      <alignment wrapText="1"/>
    </xf>
    <xf numFmtId="0" fontId="16" fillId="37" borderId="73" xfId="0" applyFont="1" applyFill="1" applyBorder="1" applyAlignment="1">
      <alignment wrapText="1"/>
    </xf>
    <xf numFmtId="0" fontId="16" fillId="44" borderId="67" xfId="0" applyFont="1" applyFill="1" applyBorder="1" applyAlignment="1">
      <alignment wrapText="1"/>
    </xf>
    <xf numFmtId="0" fontId="16" fillId="42" borderId="67" xfId="0" applyFont="1" applyFill="1" applyBorder="1" applyAlignment="1">
      <alignment wrapText="1"/>
    </xf>
    <xf numFmtId="0" fontId="16" fillId="43" borderId="67" xfId="0" applyFont="1" applyFill="1" applyBorder="1" applyAlignment="1">
      <alignment wrapText="1"/>
    </xf>
    <xf numFmtId="0" fontId="16" fillId="33" borderId="55" xfId="0" applyFont="1" applyFill="1" applyBorder="1" applyAlignment="1">
      <alignment wrapText="1"/>
    </xf>
    <xf numFmtId="0" fontId="16" fillId="37" borderId="75" xfId="0" applyFont="1" applyFill="1" applyBorder="1" applyAlignment="1">
      <alignment wrapText="1"/>
    </xf>
    <xf numFmtId="0" fontId="16" fillId="45" borderId="67" xfId="0" applyFont="1" applyFill="1" applyBorder="1" applyAlignment="1">
      <alignment wrapText="1"/>
    </xf>
    <xf numFmtId="0" fontId="16" fillId="45" borderId="69" xfId="0" applyFont="1" applyFill="1" applyBorder="1" applyAlignment="1">
      <alignment wrapText="1"/>
    </xf>
    <xf numFmtId="0" fontId="16" fillId="35" borderId="61" xfId="0" applyFont="1" applyFill="1" applyBorder="1" applyAlignment="1">
      <alignment wrapText="1"/>
    </xf>
    <xf numFmtId="0" fontId="27" fillId="34" borderId="73" xfId="0" applyFont="1" applyFill="1" applyBorder="1" applyAlignment="1">
      <alignment horizontal="center" vertical="center" wrapText="1"/>
    </xf>
    <xf numFmtId="0" fontId="27" fillId="34" borderId="62" xfId="0" applyFont="1" applyFill="1" applyBorder="1" applyAlignment="1">
      <alignment horizontal="center" vertical="center" wrapText="1"/>
    </xf>
    <xf numFmtId="0" fontId="27" fillId="34" borderId="74" xfId="0" applyFont="1" applyFill="1" applyBorder="1" applyAlignment="1">
      <alignment horizontal="center" vertical="center" wrapText="1"/>
    </xf>
    <xf numFmtId="0" fontId="27" fillId="34" borderId="53" xfId="0" applyFont="1" applyFill="1" applyBorder="1" applyAlignment="1">
      <alignment horizontal="center" vertical="center" wrapText="1"/>
    </xf>
    <xf numFmtId="0" fontId="27" fillId="34" borderId="52" xfId="0" applyFont="1" applyFill="1" applyBorder="1" applyAlignment="1">
      <alignment horizontal="center" vertical="center" wrapText="1"/>
    </xf>
    <xf numFmtId="0" fontId="27" fillId="34" borderId="54" xfId="0" applyFont="1" applyFill="1" applyBorder="1" applyAlignment="1">
      <alignment horizontal="center" vertical="center" wrapText="1"/>
    </xf>
    <xf numFmtId="0" fontId="27" fillId="34" borderId="67" xfId="0" applyFont="1" applyFill="1" applyBorder="1" applyAlignment="1">
      <alignment horizontal="center" vertical="center" wrapText="1"/>
    </xf>
    <xf numFmtId="0" fontId="27" fillId="34" borderId="63" xfId="0" applyFont="1" applyFill="1" applyBorder="1" applyAlignment="1">
      <alignment horizontal="center" vertical="center" wrapText="1"/>
    </xf>
    <xf numFmtId="0" fontId="27" fillId="34" borderId="68" xfId="0" applyFont="1" applyFill="1" applyBorder="1" applyAlignment="1">
      <alignment horizontal="center" vertical="center" wrapText="1"/>
    </xf>
    <xf numFmtId="0" fontId="27" fillId="34" borderId="80" xfId="0" applyFont="1" applyFill="1" applyBorder="1" applyAlignment="1">
      <alignment horizontal="center" vertical="center" wrapText="1"/>
    </xf>
    <xf numFmtId="0" fontId="27" fillId="34" borderId="76" xfId="0" applyFont="1" applyFill="1" applyBorder="1" applyAlignment="1">
      <alignment horizontal="center" vertical="center" wrapText="1"/>
    </xf>
    <xf numFmtId="0" fontId="27" fillId="34" borderId="81" xfId="0" applyFont="1" applyFill="1" applyBorder="1" applyAlignment="1">
      <alignment horizontal="center" vertical="center" wrapText="1"/>
    </xf>
    <xf numFmtId="0" fontId="16" fillId="37" borderId="73" xfId="0" applyFont="1" applyFill="1" applyBorder="1" applyAlignment="1">
      <alignment horizontal="center" vertical="center" wrapText="1"/>
    </xf>
    <xf numFmtId="0" fontId="16" fillId="33" borderId="53" xfId="0" applyFont="1" applyFill="1" applyBorder="1" applyAlignment="1">
      <alignment horizontal="center" vertical="center" wrapText="1"/>
    </xf>
    <xf numFmtId="0" fontId="16" fillId="44" borderId="67" xfId="0" applyFont="1" applyFill="1" applyBorder="1" applyAlignment="1">
      <alignment horizontal="center" vertical="center" wrapText="1"/>
    </xf>
    <xf numFmtId="0" fontId="16" fillId="40" borderId="80" xfId="0" applyFont="1" applyFill="1" applyBorder="1" applyAlignment="1">
      <alignment horizontal="center" vertical="center" wrapText="1"/>
    </xf>
    <xf numFmtId="0" fontId="16" fillId="42" borderId="67" xfId="0" applyFont="1" applyFill="1" applyBorder="1" applyAlignment="1">
      <alignment horizontal="center" vertical="center" wrapText="1"/>
    </xf>
    <xf numFmtId="0" fontId="16" fillId="43" borderId="67" xfId="0" applyFont="1" applyFill="1" applyBorder="1" applyAlignment="1">
      <alignment horizontal="center" vertical="center" wrapText="1"/>
    </xf>
    <xf numFmtId="0" fontId="16" fillId="37" borderId="75" xfId="0" applyFont="1" applyFill="1" applyBorder="1" applyAlignment="1">
      <alignment horizontal="center" vertical="center" wrapText="1"/>
    </xf>
    <xf numFmtId="0" fontId="16" fillId="33" borderId="55" xfId="0" applyFont="1" applyFill="1" applyBorder="1" applyAlignment="1">
      <alignment horizontal="center" vertical="center" wrapText="1"/>
    </xf>
    <xf numFmtId="0" fontId="16" fillId="45" borderId="69" xfId="0" applyFont="1" applyFill="1" applyBorder="1" applyAlignment="1">
      <alignment horizontal="center" vertical="center" wrapText="1"/>
    </xf>
    <xf numFmtId="0" fontId="16" fillId="40" borderId="82" xfId="0" applyFont="1" applyFill="1" applyBorder="1" applyAlignment="1">
      <alignment horizontal="center" vertical="center" wrapText="1"/>
    </xf>
    <xf numFmtId="0" fontId="16" fillId="40" borderId="77" xfId="0" applyFont="1" applyFill="1" applyBorder="1" applyAlignment="1">
      <alignment horizontal="center" vertical="center" wrapText="1"/>
    </xf>
    <xf numFmtId="0" fontId="0" fillId="51" borderId="0" xfId="0" applyFill="1"/>
    <xf numFmtId="0" fontId="0" fillId="37" borderId="18" xfId="0" applyFill="1" applyBorder="1" applyAlignment="1">
      <alignment horizontal="left"/>
    </xf>
    <xf numFmtId="0" fontId="0" fillId="37" borderId="19" xfId="0" applyFill="1" applyBorder="1" applyAlignment="1">
      <alignment horizontal="left"/>
    </xf>
    <xf numFmtId="0" fontId="0" fillId="37" borderId="20" xfId="0" applyFill="1" applyBorder="1" applyAlignment="1">
      <alignment horizontal="left"/>
    </xf>
    <xf numFmtId="0" fontId="0" fillId="38" borderId="18" xfId="0" applyFill="1" applyBorder="1" applyAlignment="1">
      <alignment horizontal="left" wrapText="1"/>
    </xf>
    <xf numFmtId="0" fontId="0" fillId="38" borderId="19" xfId="0" applyFill="1" applyBorder="1" applyAlignment="1">
      <alignment horizontal="left" wrapText="1"/>
    </xf>
    <xf numFmtId="0" fontId="0" fillId="38" borderId="20" xfId="0" applyFill="1" applyBorder="1" applyAlignment="1">
      <alignment horizontal="left" wrapText="1"/>
    </xf>
    <xf numFmtId="0" fontId="0" fillId="38" borderId="18" xfId="0" applyFill="1" applyBorder="1" applyAlignment="1">
      <alignment horizontal="left"/>
    </xf>
    <xf numFmtId="0" fontId="0" fillId="38" borderId="19" xfId="0" applyFill="1" applyBorder="1" applyAlignment="1">
      <alignment horizontal="left"/>
    </xf>
    <xf numFmtId="0" fontId="0" fillId="38" borderId="20" xfId="0" applyFill="1" applyBorder="1" applyAlignment="1">
      <alignment horizontal="left"/>
    </xf>
    <xf numFmtId="0" fontId="19" fillId="47" borderId="18" xfId="0" applyFont="1" applyFill="1" applyBorder="1" applyAlignment="1">
      <alignment horizontal="left"/>
    </xf>
    <xf numFmtId="0" fontId="19" fillId="47" borderId="19" xfId="0" applyFont="1" applyFill="1" applyBorder="1" applyAlignment="1">
      <alignment horizontal="left"/>
    </xf>
    <xf numFmtId="0" fontId="19" fillId="47" borderId="20" xfId="0" applyFont="1" applyFill="1" applyBorder="1" applyAlignment="1">
      <alignment horizontal="left"/>
    </xf>
    <xf numFmtId="0" fontId="0" fillId="35" borderId="18" xfId="0" applyFill="1" applyBorder="1" applyAlignment="1">
      <alignment horizontal="left"/>
    </xf>
    <xf numFmtId="0" fontId="0" fillId="35" borderId="19" xfId="0" applyFill="1" applyBorder="1" applyAlignment="1">
      <alignment horizontal="left"/>
    </xf>
    <xf numFmtId="0" fontId="17" fillId="34" borderId="18" xfId="0" applyFont="1" applyFill="1" applyBorder="1" applyAlignment="1">
      <alignment horizontal="left" wrapText="1"/>
    </xf>
    <xf numFmtId="0" fontId="17" fillId="34" borderId="19" xfId="0" applyFont="1" applyFill="1" applyBorder="1" applyAlignment="1">
      <alignment horizontal="left" wrapText="1"/>
    </xf>
    <xf numFmtId="0" fontId="17" fillId="34" borderId="20" xfId="0" applyFont="1" applyFill="1" applyBorder="1" applyAlignment="1">
      <alignment horizontal="left" wrapText="1"/>
    </xf>
    <xf numFmtId="0" fontId="0" fillId="48" borderId="18" xfId="0" applyFont="1" applyFill="1" applyBorder="1" applyAlignment="1">
      <alignment horizontal="left"/>
    </xf>
    <xf numFmtId="0" fontId="0" fillId="48" borderId="19" xfId="0" applyFont="1" applyFill="1" applyBorder="1" applyAlignment="1">
      <alignment horizontal="left"/>
    </xf>
    <xf numFmtId="0" fontId="0" fillId="48" borderId="20" xfId="0" applyFont="1" applyFill="1" applyBorder="1" applyAlignment="1">
      <alignment horizontal="left"/>
    </xf>
    <xf numFmtId="0" fontId="17" fillId="39" borderId="18" xfId="0" applyFont="1" applyFill="1" applyBorder="1" applyAlignment="1">
      <alignment horizontal="left" wrapText="1"/>
    </xf>
    <xf numFmtId="0" fontId="17" fillId="39" borderId="19" xfId="0" applyFont="1" applyFill="1" applyBorder="1" applyAlignment="1">
      <alignment horizontal="left" wrapText="1"/>
    </xf>
    <xf numFmtId="0" fontId="17" fillId="39" borderId="20" xfId="0" applyFont="1" applyFill="1" applyBorder="1" applyAlignment="1">
      <alignment horizontal="left" wrapText="1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19" fillId="0" borderId="18" xfId="0" applyFont="1" applyFill="1" applyBorder="1" applyAlignment="1">
      <alignment horizontal="left"/>
    </xf>
    <xf numFmtId="0" fontId="19" fillId="0" borderId="19" xfId="0" applyFont="1" applyFill="1" applyBorder="1" applyAlignment="1">
      <alignment horizontal="left"/>
    </xf>
    <xf numFmtId="0" fontId="19" fillId="0" borderId="20" xfId="0" applyFont="1" applyFill="1" applyBorder="1" applyAlignment="1">
      <alignment horizontal="left"/>
    </xf>
    <xf numFmtId="0" fontId="0" fillId="0" borderId="18" xfId="0" applyBorder="1" applyAlignment="1">
      <alignment horizontal="left" wrapText="1"/>
    </xf>
    <xf numFmtId="0" fontId="0" fillId="0" borderId="19" xfId="0" applyBorder="1" applyAlignment="1">
      <alignment horizontal="left" wrapText="1"/>
    </xf>
    <xf numFmtId="0" fontId="0" fillId="0" borderId="20" xfId="0" applyBorder="1" applyAlignment="1">
      <alignment horizontal="left" wrapText="1"/>
    </xf>
    <xf numFmtId="0" fontId="13" fillId="34" borderId="21" xfId="0" applyFont="1" applyFill="1" applyBorder="1" applyAlignment="1">
      <alignment horizontal="center"/>
    </xf>
    <xf numFmtId="0" fontId="13" fillId="34" borderId="22" xfId="0" applyFont="1" applyFill="1" applyBorder="1" applyAlignment="1">
      <alignment horizontal="center"/>
    </xf>
    <xf numFmtId="0" fontId="13" fillId="38" borderId="15" xfId="0" applyFont="1" applyFill="1" applyBorder="1" applyAlignment="1">
      <alignment horizontal="center"/>
    </xf>
    <xf numFmtId="0" fontId="13" fillId="38" borderId="16" xfId="0" applyFont="1" applyFill="1" applyBorder="1" applyAlignment="1">
      <alignment horizontal="center"/>
    </xf>
    <xf numFmtId="0" fontId="13" fillId="34" borderId="15" xfId="0" applyFont="1" applyFill="1" applyBorder="1" applyAlignment="1">
      <alignment horizontal="center"/>
    </xf>
    <xf numFmtId="0" fontId="13" fillId="34" borderId="16" xfId="0" applyFont="1" applyFill="1" applyBorder="1" applyAlignment="1">
      <alignment horizontal="center"/>
    </xf>
    <xf numFmtId="0" fontId="18" fillId="36" borderId="40" xfId="0" applyFont="1" applyFill="1" applyBorder="1" applyAlignment="1">
      <alignment horizontal="center"/>
    </xf>
    <xf numFmtId="0" fontId="18" fillId="36" borderId="0" xfId="0" applyFont="1" applyFill="1" applyBorder="1" applyAlignment="1">
      <alignment horizontal="center"/>
    </xf>
    <xf numFmtId="0" fontId="21" fillId="49" borderId="25" xfId="0" applyFont="1" applyFill="1" applyBorder="1" applyAlignment="1">
      <alignment horizontal="center" vertical="center" wrapText="1"/>
    </xf>
    <xf numFmtId="0" fontId="21" fillId="49" borderId="29" xfId="0" applyFont="1" applyFill="1" applyBorder="1" applyAlignment="1">
      <alignment horizontal="center" vertical="center" wrapText="1"/>
    </xf>
    <xf numFmtId="0" fontId="24" fillId="49" borderId="26" xfId="0" applyFont="1" applyFill="1" applyBorder="1" applyAlignment="1">
      <alignment horizontal="center" vertical="center" wrapText="1"/>
    </xf>
    <xf numFmtId="0" fontId="24" fillId="49" borderId="27" xfId="0" applyFont="1" applyFill="1" applyBorder="1" applyAlignment="1">
      <alignment horizontal="center" vertical="center" wrapText="1"/>
    </xf>
    <xf numFmtId="0" fontId="24" fillId="49" borderId="28" xfId="0" applyFont="1" applyFill="1" applyBorder="1" applyAlignment="1">
      <alignment horizontal="center" vertical="center" wrapText="1"/>
    </xf>
    <xf numFmtId="0" fontId="21" fillId="49" borderId="26" xfId="0" applyFont="1" applyFill="1" applyBorder="1" applyAlignment="1">
      <alignment horizontal="center" vertical="center" wrapText="1"/>
    </xf>
    <xf numFmtId="0" fontId="21" fillId="49" borderId="27" xfId="0" applyFont="1" applyFill="1" applyBorder="1" applyAlignment="1">
      <alignment horizontal="center" vertical="center" wrapText="1"/>
    </xf>
    <xf numFmtId="0" fontId="21" fillId="49" borderId="28" xfId="0" applyFont="1" applyFill="1" applyBorder="1" applyAlignment="1">
      <alignment horizontal="center" vertical="center" wrapText="1"/>
    </xf>
    <xf numFmtId="0" fontId="0" fillId="51" borderId="0" xfId="0" applyFill="1" applyBorder="1" applyAlignment="1">
      <alignment horizontal="center" wrapText="1"/>
    </xf>
    <xf numFmtId="0" fontId="0" fillId="51" borderId="0" xfId="0" applyFill="1" applyAlignment="1">
      <alignment horizontal="center" wrapText="1"/>
    </xf>
    <xf numFmtId="0" fontId="28" fillId="33" borderId="46" xfId="0" applyFont="1" applyFill="1" applyBorder="1" applyAlignment="1">
      <alignment horizontal="center" vertical="center" wrapText="1"/>
    </xf>
    <xf numFmtId="0" fontId="28" fillId="33" borderId="47" xfId="0" applyFont="1" applyFill="1" applyBorder="1" applyAlignment="1">
      <alignment horizontal="center" vertical="center" wrapText="1"/>
    </xf>
    <xf numFmtId="0" fontId="28" fillId="33" borderId="48" xfId="0" applyFont="1" applyFill="1" applyBorder="1" applyAlignment="1">
      <alignment horizontal="center" vertical="center" wrapText="1"/>
    </xf>
    <xf numFmtId="0" fontId="28" fillId="33" borderId="49" xfId="0" applyFont="1" applyFill="1" applyBorder="1" applyAlignment="1">
      <alignment horizontal="center" vertical="center" wrapText="1"/>
    </xf>
    <xf numFmtId="0" fontId="28" fillId="33" borderId="0" xfId="0" applyFont="1" applyFill="1" applyBorder="1" applyAlignment="1">
      <alignment horizontal="center" vertical="center" wrapText="1"/>
    </xf>
    <xf numFmtId="0" fontId="28" fillId="33" borderId="50" xfId="0" applyFont="1" applyFill="1" applyBorder="1" applyAlignment="1">
      <alignment horizontal="center" vertical="center" wrapText="1"/>
    </xf>
    <xf numFmtId="0" fontId="29" fillId="35" borderId="56" xfId="0" applyFont="1" applyFill="1" applyBorder="1" applyAlignment="1">
      <alignment horizontal="center" vertical="center" wrapText="1"/>
    </xf>
    <xf numFmtId="0" fontId="29" fillId="35" borderId="57" xfId="0" applyFont="1" applyFill="1" applyBorder="1" applyAlignment="1">
      <alignment horizontal="center" vertical="center" wrapText="1"/>
    </xf>
    <xf numFmtId="0" fontId="29" fillId="35" borderId="58" xfId="0" applyFont="1" applyFill="1" applyBorder="1" applyAlignment="1">
      <alignment horizontal="center" vertical="center" wrapText="1"/>
    </xf>
    <xf numFmtId="0" fontId="29" fillId="35" borderId="59" xfId="0" applyFont="1" applyFill="1" applyBorder="1" applyAlignment="1">
      <alignment horizontal="center" vertical="center" wrapText="1"/>
    </xf>
    <xf numFmtId="0" fontId="29" fillId="35" borderId="14" xfId="0" applyFont="1" applyFill="1" applyBorder="1" applyAlignment="1">
      <alignment horizontal="center" vertical="center" wrapText="1"/>
    </xf>
    <xf numFmtId="0" fontId="29" fillId="35" borderId="60" xfId="0" applyFont="1" applyFill="1" applyBorder="1" applyAlignment="1">
      <alignment horizontal="center" vertical="center" wrapText="1"/>
    </xf>
    <xf numFmtId="0" fontId="29" fillId="37" borderId="70" xfId="0" applyFont="1" applyFill="1" applyBorder="1" applyAlignment="1">
      <alignment horizontal="center" vertical="center" wrapText="1"/>
    </xf>
    <xf numFmtId="0" fontId="29" fillId="37" borderId="71" xfId="0" applyFont="1" applyFill="1" applyBorder="1" applyAlignment="1">
      <alignment horizontal="center" vertical="center" wrapText="1"/>
    </xf>
    <xf numFmtId="0" fontId="29" fillId="37" borderId="72" xfId="0" applyFont="1" applyFill="1" applyBorder="1" applyAlignment="1">
      <alignment horizontal="center" vertical="center" wrapText="1"/>
    </xf>
    <xf numFmtId="0" fontId="29" fillId="37" borderId="73" xfId="0" applyFont="1" applyFill="1" applyBorder="1" applyAlignment="1">
      <alignment horizontal="center" vertical="center" wrapText="1"/>
    </xf>
    <xf numFmtId="0" fontId="29" fillId="37" borderId="62" xfId="0" applyFont="1" applyFill="1" applyBorder="1" applyAlignment="1">
      <alignment horizontal="center" vertical="center" wrapText="1"/>
    </xf>
    <xf numFmtId="0" fontId="29" fillId="37" borderId="74" xfId="0" applyFont="1" applyFill="1" applyBorder="1" applyAlignment="1">
      <alignment horizontal="center" vertical="center" wrapText="1"/>
    </xf>
    <xf numFmtId="0" fontId="29" fillId="38" borderId="64" xfId="0" applyFont="1" applyFill="1" applyBorder="1" applyAlignment="1">
      <alignment horizontal="center" vertical="center" wrapText="1"/>
    </xf>
    <xf numFmtId="0" fontId="29" fillId="38" borderId="65" xfId="0" applyFont="1" applyFill="1" applyBorder="1" applyAlignment="1">
      <alignment horizontal="center" vertical="center" wrapText="1"/>
    </xf>
    <xf numFmtId="0" fontId="29" fillId="38" borderId="66" xfId="0" applyFont="1" applyFill="1" applyBorder="1" applyAlignment="1">
      <alignment horizontal="center" vertical="center" wrapText="1"/>
    </xf>
    <xf numFmtId="0" fontId="29" fillId="38" borderId="67" xfId="0" applyFont="1" applyFill="1" applyBorder="1" applyAlignment="1">
      <alignment horizontal="center" vertical="center" wrapText="1"/>
    </xf>
    <xf numFmtId="0" fontId="29" fillId="38" borderId="63" xfId="0" applyFont="1" applyFill="1" applyBorder="1" applyAlignment="1">
      <alignment horizontal="center" vertical="center" wrapText="1"/>
    </xf>
    <xf numFmtId="0" fontId="29" fillId="38" borderId="68" xfId="0" applyFont="1" applyFill="1" applyBorder="1" applyAlignment="1">
      <alignment horizontal="center" vertical="center" wrapText="1"/>
    </xf>
    <xf numFmtId="0" fontId="31" fillId="51" borderId="0" xfId="0" applyFont="1" applyFill="1" applyBorder="1" applyAlignment="1">
      <alignment horizontal="center" vertical="center" wrapText="1"/>
    </xf>
    <xf numFmtId="0" fontId="0" fillId="51" borderId="40" xfId="0" applyFill="1" applyBorder="1" applyAlignment="1">
      <alignment horizontal="center" wrapText="1"/>
    </xf>
    <xf numFmtId="0" fontId="0" fillId="51" borderId="30" xfId="0" applyFill="1" applyBorder="1" applyAlignment="1">
      <alignment horizontal="center" wrapText="1"/>
    </xf>
    <xf numFmtId="0" fontId="29" fillId="40" borderId="77" xfId="0" applyFont="1" applyFill="1" applyBorder="1" applyAlignment="1">
      <alignment horizontal="center" vertical="center" wrapText="1"/>
    </xf>
    <xf numFmtId="0" fontId="29" fillId="40" borderId="78" xfId="0" applyFont="1" applyFill="1" applyBorder="1" applyAlignment="1">
      <alignment horizontal="center" vertical="center" wrapText="1"/>
    </xf>
    <xf numFmtId="0" fontId="29" fillId="40" borderId="79" xfId="0" applyFont="1" applyFill="1" applyBorder="1" applyAlignment="1">
      <alignment horizontal="center" vertical="center" wrapText="1"/>
    </xf>
    <xf numFmtId="0" fontId="29" fillId="40" borderId="80" xfId="0" applyFont="1" applyFill="1" applyBorder="1" applyAlignment="1">
      <alignment horizontal="center" vertical="center" wrapText="1"/>
    </xf>
    <xf numFmtId="0" fontId="29" fillId="40" borderId="76" xfId="0" applyFont="1" applyFill="1" applyBorder="1" applyAlignment="1">
      <alignment horizontal="center" vertical="center" wrapText="1"/>
    </xf>
    <xf numFmtId="0" fontId="29" fillId="40" borderId="81" xfId="0" applyFont="1" applyFill="1" applyBorder="1" applyAlignment="1">
      <alignment horizontal="center" vertical="center" wrapText="1"/>
    </xf>
    <xf numFmtId="0" fontId="30" fillId="51" borderId="0" xfId="0" applyFont="1" applyFill="1" applyAlignment="1">
      <alignment horizontal="center" vertical="center" wrapText="1"/>
    </xf>
    <xf numFmtId="0" fontId="0" fillId="51" borderId="0" xfId="0" applyFill="1" applyAlignment="1">
      <alignment horizontal="center" vertical="center"/>
    </xf>
    <xf numFmtId="0" fontId="0" fillId="51" borderId="83" xfId="0" applyFill="1" applyBorder="1" applyAlignment="1">
      <alignment horizontal="center" vertical="center"/>
    </xf>
    <xf numFmtId="0" fontId="0" fillId="51" borderId="84" xfId="0" applyFill="1" applyBorder="1" applyAlignment="1">
      <alignment horizontal="center" vertical="center"/>
    </xf>
    <xf numFmtId="0" fontId="0" fillId="51" borderId="85" xfId="0" applyFill="1" applyBorder="1" applyAlignment="1">
      <alignment horizontal="center" vertical="center" wrapText="1"/>
    </xf>
    <xf numFmtId="0" fontId="0" fillId="51" borderId="0" xfId="0" applyFill="1" applyBorder="1" applyAlignment="1">
      <alignment horizontal="center" vertical="center" wrapText="1"/>
    </xf>
    <xf numFmtId="0" fontId="0" fillId="51" borderId="86" xfId="0" applyFill="1" applyBorder="1" applyAlignment="1">
      <alignment horizontal="center" vertical="center"/>
    </xf>
    <xf numFmtId="0" fontId="0" fillId="51" borderId="87" xfId="0" applyFill="1" applyBorder="1" applyAlignment="1">
      <alignment horizontal="center" vertical="center"/>
    </xf>
    <xf numFmtId="0" fontId="0" fillId="51" borderId="88" xfId="0" applyFill="1" applyBorder="1" applyAlignment="1">
      <alignment horizontal="center"/>
    </xf>
    <xf numFmtId="0" fontId="0" fillId="51" borderId="89" xfId="0" applyFill="1" applyBorder="1" applyAlignment="1">
      <alignment horizontal="center"/>
    </xf>
    <xf numFmtId="0" fontId="0" fillId="51" borderId="90" xfId="0" applyFill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63">
    <dxf>
      <font>
        <b/>
        <i val="0"/>
        <color rgb="FFC0000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lor rgb="FFFFFF00"/>
      </font>
    </dxf>
    <dxf>
      <font>
        <b/>
        <i val="0"/>
        <color rgb="FF00B050"/>
      </font>
    </dxf>
    <dxf>
      <font>
        <b/>
        <i val="0"/>
        <color theme="5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b/>
        <i val="0"/>
        <color theme="5"/>
      </font>
    </dxf>
    <dxf>
      <font>
        <b/>
        <i val="0"/>
        <color rgb="FFFFFF00"/>
      </font>
    </dxf>
    <dxf>
      <font>
        <b/>
        <i val="0"/>
        <color rgb="FF00B050"/>
      </font>
    </dxf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ED7D31"/>
          <bgColor rgb="FF000000"/>
        </patternFill>
      </fill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top style="medium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ED7D31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s-CO"/>
              <a:t>E.E</a:t>
            </a:r>
            <a:r>
              <a:rPr lang="es-CO" baseline="0"/>
              <a:t> GENERAL 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217-41AD-99BD-E1DF8C34429C}"/>
              </c:ext>
            </c:extLst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217-41AD-99BD-E1DF8C34429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217-41AD-99BD-E1DF8C34429C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217-41AD-99BD-E1DF8C34429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217-41AD-99BD-E1DF8C34429C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217-41AD-99BD-E1DF8C34429C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9217-41AD-99BD-E1DF8C34429C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9217-41AD-99BD-E1DF8C34429C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9217-41AD-99BD-E1DF8C34429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'RESULTADOS '!$F$2:$N$2</c:f>
              <c:strCache>
                <c:ptCount val="9"/>
                <c:pt idx="0">
                  <c:v>L.CRITICA</c:v>
                </c:pt>
                <c:pt idx="1">
                  <c:v>MATEMATICA</c:v>
                </c:pt>
                <c:pt idx="2">
                  <c:v>SOCIALES Y CIUDADANA</c:v>
                </c:pt>
                <c:pt idx="3">
                  <c:v>CIENCIAS NATURALES</c:v>
                </c:pt>
                <c:pt idx="4">
                  <c:v>BIOLOGIA</c:v>
                </c:pt>
                <c:pt idx="5">
                  <c:v>QUIMICA</c:v>
                </c:pt>
                <c:pt idx="6">
                  <c:v>FISICA</c:v>
                </c:pt>
                <c:pt idx="7">
                  <c:v>CTS</c:v>
                </c:pt>
                <c:pt idx="8">
                  <c:v>INGLES</c:v>
                </c:pt>
              </c:strCache>
            </c:strRef>
          </c:cat>
          <c:val>
            <c:numRef>
              <c:f>'RESULTADOS '!$F$33:$N$33</c:f>
              <c:numCache>
                <c:formatCode>0</c:formatCode>
                <c:ptCount val="9"/>
                <c:pt idx="0">
                  <c:v>39.10569105691058</c:v>
                </c:pt>
                <c:pt idx="1">
                  <c:v>34.133333333333333</c:v>
                </c:pt>
                <c:pt idx="2">
                  <c:v>34.799999999999997</c:v>
                </c:pt>
                <c:pt idx="3">
                  <c:v>36.264367816091962</c:v>
                </c:pt>
                <c:pt idx="4">
                  <c:v>34.31372549019607</c:v>
                </c:pt>
                <c:pt idx="5">
                  <c:v>37.894736842105253</c:v>
                </c:pt>
                <c:pt idx="6">
                  <c:v>34.07407407407409</c:v>
                </c:pt>
                <c:pt idx="7">
                  <c:v>46.666666666666664</c:v>
                </c:pt>
                <c:pt idx="8">
                  <c:v>35.090909090909093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217-41AD-99BD-E1DF8C34429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317424288"/>
        <c:axId val="317424680"/>
      </c:barChart>
      <c:catAx>
        <c:axId val="31742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CO"/>
          </a:p>
        </c:txPr>
        <c:crossAx val="317424680"/>
        <c:crosses val="autoZero"/>
        <c:auto val="1"/>
        <c:lblAlgn val="ctr"/>
        <c:lblOffset val="100"/>
        <c:noMultiLvlLbl val="0"/>
      </c:catAx>
      <c:valAx>
        <c:axId val="317424680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317424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622937</xdr:colOff>
      <xdr:row>37</xdr:row>
      <xdr:rowOff>60325</xdr:rowOff>
    </xdr:from>
    <xdr:to>
      <xdr:col>10</xdr:col>
      <xdr:colOff>99060</xdr:colOff>
      <xdr:row>50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a2" displayName="Tabla2" ref="B2:N215" totalsRowShown="0" dataDxfId="60" tableBorderDxfId="59">
  <autoFilter ref="B2:N215" xr:uid="{00000000-0009-0000-0100-000002000000}"/>
  <sortState ref="B3:N215">
    <sortCondition ref="B2:B215"/>
  </sortState>
  <tableColumns count="13">
    <tableColumn id="1" xr3:uid="{00000000-0010-0000-0000-000001000000}" name="PUESTO" dataDxfId="58">
      <calculatedColumnFormula>in!E2</calculatedColumnFormula>
    </tableColumn>
    <tableColumn id="2" xr3:uid="{00000000-0010-0000-0000-000002000000}" name="APELLIDOS Y NOMBRES" dataDxfId="57">
      <calculatedColumnFormula>SESION2!A2</calculatedColumnFormula>
    </tableColumn>
    <tableColumn id="3" xr3:uid="{00000000-0010-0000-0000-000003000000}" name="GLOBAL" dataDxfId="56">
      <calculatedColumnFormula>((F3*3+G3*3+H3*3+I3*3+N3)/13)*5</calculatedColumnFormula>
    </tableColumn>
    <tableColumn id="4" xr3:uid="{00000000-0010-0000-0000-000004000000}" name="NIVEL" dataDxfId="55">
      <calculatedColumnFormula>IF(D3&lt;=187,"I",IF(D3&lt;=264,"M",IF(D3&lt;=344,"S","A")))</calculatedColumnFormula>
    </tableColumn>
    <tableColumn id="5" xr3:uid="{00000000-0010-0000-0000-000005000000}" name="L.CRITICA" dataDxfId="54">
      <calculatedColumnFormula>SESION1!BT2</calculatedColumnFormula>
    </tableColumn>
    <tableColumn id="6" xr3:uid="{00000000-0010-0000-0000-000006000000}" name="MATEMATICA" dataDxfId="53">
      <calculatedColumnFormula>((SESION1!AB2+SESION2!BC2)/50)*100</calculatedColumnFormula>
    </tableColumn>
    <tableColumn id="7" xr3:uid="{00000000-0010-0000-0000-000007000000}" name="SOCIALES Y CIUDADANA" dataDxfId="52">
      <calculatedColumnFormula>((SESION1!CT2+SESION2!AB2)/50)*100</calculatedColumnFormula>
    </tableColumn>
    <tableColumn id="8" xr3:uid="{00000000-0010-0000-0000-000008000000}" name="CIENCIAS NATURALES" dataDxfId="51">
      <calculatedColumnFormula>((SESION1!DH2+SESION1!DP2+SESION1!DZ2+SESION1!EE2+SESION2!BJ2+SESION2!BY2+SESION2!CK2+SESION2!CN2)/58)*100</calculatedColumnFormula>
    </tableColumn>
    <tableColumn id="9" xr3:uid="{00000000-0010-0000-0000-000009000000}" name="BIOLOGIA" dataDxfId="50">
      <calculatedColumnFormula>((SESION1!DH2+SESION2!BJ2)/(COUNT(SESION1!CV2:DG2)+COUNT(SESION2!BE2:BI2)))*100</calculatedColumnFormula>
    </tableColumn>
    <tableColumn id="10" xr3:uid="{00000000-0010-0000-0000-00000A000000}" name="QUIMICA" dataDxfId="49">
      <calculatedColumnFormula>((SESION1!DP2+SESION2!BY2)/(COUNT(SESION1!DJ2:DO2)+COUNT(SESION2!BL2:BX2)))*100</calculatedColumnFormula>
    </tableColumn>
    <tableColumn id="11" xr3:uid="{00000000-0010-0000-0000-00000B000000}" name="FISICA" dataDxfId="48">
      <calculatedColumnFormula>((SESION1!DZ2+SESION2!CK2)/(COUNT(SESION1!DR2:DY2)+COUNT(SESION2!CA2:CJ2)))*100</calculatedColumnFormula>
    </tableColumn>
    <tableColumn id="12" xr3:uid="{00000000-0010-0000-0000-00000C000000}" name="CTS" dataDxfId="47">
      <calculatedColumnFormula>((SESION1!EE2+SESION2!CN2)/(COUNT(SESION1!EB2:ED2)+COUNT(SESION2!CM2)))*100</calculatedColumnFormula>
    </tableColumn>
    <tableColumn id="13" xr3:uid="{00000000-0010-0000-0000-00000D000000}" name="INGLES" dataDxfId="46">
      <calculatedColumnFormula>SESION2!ET2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R41"/>
  <sheetViews>
    <sheetView zoomScaleNormal="100" workbookViewId="0">
      <selection activeCell="D2" sqref="D2:D31"/>
    </sheetView>
  </sheetViews>
  <sheetFormatPr baseColWidth="10" defaultColWidth="10.81640625" defaultRowHeight="14.5" x14ac:dyDescent="0.35"/>
  <cols>
    <col min="1" max="1" width="32.54296875" bestFit="1" customWidth="1"/>
    <col min="2" max="2" width="8.7265625" bestFit="1" customWidth="1"/>
    <col min="3" max="3" width="9.26953125" bestFit="1" customWidth="1"/>
    <col min="4" max="4" width="36.453125" customWidth="1"/>
    <col min="5" max="5" width="10.1796875" bestFit="1" customWidth="1"/>
    <col min="6" max="6" width="9.453125" bestFit="1" customWidth="1"/>
    <col min="7" max="7" width="9.1796875" bestFit="1" customWidth="1"/>
    <col min="8" max="8" width="10" bestFit="1" customWidth="1"/>
    <col min="9" max="9" width="13.1796875" bestFit="1" customWidth="1"/>
    <col min="10" max="10" width="22.08984375" bestFit="1" customWidth="1"/>
    <col min="11" max="11" width="22" bestFit="1" customWidth="1"/>
    <col min="12" max="12" width="12.453125" bestFit="1" customWidth="1"/>
    <col min="13" max="21" width="2.81640625" bestFit="1" customWidth="1"/>
    <col min="22" max="78" width="3.81640625" bestFit="1" customWidth="1"/>
    <col min="79" max="80" width="3.81640625" customWidth="1"/>
    <col min="81" max="104" width="3.81640625" bestFit="1" customWidth="1"/>
    <col min="105" max="105" width="3.81640625" customWidth="1"/>
    <col min="106" max="110" width="3.81640625" bestFit="1" customWidth="1"/>
    <col min="111" max="129" width="4.81640625" bestFit="1" customWidth="1"/>
    <col min="130" max="130" width="3.81640625" bestFit="1" customWidth="1"/>
    <col min="131" max="132" width="4.81640625" bestFit="1" customWidth="1"/>
    <col min="133" max="141" width="3.81640625" bestFit="1" customWidth="1"/>
    <col min="142" max="230" width="3.90625" bestFit="1" customWidth="1"/>
    <col min="231" max="249" width="4.90625" bestFit="1" customWidth="1"/>
    <col min="250" max="250" width="3.90625" bestFit="1" customWidth="1"/>
    <col min="251" max="252" width="4.90625" bestFit="1" customWidth="1"/>
  </cols>
  <sheetData>
    <row r="1" spans="1:252" x14ac:dyDescent="0.35">
      <c r="A1" t="s">
        <v>293</v>
      </c>
      <c r="B1" t="s">
        <v>294</v>
      </c>
      <c r="C1" t="s">
        <v>295</v>
      </c>
      <c r="D1" t="s">
        <v>296</v>
      </c>
      <c r="E1" t="s">
        <v>297</v>
      </c>
      <c r="F1" t="s">
        <v>298</v>
      </c>
      <c r="G1" t="s">
        <v>299</v>
      </c>
      <c r="H1" t="s">
        <v>300</v>
      </c>
      <c r="I1" t="s">
        <v>301</v>
      </c>
      <c r="J1" t="s">
        <v>302</v>
      </c>
      <c r="K1" t="s">
        <v>303</v>
      </c>
      <c r="L1" t="s">
        <v>304</v>
      </c>
      <c r="M1" s="33" t="s">
        <v>0</v>
      </c>
      <c r="N1" s="33" t="s">
        <v>1</v>
      </c>
      <c r="O1" s="33" t="s">
        <v>2</v>
      </c>
      <c r="P1" s="33" t="s">
        <v>3</v>
      </c>
      <c r="Q1" s="33" t="s">
        <v>4</v>
      </c>
      <c r="R1" s="33" t="s">
        <v>5</v>
      </c>
      <c r="S1" s="33" t="s">
        <v>6</v>
      </c>
      <c r="T1" s="33" t="s">
        <v>7</v>
      </c>
      <c r="U1" s="33" t="s">
        <v>8</v>
      </c>
      <c r="V1" s="33" t="s">
        <v>9</v>
      </c>
      <c r="W1" s="33" t="s">
        <v>10</v>
      </c>
      <c r="X1" s="33" t="s">
        <v>11</v>
      </c>
      <c r="Y1" s="33" t="s">
        <v>12</v>
      </c>
      <c r="Z1" s="33" t="s">
        <v>13</v>
      </c>
      <c r="AA1" s="33" t="s">
        <v>14</v>
      </c>
      <c r="AB1" s="33" t="s">
        <v>15</v>
      </c>
      <c r="AC1" s="33" t="s">
        <v>16</v>
      </c>
      <c r="AD1" s="33" t="s">
        <v>17</v>
      </c>
      <c r="AE1" s="33" t="s">
        <v>18</v>
      </c>
      <c r="AF1" s="33" t="s">
        <v>19</v>
      </c>
      <c r="AG1" s="33" t="s">
        <v>20</v>
      </c>
      <c r="AH1" s="33" t="s">
        <v>21</v>
      </c>
      <c r="AI1" s="33" t="s">
        <v>22</v>
      </c>
      <c r="AJ1" s="33" t="s">
        <v>23</v>
      </c>
      <c r="AK1" s="33" t="s">
        <v>24</v>
      </c>
      <c r="AL1" s="39" t="s">
        <v>25</v>
      </c>
      <c r="AM1" s="39" t="s">
        <v>26</v>
      </c>
      <c r="AN1" s="39" t="s">
        <v>27</v>
      </c>
      <c r="AO1" s="39" t="s">
        <v>28</v>
      </c>
      <c r="AP1" s="39" t="s">
        <v>29</v>
      </c>
      <c r="AQ1" s="39" t="s">
        <v>30</v>
      </c>
      <c r="AR1" s="39" t="s">
        <v>31</v>
      </c>
      <c r="AS1" s="39" t="s">
        <v>32</v>
      </c>
      <c r="AT1" s="39" t="s">
        <v>33</v>
      </c>
      <c r="AU1" s="39" t="s">
        <v>34</v>
      </c>
      <c r="AV1" s="39" t="s">
        <v>35</v>
      </c>
      <c r="AW1" s="39" t="s">
        <v>36</v>
      </c>
      <c r="AX1" s="39" t="s">
        <v>37</v>
      </c>
      <c r="AY1" s="39" t="s">
        <v>38</v>
      </c>
      <c r="AZ1" s="39" t="s">
        <v>39</v>
      </c>
      <c r="BA1" s="39" t="s">
        <v>40</v>
      </c>
      <c r="BB1" s="39" t="s">
        <v>41</v>
      </c>
      <c r="BC1" s="39" t="s">
        <v>42</v>
      </c>
      <c r="BD1" s="39" t="s">
        <v>43</v>
      </c>
      <c r="BE1" s="39" t="s">
        <v>44</v>
      </c>
      <c r="BF1" s="39" t="s">
        <v>45</v>
      </c>
      <c r="BG1" s="39" t="s">
        <v>46</v>
      </c>
      <c r="BH1" s="39" t="s">
        <v>47</v>
      </c>
      <c r="BI1" s="39" t="s">
        <v>48</v>
      </c>
      <c r="BJ1" s="39" t="s">
        <v>49</v>
      </c>
      <c r="BK1" s="39" t="s">
        <v>50</v>
      </c>
      <c r="BL1" s="39" t="s">
        <v>51</v>
      </c>
      <c r="BM1" s="39" t="s">
        <v>52</v>
      </c>
      <c r="BN1" s="39" t="s">
        <v>53</v>
      </c>
      <c r="BO1" s="39" t="s">
        <v>54</v>
      </c>
      <c r="BP1" s="39" t="s">
        <v>55</v>
      </c>
      <c r="BQ1" s="39" t="s">
        <v>56</v>
      </c>
      <c r="BR1" s="39" t="s">
        <v>57</v>
      </c>
      <c r="BS1" s="39" t="s">
        <v>58</v>
      </c>
      <c r="BT1" s="39" t="s">
        <v>59</v>
      </c>
      <c r="BU1" s="39" t="s">
        <v>60</v>
      </c>
      <c r="BV1" s="39" t="s">
        <v>61</v>
      </c>
      <c r="BW1" s="39" t="s">
        <v>62</v>
      </c>
      <c r="BX1" s="39" t="s">
        <v>63</v>
      </c>
      <c r="BY1" s="39" t="s">
        <v>64</v>
      </c>
      <c r="BZ1" s="39" t="s">
        <v>65</v>
      </c>
      <c r="CA1" s="34" t="s">
        <v>66</v>
      </c>
      <c r="CB1" s="34" t="s">
        <v>67</v>
      </c>
      <c r="CC1" s="34" t="s">
        <v>68</v>
      </c>
      <c r="CD1" s="34" t="s">
        <v>69</v>
      </c>
      <c r="CE1" s="34" t="s">
        <v>70</v>
      </c>
      <c r="CF1" s="34" t="s">
        <v>71</v>
      </c>
      <c r="CG1" s="34" t="s">
        <v>72</v>
      </c>
      <c r="CH1" s="34" t="s">
        <v>73</v>
      </c>
      <c r="CI1" s="34" t="s">
        <v>74</v>
      </c>
      <c r="CJ1" s="34" t="s">
        <v>75</v>
      </c>
      <c r="CK1" s="34" t="s">
        <v>76</v>
      </c>
      <c r="CL1" s="34" t="s">
        <v>77</v>
      </c>
      <c r="CM1" s="34" t="s">
        <v>78</v>
      </c>
      <c r="CN1" s="34" t="s">
        <v>79</v>
      </c>
      <c r="CO1" s="34" t="s">
        <v>80</v>
      </c>
      <c r="CP1" s="34" t="s">
        <v>81</v>
      </c>
      <c r="CQ1" s="34" t="s">
        <v>82</v>
      </c>
      <c r="CR1" s="34" t="s">
        <v>83</v>
      </c>
      <c r="CS1" s="34" t="s">
        <v>84</v>
      </c>
      <c r="CT1" s="34" t="s">
        <v>85</v>
      </c>
      <c r="CU1" s="34" t="s">
        <v>86</v>
      </c>
      <c r="CV1" s="34" t="s">
        <v>87</v>
      </c>
      <c r="CW1" s="34" t="s">
        <v>88</v>
      </c>
      <c r="CX1" s="34" t="s">
        <v>89</v>
      </c>
      <c r="CY1" s="34" t="s">
        <v>90</v>
      </c>
      <c r="CZ1" s="35" t="s">
        <v>92</v>
      </c>
      <c r="DA1" s="35" t="s">
        <v>93</v>
      </c>
      <c r="DB1" s="35" t="s">
        <v>94</v>
      </c>
      <c r="DC1" s="35" t="s">
        <v>95</v>
      </c>
      <c r="DD1" s="35" t="s">
        <v>96</v>
      </c>
      <c r="DE1" s="35" t="s">
        <v>97</v>
      </c>
      <c r="DF1" s="35" t="s">
        <v>98</v>
      </c>
      <c r="DG1" s="35" t="s">
        <v>99</v>
      </c>
      <c r="DH1" s="35" t="s">
        <v>103</v>
      </c>
      <c r="DI1" s="35" t="s">
        <v>109</v>
      </c>
      <c r="DJ1" s="35" t="s">
        <v>110</v>
      </c>
      <c r="DK1" s="35" t="s">
        <v>111</v>
      </c>
      <c r="DL1" s="36" t="s">
        <v>101</v>
      </c>
      <c r="DM1" s="36" t="s">
        <v>113</v>
      </c>
      <c r="DN1" s="36" t="s">
        <v>114</v>
      </c>
      <c r="DO1" s="36" t="s">
        <v>115</v>
      </c>
      <c r="DP1" s="36" t="s">
        <v>117</v>
      </c>
      <c r="DQ1" s="36" t="s">
        <v>118</v>
      </c>
      <c r="DR1" s="37" t="s">
        <v>100</v>
      </c>
      <c r="DS1" s="37" t="s">
        <v>102</v>
      </c>
      <c r="DT1" s="37" t="s">
        <v>104</v>
      </c>
      <c r="DU1" s="37" t="s">
        <v>105</v>
      </c>
      <c r="DV1" s="37" t="s">
        <v>106</v>
      </c>
      <c r="DW1" s="37" t="s">
        <v>107</v>
      </c>
      <c r="DX1" s="37" t="s">
        <v>108</v>
      </c>
      <c r="DY1" s="37" t="s">
        <v>119</v>
      </c>
      <c r="DZ1" s="126" t="s">
        <v>91</v>
      </c>
      <c r="EA1" s="126" t="s">
        <v>112</v>
      </c>
      <c r="EB1" s="126" t="s">
        <v>116</v>
      </c>
      <c r="EC1" s="33" t="s">
        <v>350</v>
      </c>
      <c r="ED1" s="33" t="s">
        <v>351</v>
      </c>
      <c r="EE1" s="33" t="s">
        <v>352</v>
      </c>
      <c r="EF1" s="33" t="s">
        <v>353</v>
      </c>
      <c r="EG1" s="33" t="s">
        <v>354</v>
      </c>
      <c r="EH1" s="33" t="s">
        <v>355</v>
      </c>
      <c r="EI1" s="33" t="s">
        <v>356</v>
      </c>
      <c r="EJ1" s="33" t="s">
        <v>357</v>
      </c>
      <c r="EK1" s="33" t="s">
        <v>358</v>
      </c>
      <c r="EL1" s="33" t="s">
        <v>359</v>
      </c>
      <c r="EM1" s="33" t="s">
        <v>360</v>
      </c>
      <c r="EN1" s="33" t="s">
        <v>361</v>
      </c>
      <c r="EO1" s="33" t="s">
        <v>362</v>
      </c>
      <c r="EP1" s="33" t="s">
        <v>363</v>
      </c>
      <c r="EQ1" s="33" t="s">
        <v>364</v>
      </c>
      <c r="ER1" s="33" t="s">
        <v>365</v>
      </c>
      <c r="ES1" s="33" t="s">
        <v>366</v>
      </c>
      <c r="ET1" s="33" t="s">
        <v>367</v>
      </c>
      <c r="EU1" s="33" t="s">
        <v>368</v>
      </c>
      <c r="EV1" s="33" t="s">
        <v>369</v>
      </c>
      <c r="EW1" s="33" t="s">
        <v>370</v>
      </c>
      <c r="EX1" s="33" t="s">
        <v>371</v>
      </c>
      <c r="EY1" s="33" t="s">
        <v>372</v>
      </c>
      <c r="EZ1" s="33" t="s">
        <v>373</v>
      </c>
      <c r="FA1" s="33" t="s">
        <v>374</v>
      </c>
      <c r="FB1" s="39" t="s">
        <v>375</v>
      </c>
      <c r="FC1" s="39" t="s">
        <v>376</v>
      </c>
      <c r="FD1" s="39" t="s">
        <v>377</v>
      </c>
      <c r="FE1" s="39" t="s">
        <v>378</v>
      </c>
      <c r="FF1" s="39" t="s">
        <v>379</v>
      </c>
      <c r="FG1" s="39" t="s">
        <v>380</v>
      </c>
      <c r="FH1" s="39" t="s">
        <v>381</v>
      </c>
      <c r="FI1" s="39" t="s">
        <v>382</v>
      </c>
      <c r="FJ1" s="39" t="s">
        <v>383</v>
      </c>
      <c r="FK1" s="39" t="s">
        <v>384</v>
      </c>
      <c r="FL1" s="39" t="s">
        <v>385</v>
      </c>
      <c r="FM1" s="39" t="s">
        <v>386</v>
      </c>
      <c r="FN1" s="39" t="s">
        <v>387</v>
      </c>
      <c r="FO1" s="39" t="s">
        <v>388</v>
      </c>
      <c r="FP1" s="39" t="s">
        <v>389</v>
      </c>
      <c r="FQ1" s="39" t="s">
        <v>390</v>
      </c>
      <c r="FR1" s="39" t="s">
        <v>391</v>
      </c>
      <c r="FS1" s="39" t="s">
        <v>392</v>
      </c>
      <c r="FT1" s="39" t="s">
        <v>393</v>
      </c>
      <c r="FU1" s="39" t="s">
        <v>394</v>
      </c>
      <c r="FV1" s="39" t="s">
        <v>395</v>
      </c>
      <c r="FW1" s="39" t="s">
        <v>396</v>
      </c>
      <c r="FX1" s="39" t="s">
        <v>397</v>
      </c>
      <c r="FY1" s="39" t="s">
        <v>398</v>
      </c>
      <c r="FZ1" s="39" t="s">
        <v>399</v>
      </c>
      <c r="GA1" s="39" t="s">
        <v>400</v>
      </c>
      <c r="GB1" s="39" t="s">
        <v>401</v>
      </c>
      <c r="GC1" s="39" t="s">
        <v>402</v>
      </c>
      <c r="GD1" s="39" t="s">
        <v>403</v>
      </c>
      <c r="GE1" s="39" t="s">
        <v>404</v>
      </c>
      <c r="GF1" s="39" t="s">
        <v>405</v>
      </c>
      <c r="GG1" s="39" t="s">
        <v>406</v>
      </c>
      <c r="GH1" s="39" t="s">
        <v>407</v>
      </c>
      <c r="GI1" s="39" t="s">
        <v>408</v>
      </c>
      <c r="GJ1" s="39" t="s">
        <v>409</v>
      </c>
      <c r="GK1" s="39" t="s">
        <v>410</v>
      </c>
      <c r="GL1" s="39" t="s">
        <v>411</v>
      </c>
      <c r="GM1" s="39" t="s">
        <v>412</v>
      </c>
      <c r="GN1" s="39" t="s">
        <v>413</v>
      </c>
      <c r="GO1" s="39" t="s">
        <v>414</v>
      </c>
      <c r="GP1" s="39" t="s">
        <v>415</v>
      </c>
      <c r="GQ1" s="34" t="s">
        <v>416</v>
      </c>
      <c r="GR1" s="34" t="s">
        <v>417</v>
      </c>
      <c r="GS1" s="34" t="s">
        <v>418</v>
      </c>
      <c r="GT1" s="34" t="s">
        <v>419</v>
      </c>
      <c r="GU1" s="34" t="s">
        <v>420</v>
      </c>
      <c r="GV1" s="34" t="s">
        <v>421</v>
      </c>
      <c r="GW1" s="34" t="s">
        <v>422</v>
      </c>
      <c r="GX1" s="34" t="s">
        <v>423</v>
      </c>
      <c r="GY1" s="34" t="s">
        <v>424</v>
      </c>
      <c r="GZ1" s="34" t="s">
        <v>425</v>
      </c>
      <c r="HA1" s="34" t="s">
        <v>426</v>
      </c>
      <c r="HB1" s="34" t="s">
        <v>427</v>
      </c>
      <c r="HC1" s="34" t="s">
        <v>428</v>
      </c>
      <c r="HD1" s="34" t="s">
        <v>429</v>
      </c>
      <c r="HE1" s="34" t="s">
        <v>430</v>
      </c>
      <c r="HF1" s="34" t="s">
        <v>431</v>
      </c>
      <c r="HG1" s="34" t="s">
        <v>432</v>
      </c>
      <c r="HH1" s="34" t="s">
        <v>433</v>
      </c>
      <c r="HI1" s="34" t="s">
        <v>434</v>
      </c>
      <c r="HJ1" s="34" t="s">
        <v>435</v>
      </c>
      <c r="HK1" s="34" t="s">
        <v>436</v>
      </c>
      <c r="HL1" s="34" t="s">
        <v>437</v>
      </c>
      <c r="HM1" s="34" t="s">
        <v>438</v>
      </c>
      <c r="HN1" s="34" t="s">
        <v>439</v>
      </c>
      <c r="HO1" s="34" t="s">
        <v>440</v>
      </c>
      <c r="HP1" s="35" t="s">
        <v>447</v>
      </c>
      <c r="HQ1" s="35" t="s">
        <v>455</v>
      </c>
      <c r="HR1" s="35" t="s">
        <v>441</v>
      </c>
      <c r="HS1" s="35" t="s">
        <v>442</v>
      </c>
      <c r="HT1" s="35" t="s">
        <v>464</v>
      </c>
      <c r="HU1" s="35" t="s">
        <v>456</v>
      </c>
      <c r="HV1" s="35" t="s">
        <v>457</v>
      </c>
      <c r="HW1" s="35" t="s">
        <v>448</v>
      </c>
      <c r="HX1" s="35" t="s">
        <v>444</v>
      </c>
      <c r="HY1" s="35" t="s">
        <v>451</v>
      </c>
      <c r="HZ1" s="35" t="s">
        <v>460</v>
      </c>
      <c r="IA1" s="35" t="s">
        <v>467</v>
      </c>
      <c r="IB1" s="36" t="s">
        <v>449</v>
      </c>
      <c r="IC1" s="36" t="s">
        <v>452</v>
      </c>
      <c r="ID1" s="36" t="s">
        <v>469</v>
      </c>
      <c r="IE1" s="36" t="s">
        <v>461</v>
      </c>
      <c r="IF1" s="36" t="s">
        <v>453</v>
      </c>
      <c r="IG1" s="36" t="s">
        <v>463</v>
      </c>
      <c r="IH1" s="37" t="s">
        <v>443</v>
      </c>
      <c r="II1" s="37" t="s">
        <v>458</v>
      </c>
      <c r="IJ1" s="37" t="s">
        <v>445</v>
      </c>
      <c r="IK1" s="37" t="s">
        <v>450</v>
      </c>
      <c r="IL1" s="37" t="s">
        <v>465</v>
      </c>
      <c r="IM1" s="37" t="s">
        <v>459</v>
      </c>
      <c r="IN1" s="37" t="s">
        <v>466</v>
      </c>
      <c r="IO1" s="37" t="s">
        <v>446</v>
      </c>
      <c r="IP1" s="126" t="s">
        <v>454</v>
      </c>
      <c r="IQ1" s="126" t="s">
        <v>468</v>
      </c>
      <c r="IR1" s="126" t="s">
        <v>462</v>
      </c>
    </row>
    <row r="2" spans="1:252" s="1" customFormat="1" x14ac:dyDescent="0.35">
      <c r="A2" s="1" t="s">
        <v>1721</v>
      </c>
      <c r="D2" s="1" t="s">
        <v>1739</v>
      </c>
      <c r="E2" s="1">
        <v>5702</v>
      </c>
      <c r="G2" s="1" t="s">
        <v>1653</v>
      </c>
      <c r="H2" s="1" t="s">
        <v>311</v>
      </c>
      <c r="I2" s="1" t="s">
        <v>1722</v>
      </c>
      <c r="J2" s="1" t="s">
        <v>1723</v>
      </c>
      <c r="K2" s="1" t="s">
        <v>1724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0</v>
      </c>
      <c r="T2" s="1">
        <v>1</v>
      </c>
      <c r="U2" s="1">
        <v>0</v>
      </c>
      <c r="V2" s="1">
        <v>1</v>
      </c>
      <c r="W2" s="1">
        <v>1</v>
      </c>
      <c r="X2" s="1">
        <v>0</v>
      </c>
      <c r="Y2" s="1">
        <v>1</v>
      </c>
      <c r="Z2" s="1">
        <v>1</v>
      </c>
      <c r="AA2" s="1">
        <v>1</v>
      </c>
      <c r="AB2" s="1">
        <v>0</v>
      </c>
      <c r="AC2" s="1">
        <v>0</v>
      </c>
      <c r="AD2" s="1">
        <v>0</v>
      </c>
      <c r="AE2" s="1">
        <v>1</v>
      </c>
      <c r="AF2" s="1">
        <v>1</v>
      </c>
      <c r="AG2" s="1">
        <v>1</v>
      </c>
      <c r="AH2" s="1">
        <v>0</v>
      </c>
      <c r="AI2" s="1">
        <v>1</v>
      </c>
      <c r="AJ2" s="1">
        <v>0</v>
      </c>
      <c r="AK2" s="1">
        <v>1</v>
      </c>
      <c r="AL2" s="1">
        <v>1</v>
      </c>
      <c r="AM2" s="1">
        <v>1</v>
      </c>
      <c r="AN2" s="1">
        <v>0</v>
      </c>
      <c r="AO2" s="1">
        <v>1</v>
      </c>
      <c r="AP2" s="1">
        <v>1</v>
      </c>
      <c r="AQ2" s="1">
        <v>1</v>
      </c>
      <c r="AR2" s="1">
        <v>1</v>
      </c>
      <c r="AS2" s="1">
        <v>1</v>
      </c>
      <c r="AT2" s="1">
        <v>1</v>
      </c>
      <c r="AU2" s="1">
        <v>1</v>
      </c>
      <c r="AV2" s="1">
        <v>1</v>
      </c>
      <c r="AW2" s="1">
        <v>1</v>
      </c>
      <c r="AX2" s="1">
        <v>0</v>
      </c>
      <c r="AY2" s="1">
        <v>1</v>
      </c>
      <c r="AZ2" s="1">
        <v>1</v>
      </c>
      <c r="BA2" s="1">
        <v>1</v>
      </c>
      <c r="BB2" s="1">
        <v>1</v>
      </c>
      <c r="BC2" s="1">
        <v>1</v>
      </c>
      <c r="BD2" s="1">
        <v>0</v>
      </c>
      <c r="BE2" s="1">
        <v>1</v>
      </c>
      <c r="BF2" s="1">
        <v>0</v>
      </c>
      <c r="BG2" s="1">
        <v>0</v>
      </c>
      <c r="BH2" s="1">
        <v>1</v>
      </c>
      <c r="BI2" s="1">
        <v>1</v>
      </c>
      <c r="BJ2" s="1">
        <v>1</v>
      </c>
      <c r="BK2" s="1">
        <v>1</v>
      </c>
      <c r="BL2" s="1">
        <v>1</v>
      </c>
      <c r="BM2" s="1">
        <v>1</v>
      </c>
      <c r="BN2" s="1">
        <v>0</v>
      </c>
      <c r="BO2" s="1">
        <v>1</v>
      </c>
      <c r="BP2" s="1">
        <v>0</v>
      </c>
      <c r="BQ2" s="1">
        <v>0</v>
      </c>
      <c r="BR2" s="1">
        <v>1</v>
      </c>
      <c r="BS2" s="1">
        <v>1</v>
      </c>
      <c r="BT2" s="1">
        <v>1</v>
      </c>
      <c r="BU2" s="1">
        <v>0</v>
      </c>
      <c r="BV2" s="1">
        <v>0</v>
      </c>
      <c r="BW2" s="1">
        <v>1</v>
      </c>
      <c r="BX2" s="1">
        <v>1</v>
      </c>
      <c r="BY2" s="1">
        <v>1</v>
      </c>
      <c r="BZ2" s="1">
        <v>1</v>
      </c>
      <c r="CA2" s="1">
        <v>1</v>
      </c>
      <c r="CB2" s="1">
        <v>1</v>
      </c>
      <c r="CC2" s="1">
        <v>1</v>
      </c>
      <c r="CD2" s="1">
        <v>0</v>
      </c>
      <c r="CE2" s="1">
        <v>0</v>
      </c>
      <c r="CF2" s="1">
        <v>1</v>
      </c>
      <c r="CG2" s="1">
        <v>0</v>
      </c>
      <c r="CH2" s="1">
        <v>1</v>
      </c>
      <c r="CI2" s="1">
        <v>1</v>
      </c>
      <c r="CJ2" s="1">
        <v>1</v>
      </c>
      <c r="CK2" s="1">
        <v>1</v>
      </c>
      <c r="CL2" s="1">
        <v>1</v>
      </c>
      <c r="CM2" s="1">
        <v>1</v>
      </c>
      <c r="CN2" s="1">
        <v>1</v>
      </c>
      <c r="CO2" s="1">
        <v>0</v>
      </c>
      <c r="CP2" s="1">
        <v>1</v>
      </c>
      <c r="CQ2" s="1">
        <v>1</v>
      </c>
      <c r="CR2" s="1">
        <v>1</v>
      </c>
      <c r="CS2" s="1">
        <v>1</v>
      </c>
      <c r="CT2" s="1">
        <v>1</v>
      </c>
      <c r="CU2" s="1">
        <v>1</v>
      </c>
      <c r="CV2" s="1">
        <v>1</v>
      </c>
      <c r="CW2" s="1">
        <v>1</v>
      </c>
      <c r="CX2" s="1">
        <v>0</v>
      </c>
      <c r="CY2" s="1">
        <v>1</v>
      </c>
      <c r="CZ2" s="1">
        <v>1</v>
      </c>
      <c r="DA2" s="1">
        <v>1</v>
      </c>
      <c r="DB2" s="1">
        <v>1</v>
      </c>
      <c r="DC2" s="1">
        <v>1</v>
      </c>
      <c r="DD2" s="1">
        <v>1</v>
      </c>
      <c r="DE2" s="1">
        <v>1</v>
      </c>
      <c r="DF2" s="1">
        <v>1</v>
      </c>
      <c r="DG2" s="1">
        <v>1</v>
      </c>
      <c r="DH2" s="1">
        <v>1</v>
      </c>
      <c r="DI2" s="1">
        <v>1</v>
      </c>
      <c r="DJ2" s="1">
        <v>1</v>
      </c>
      <c r="DK2" s="1">
        <v>1</v>
      </c>
      <c r="DL2" s="1">
        <v>1</v>
      </c>
      <c r="DM2" s="1">
        <v>1</v>
      </c>
      <c r="DN2" s="1">
        <v>0</v>
      </c>
      <c r="DO2" s="1">
        <v>1</v>
      </c>
      <c r="DP2" s="1">
        <v>1</v>
      </c>
      <c r="DQ2" s="1">
        <v>1</v>
      </c>
      <c r="DR2" s="1">
        <v>0</v>
      </c>
      <c r="DS2" s="1">
        <v>0</v>
      </c>
      <c r="DT2" s="1">
        <v>0</v>
      </c>
      <c r="DU2" s="1">
        <v>0</v>
      </c>
      <c r="DV2" s="1">
        <v>1</v>
      </c>
      <c r="DW2" s="1">
        <v>1</v>
      </c>
      <c r="DX2" s="1">
        <v>1</v>
      </c>
      <c r="DY2" s="1">
        <v>1</v>
      </c>
      <c r="DZ2" s="1">
        <v>1</v>
      </c>
      <c r="EA2" s="1">
        <v>1</v>
      </c>
      <c r="EB2" s="1">
        <v>1</v>
      </c>
      <c r="EC2" s="1" t="s">
        <v>331</v>
      </c>
      <c r="ED2" s="1" t="s">
        <v>333</v>
      </c>
      <c r="EE2" s="1" t="s">
        <v>333</v>
      </c>
      <c r="EF2" s="1" t="s">
        <v>333</v>
      </c>
      <c r="EG2" s="1" t="s">
        <v>331</v>
      </c>
      <c r="EH2" s="1" t="s">
        <v>333</v>
      </c>
      <c r="EI2" s="1" t="s">
        <v>330</v>
      </c>
      <c r="EJ2" s="1" t="s">
        <v>331</v>
      </c>
      <c r="EK2" s="1" t="s">
        <v>330</v>
      </c>
      <c r="EL2" s="1" t="s">
        <v>331</v>
      </c>
      <c r="EM2" s="1" t="s">
        <v>331</v>
      </c>
      <c r="EN2" s="1" t="s">
        <v>332</v>
      </c>
      <c r="EO2" s="1" t="s">
        <v>332</v>
      </c>
      <c r="EP2" s="1" t="s">
        <v>330</v>
      </c>
      <c r="EQ2" s="1" t="s">
        <v>333</v>
      </c>
      <c r="ER2" s="1" t="s">
        <v>332</v>
      </c>
      <c r="ES2" s="1" t="s">
        <v>330</v>
      </c>
      <c r="ET2" s="1" t="s">
        <v>333</v>
      </c>
      <c r="EU2" s="1" t="s">
        <v>332</v>
      </c>
      <c r="EV2" s="1" t="s">
        <v>332</v>
      </c>
      <c r="EW2" s="1" t="s">
        <v>333</v>
      </c>
      <c r="EX2" s="1" t="s">
        <v>332</v>
      </c>
      <c r="EY2" s="1" t="s">
        <v>332</v>
      </c>
      <c r="EZ2" s="1" t="s">
        <v>333</v>
      </c>
      <c r="FA2" s="1" t="s">
        <v>331</v>
      </c>
      <c r="FB2" s="1" t="s">
        <v>330</v>
      </c>
      <c r="FC2" s="1" t="s">
        <v>333</v>
      </c>
      <c r="FD2" s="1" t="s">
        <v>333</v>
      </c>
      <c r="FE2" s="1" t="s">
        <v>331</v>
      </c>
      <c r="FF2" s="1" t="s">
        <v>331</v>
      </c>
      <c r="FG2" s="1" t="s">
        <v>331</v>
      </c>
      <c r="FH2" s="1" t="s">
        <v>332</v>
      </c>
      <c r="FI2" s="1" t="s">
        <v>331</v>
      </c>
      <c r="FJ2" s="1" t="s">
        <v>332</v>
      </c>
      <c r="FK2" s="1" t="s">
        <v>330</v>
      </c>
      <c r="FL2" s="1" t="s">
        <v>332</v>
      </c>
      <c r="FM2" s="1" t="s">
        <v>330</v>
      </c>
      <c r="FN2" s="1" t="s">
        <v>331</v>
      </c>
      <c r="FO2" s="1" t="s">
        <v>331</v>
      </c>
      <c r="FP2" s="1" t="s">
        <v>331</v>
      </c>
      <c r="FQ2" s="1" t="s">
        <v>332</v>
      </c>
      <c r="FR2" s="1" t="s">
        <v>332</v>
      </c>
      <c r="FS2" s="1" t="s">
        <v>332</v>
      </c>
      <c r="FT2" s="1" t="s">
        <v>331</v>
      </c>
      <c r="FU2" s="1" t="s">
        <v>332</v>
      </c>
      <c r="FV2" s="1" t="s">
        <v>330</v>
      </c>
      <c r="FW2" s="1" t="s">
        <v>333</v>
      </c>
      <c r="FX2" s="1" t="s">
        <v>333</v>
      </c>
      <c r="FY2" s="1" t="s">
        <v>332</v>
      </c>
      <c r="FZ2" s="1" t="s">
        <v>331</v>
      </c>
      <c r="GA2" s="1" t="s">
        <v>333</v>
      </c>
      <c r="GB2" s="1" t="s">
        <v>331</v>
      </c>
      <c r="GC2" s="1" t="s">
        <v>332</v>
      </c>
      <c r="GD2" s="1" t="s">
        <v>331</v>
      </c>
      <c r="GE2" s="1" t="s">
        <v>331</v>
      </c>
      <c r="GF2" s="1" t="s">
        <v>330</v>
      </c>
      <c r="GG2" s="1" t="s">
        <v>330</v>
      </c>
      <c r="GH2" s="1" t="s">
        <v>330</v>
      </c>
      <c r="GI2" s="1" t="s">
        <v>330</v>
      </c>
      <c r="GJ2" s="1" t="s">
        <v>332</v>
      </c>
      <c r="GK2" s="1" t="s">
        <v>331</v>
      </c>
      <c r="GL2" s="1" t="s">
        <v>330</v>
      </c>
      <c r="GM2" s="1" t="s">
        <v>333</v>
      </c>
      <c r="GN2" s="1" t="s">
        <v>331</v>
      </c>
      <c r="GO2" s="1" t="s">
        <v>332</v>
      </c>
      <c r="GP2" s="1" t="s">
        <v>331</v>
      </c>
      <c r="GQ2" s="1" t="s">
        <v>333</v>
      </c>
      <c r="GR2" s="1" t="s">
        <v>330</v>
      </c>
      <c r="GS2" s="1" t="s">
        <v>330</v>
      </c>
      <c r="GT2" s="1" t="s">
        <v>330</v>
      </c>
      <c r="GU2" s="1" t="s">
        <v>331</v>
      </c>
      <c r="GV2" s="1" t="s">
        <v>330</v>
      </c>
      <c r="GW2" s="1" t="s">
        <v>332</v>
      </c>
      <c r="GX2" s="1" t="s">
        <v>333</v>
      </c>
      <c r="GY2" s="1" t="s">
        <v>333</v>
      </c>
      <c r="GZ2" s="1" t="s">
        <v>331</v>
      </c>
      <c r="HA2" s="1" t="s">
        <v>330</v>
      </c>
      <c r="HB2" s="1" t="s">
        <v>332</v>
      </c>
      <c r="HC2" s="1" t="s">
        <v>332</v>
      </c>
      <c r="HD2" s="1" t="s">
        <v>330</v>
      </c>
      <c r="HE2" s="1" t="s">
        <v>332</v>
      </c>
      <c r="HF2" s="1" t="s">
        <v>331</v>
      </c>
      <c r="HG2" s="1" t="s">
        <v>331</v>
      </c>
      <c r="HH2" s="1" t="s">
        <v>333</v>
      </c>
      <c r="HI2" s="1" t="s">
        <v>333</v>
      </c>
      <c r="HJ2" s="1" t="s">
        <v>331</v>
      </c>
      <c r="HK2" s="1" t="s">
        <v>333</v>
      </c>
      <c r="HL2" s="1" t="s">
        <v>333</v>
      </c>
      <c r="HM2" s="1" t="s">
        <v>332</v>
      </c>
      <c r="HN2" s="1" t="s">
        <v>333</v>
      </c>
      <c r="HO2" s="1" t="s">
        <v>333</v>
      </c>
      <c r="HP2" s="1" t="s">
        <v>333</v>
      </c>
      <c r="HQ2" s="1" t="s">
        <v>331</v>
      </c>
      <c r="HR2" s="1" t="s">
        <v>330</v>
      </c>
      <c r="HS2" s="1" t="s">
        <v>331</v>
      </c>
      <c r="HT2" s="1" t="s">
        <v>332</v>
      </c>
      <c r="HU2" s="1" t="s">
        <v>333</v>
      </c>
      <c r="HV2" s="1" t="s">
        <v>330</v>
      </c>
      <c r="HW2" s="1" t="s">
        <v>330</v>
      </c>
      <c r="HX2" s="1" t="s">
        <v>333</v>
      </c>
      <c r="HY2" s="1" t="s">
        <v>331</v>
      </c>
      <c r="HZ2" s="1" t="s">
        <v>333</v>
      </c>
      <c r="IA2" s="1" t="s">
        <v>331</v>
      </c>
      <c r="IB2" s="1" t="s">
        <v>333</v>
      </c>
      <c r="IC2" s="1" t="s">
        <v>333</v>
      </c>
      <c r="ID2" s="1" t="s">
        <v>331</v>
      </c>
      <c r="IE2" s="1" t="s">
        <v>330</v>
      </c>
      <c r="IF2" s="1" t="s">
        <v>333</v>
      </c>
      <c r="IG2" s="1" t="s">
        <v>331</v>
      </c>
      <c r="IH2" s="1" t="s">
        <v>331</v>
      </c>
      <c r="II2" s="1" t="s">
        <v>332</v>
      </c>
      <c r="IJ2" s="1" t="s">
        <v>333</v>
      </c>
      <c r="IK2" s="1" t="s">
        <v>331</v>
      </c>
      <c r="IL2" s="1" t="s">
        <v>333</v>
      </c>
      <c r="IM2" s="1" t="s">
        <v>331</v>
      </c>
      <c r="IN2" s="1" t="s">
        <v>333</v>
      </c>
      <c r="IO2" s="1" t="s">
        <v>331</v>
      </c>
      <c r="IP2" s="1" t="s">
        <v>331</v>
      </c>
      <c r="IQ2" s="1" t="s">
        <v>332</v>
      </c>
      <c r="IR2" s="1" t="s">
        <v>331</v>
      </c>
    </row>
    <row r="3" spans="1:252" s="1" customFormat="1" x14ac:dyDescent="0.35">
      <c r="A3" s="1" t="s">
        <v>1721</v>
      </c>
      <c r="D3" s="1" t="s">
        <v>1740</v>
      </c>
      <c r="E3" s="1">
        <v>5704</v>
      </c>
      <c r="G3" s="1" t="s">
        <v>1691</v>
      </c>
      <c r="H3" s="1" t="s">
        <v>311</v>
      </c>
      <c r="I3" s="1" t="s">
        <v>328</v>
      </c>
      <c r="J3" s="1" t="s">
        <v>1723</v>
      </c>
      <c r="K3" s="1" t="s">
        <v>1724</v>
      </c>
      <c r="M3" s="1">
        <v>1</v>
      </c>
      <c r="N3" s="1">
        <v>1</v>
      </c>
      <c r="O3" s="1">
        <v>1</v>
      </c>
      <c r="P3" s="1">
        <v>0</v>
      </c>
      <c r="Q3" s="1">
        <v>0</v>
      </c>
      <c r="R3" s="1">
        <v>1</v>
      </c>
      <c r="S3" s="1">
        <v>0</v>
      </c>
      <c r="T3" s="1">
        <v>0</v>
      </c>
      <c r="U3" s="1">
        <v>1</v>
      </c>
      <c r="V3" s="1">
        <v>0</v>
      </c>
      <c r="W3" s="1">
        <v>0</v>
      </c>
      <c r="X3" s="1">
        <v>1</v>
      </c>
      <c r="Y3" s="1">
        <v>1</v>
      </c>
      <c r="Z3" s="1">
        <v>0</v>
      </c>
      <c r="AA3" s="1">
        <v>0</v>
      </c>
      <c r="AB3" s="1">
        <v>1</v>
      </c>
      <c r="AC3" s="1">
        <v>1</v>
      </c>
      <c r="AD3" s="1">
        <v>0</v>
      </c>
      <c r="AE3" s="1">
        <v>1</v>
      </c>
      <c r="AF3" s="1">
        <v>1</v>
      </c>
      <c r="AG3" s="1">
        <v>1</v>
      </c>
      <c r="AH3" s="1">
        <v>1</v>
      </c>
      <c r="AI3" s="1">
        <v>0</v>
      </c>
      <c r="AJ3" s="1">
        <v>0</v>
      </c>
      <c r="AK3" s="1">
        <v>1</v>
      </c>
      <c r="AL3" s="1">
        <v>0</v>
      </c>
      <c r="AM3" s="1">
        <v>0</v>
      </c>
      <c r="AN3" s="1">
        <v>1</v>
      </c>
      <c r="AO3" s="1">
        <v>1</v>
      </c>
      <c r="AP3" s="1">
        <v>0</v>
      </c>
      <c r="AQ3" s="1">
        <v>1</v>
      </c>
      <c r="AR3" s="1">
        <v>1</v>
      </c>
      <c r="AS3" s="1">
        <v>0</v>
      </c>
      <c r="AT3" s="1">
        <v>0</v>
      </c>
      <c r="AU3" s="1">
        <v>1</v>
      </c>
      <c r="AV3" s="1">
        <v>1</v>
      </c>
      <c r="AW3" s="1">
        <v>1</v>
      </c>
      <c r="AX3" s="1">
        <v>0</v>
      </c>
      <c r="AY3" s="1">
        <v>0</v>
      </c>
      <c r="AZ3" s="1">
        <v>1</v>
      </c>
      <c r="BA3" s="1">
        <v>1</v>
      </c>
      <c r="BB3" s="1">
        <v>0</v>
      </c>
      <c r="BC3" s="1">
        <v>0</v>
      </c>
      <c r="BD3" s="1">
        <v>1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1</v>
      </c>
      <c r="BN3" s="1">
        <v>1</v>
      </c>
      <c r="BO3" s="1">
        <v>0</v>
      </c>
      <c r="BP3" s="1">
        <v>1</v>
      </c>
      <c r="BQ3" s="1">
        <v>0</v>
      </c>
      <c r="BR3" s="1">
        <v>1</v>
      </c>
      <c r="BS3" s="1">
        <v>1</v>
      </c>
      <c r="BT3" s="1">
        <v>0</v>
      </c>
      <c r="BU3" s="1">
        <v>0</v>
      </c>
      <c r="BV3" s="1">
        <v>1</v>
      </c>
      <c r="BW3" s="1">
        <v>1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1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1</v>
      </c>
      <c r="CL3" s="1">
        <v>1</v>
      </c>
      <c r="CM3" s="1">
        <v>0</v>
      </c>
      <c r="CN3" s="1">
        <v>1</v>
      </c>
      <c r="CO3" s="1">
        <v>1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1</v>
      </c>
      <c r="CX3" s="1">
        <v>1</v>
      </c>
      <c r="CY3" s="1">
        <v>0</v>
      </c>
      <c r="CZ3" s="1">
        <v>1</v>
      </c>
      <c r="DA3" s="1">
        <v>0</v>
      </c>
      <c r="DB3" s="1">
        <v>0</v>
      </c>
      <c r="DC3" s="1">
        <v>1</v>
      </c>
      <c r="DD3" s="1">
        <v>0</v>
      </c>
      <c r="DE3" s="1">
        <v>0</v>
      </c>
      <c r="DF3" s="1">
        <v>0</v>
      </c>
      <c r="DG3" s="1">
        <v>0</v>
      </c>
      <c r="DH3" s="1">
        <v>1</v>
      </c>
      <c r="DI3" s="1">
        <v>0</v>
      </c>
      <c r="DJ3" s="1">
        <v>0</v>
      </c>
      <c r="DK3" s="1">
        <v>0</v>
      </c>
      <c r="DL3" s="1">
        <v>1</v>
      </c>
      <c r="DM3" s="1">
        <v>1</v>
      </c>
      <c r="DN3" s="1">
        <v>0</v>
      </c>
      <c r="DO3" s="1">
        <v>1</v>
      </c>
      <c r="DP3" s="1">
        <v>1</v>
      </c>
      <c r="DQ3" s="1">
        <v>0</v>
      </c>
      <c r="DR3" s="1">
        <v>0</v>
      </c>
      <c r="DS3" s="1">
        <v>1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1</v>
      </c>
      <c r="EA3" s="1">
        <v>1</v>
      </c>
      <c r="EB3" s="1">
        <v>0</v>
      </c>
      <c r="EC3" s="1" t="s">
        <v>331</v>
      </c>
      <c r="ED3" s="1" t="s">
        <v>333</v>
      </c>
      <c r="EE3" s="1" t="s">
        <v>333</v>
      </c>
      <c r="EF3" s="1" t="s">
        <v>330</v>
      </c>
      <c r="EG3" s="1" t="s">
        <v>332</v>
      </c>
      <c r="EH3" s="1" t="s">
        <v>333</v>
      </c>
      <c r="EI3" s="1" t="s">
        <v>330</v>
      </c>
      <c r="EJ3" s="1" t="s">
        <v>333</v>
      </c>
      <c r="EK3" s="1" t="s">
        <v>333</v>
      </c>
      <c r="EL3" s="1" t="s">
        <v>333</v>
      </c>
      <c r="EM3" s="1" t="s">
        <v>333</v>
      </c>
      <c r="EN3" s="1" t="s">
        <v>331</v>
      </c>
      <c r="EO3" s="1" t="s">
        <v>332</v>
      </c>
      <c r="EP3" s="1" t="s">
        <v>331</v>
      </c>
      <c r="EQ3" s="1" t="s">
        <v>331</v>
      </c>
      <c r="ER3" s="1" t="s">
        <v>331</v>
      </c>
      <c r="ES3" s="1" t="s">
        <v>332</v>
      </c>
      <c r="ET3" s="1" t="s">
        <v>332</v>
      </c>
      <c r="EU3" s="1" t="s">
        <v>332</v>
      </c>
      <c r="EV3" s="1" t="s">
        <v>332</v>
      </c>
      <c r="EW3" s="1" t="s">
        <v>333</v>
      </c>
      <c r="EX3" s="1" t="s">
        <v>331</v>
      </c>
      <c r="EY3" s="1" t="s">
        <v>331</v>
      </c>
      <c r="EZ3" s="1" t="s">
        <v>332</v>
      </c>
      <c r="FA3" s="1" t="s">
        <v>331</v>
      </c>
      <c r="FB3" s="1" t="s">
        <v>332</v>
      </c>
      <c r="FC3" s="1" t="s">
        <v>332</v>
      </c>
      <c r="FD3" s="1" t="s">
        <v>331</v>
      </c>
      <c r="FE3" s="1" t="s">
        <v>331</v>
      </c>
      <c r="FF3" s="1" t="s">
        <v>333</v>
      </c>
      <c r="FG3" s="1" t="s">
        <v>331</v>
      </c>
      <c r="FH3" s="1" t="s">
        <v>332</v>
      </c>
      <c r="FI3" s="1" t="s">
        <v>332</v>
      </c>
      <c r="FJ3" s="1" t="s">
        <v>333</v>
      </c>
      <c r="FK3" s="1" t="s">
        <v>330</v>
      </c>
      <c r="FL3" s="1" t="s">
        <v>332</v>
      </c>
      <c r="FM3" s="1" t="s">
        <v>330</v>
      </c>
      <c r="FN3" s="1" t="s">
        <v>330</v>
      </c>
      <c r="FO3" s="1" t="s">
        <v>330</v>
      </c>
      <c r="FP3" s="1" t="s">
        <v>331</v>
      </c>
      <c r="FQ3" s="1" t="s">
        <v>332</v>
      </c>
      <c r="FR3" s="1" t="s">
        <v>330</v>
      </c>
      <c r="FS3" s="1" t="s">
        <v>330</v>
      </c>
      <c r="FT3" s="1" t="s">
        <v>333</v>
      </c>
      <c r="FU3" s="1" t="s">
        <v>333</v>
      </c>
      <c r="FV3" s="1" t="s">
        <v>330</v>
      </c>
      <c r="FW3" s="1" t="s">
        <v>333</v>
      </c>
      <c r="FX3" s="1" t="s">
        <v>331</v>
      </c>
      <c r="FY3" s="1" t="s">
        <v>333</v>
      </c>
      <c r="FZ3" s="1" t="s">
        <v>330</v>
      </c>
      <c r="GA3" s="1" t="s">
        <v>332</v>
      </c>
      <c r="GB3" s="1" t="s">
        <v>333</v>
      </c>
      <c r="GC3" s="1" t="s">
        <v>332</v>
      </c>
      <c r="GD3" s="1" t="s">
        <v>333</v>
      </c>
      <c r="GE3" s="1" t="s">
        <v>333</v>
      </c>
      <c r="GF3" s="1" t="s">
        <v>333</v>
      </c>
      <c r="GG3" s="1" t="s">
        <v>331</v>
      </c>
      <c r="GH3" s="1" t="s">
        <v>330</v>
      </c>
      <c r="GI3" s="1" t="s">
        <v>330</v>
      </c>
      <c r="GJ3" s="1" t="s">
        <v>330</v>
      </c>
      <c r="GK3" s="1" t="s">
        <v>330</v>
      </c>
      <c r="GL3" s="1" t="s">
        <v>332</v>
      </c>
      <c r="GM3" s="1" t="s">
        <v>333</v>
      </c>
      <c r="GN3" s="1" t="s">
        <v>332</v>
      </c>
      <c r="GO3" s="1" t="s">
        <v>330</v>
      </c>
      <c r="GP3" s="1" t="s">
        <v>332</v>
      </c>
      <c r="GQ3" s="1" t="s">
        <v>331</v>
      </c>
      <c r="GR3" s="1" t="s">
        <v>333</v>
      </c>
      <c r="GS3" s="1" t="s">
        <v>330</v>
      </c>
      <c r="GT3" s="1" t="s">
        <v>333</v>
      </c>
      <c r="GU3" s="1" t="s">
        <v>331</v>
      </c>
      <c r="GV3" s="1" t="s">
        <v>331</v>
      </c>
      <c r="GW3" s="1" t="s">
        <v>333</v>
      </c>
      <c r="GX3" s="1" t="s">
        <v>330</v>
      </c>
      <c r="GY3" s="1" t="s">
        <v>332</v>
      </c>
      <c r="GZ3" s="1" t="s">
        <v>332</v>
      </c>
      <c r="HA3" s="1" t="s">
        <v>330</v>
      </c>
      <c r="HB3" s="1" t="s">
        <v>332</v>
      </c>
      <c r="HC3" s="1" t="s">
        <v>333</v>
      </c>
      <c r="HD3" s="1" t="s">
        <v>330</v>
      </c>
      <c r="HE3" s="1" t="s">
        <v>330</v>
      </c>
      <c r="HF3" s="1" t="s">
        <v>330</v>
      </c>
      <c r="HG3" s="1" t="s">
        <v>330</v>
      </c>
      <c r="HH3" s="1" t="s">
        <v>331</v>
      </c>
      <c r="HI3" s="1" t="s">
        <v>332</v>
      </c>
      <c r="HJ3" s="1" t="s">
        <v>330</v>
      </c>
      <c r="HK3" s="1" t="s">
        <v>332</v>
      </c>
      <c r="HL3" s="1" t="s">
        <v>330</v>
      </c>
      <c r="HM3" s="1" t="s">
        <v>332</v>
      </c>
      <c r="HN3" s="1" t="s">
        <v>330</v>
      </c>
      <c r="HO3" s="1" t="s">
        <v>330</v>
      </c>
      <c r="HP3" s="1" t="s">
        <v>333</v>
      </c>
      <c r="HQ3" s="1" t="s">
        <v>333</v>
      </c>
      <c r="HR3" s="1" t="s">
        <v>332</v>
      </c>
      <c r="HS3" s="1" t="s">
        <v>331</v>
      </c>
      <c r="HT3" s="1" t="s">
        <v>333</v>
      </c>
      <c r="HU3" s="1" t="s">
        <v>330</v>
      </c>
      <c r="HV3" s="1" t="s">
        <v>331</v>
      </c>
      <c r="HW3" s="1" t="s">
        <v>333</v>
      </c>
      <c r="HX3" s="1" t="s">
        <v>333</v>
      </c>
      <c r="HY3" s="1" t="s">
        <v>332</v>
      </c>
      <c r="HZ3" s="1" t="s">
        <v>332</v>
      </c>
      <c r="IA3" s="1" t="s">
        <v>332</v>
      </c>
      <c r="IB3" s="1" t="s">
        <v>333</v>
      </c>
      <c r="IC3" s="1" t="s">
        <v>333</v>
      </c>
      <c r="ID3" s="1" t="s">
        <v>333</v>
      </c>
      <c r="IE3" s="1" t="s">
        <v>330</v>
      </c>
      <c r="IF3" s="1" t="s">
        <v>333</v>
      </c>
      <c r="IG3" s="1" t="s">
        <v>333</v>
      </c>
      <c r="IH3" s="1" t="s">
        <v>333</v>
      </c>
      <c r="II3" s="1" t="s">
        <v>331</v>
      </c>
      <c r="IJ3" s="1" t="s">
        <v>332</v>
      </c>
      <c r="IK3" s="1" t="s">
        <v>332</v>
      </c>
      <c r="IL3" s="1" t="s">
        <v>331</v>
      </c>
      <c r="IM3" s="1" t="s">
        <v>333</v>
      </c>
      <c r="IN3" s="1" t="s">
        <v>330</v>
      </c>
      <c r="IO3" s="1" t="s">
        <v>330</v>
      </c>
      <c r="IP3" s="1" t="s">
        <v>331</v>
      </c>
      <c r="IQ3" s="1" t="s">
        <v>332</v>
      </c>
      <c r="IR3" s="1" t="s">
        <v>332</v>
      </c>
    </row>
    <row r="4" spans="1:252" s="1" customFormat="1" x14ac:dyDescent="0.35">
      <c r="A4" s="1" t="s">
        <v>1721</v>
      </c>
      <c r="D4" s="1" t="s">
        <v>1741</v>
      </c>
      <c r="E4" s="1">
        <v>5705</v>
      </c>
      <c r="G4" s="1" t="s">
        <v>316</v>
      </c>
      <c r="H4" s="1" t="s">
        <v>311</v>
      </c>
      <c r="I4" s="1" t="s">
        <v>317</v>
      </c>
      <c r="J4" s="1" t="s">
        <v>1723</v>
      </c>
      <c r="K4" s="1" t="s">
        <v>1724</v>
      </c>
      <c r="M4" s="1">
        <v>1</v>
      </c>
      <c r="N4" s="1">
        <v>1</v>
      </c>
      <c r="O4" s="1">
        <v>1</v>
      </c>
      <c r="P4" s="1">
        <v>0</v>
      </c>
      <c r="Q4" s="1">
        <v>1</v>
      </c>
      <c r="R4" s="1">
        <v>0</v>
      </c>
      <c r="S4" s="1">
        <v>0</v>
      </c>
      <c r="T4" s="1">
        <v>0</v>
      </c>
      <c r="U4" s="1">
        <v>1</v>
      </c>
      <c r="V4" s="1">
        <v>0</v>
      </c>
      <c r="W4" s="1">
        <v>0</v>
      </c>
      <c r="X4" s="1">
        <v>0</v>
      </c>
      <c r="Y4" s="1">
        <v>1</v>
      </c>
      <c r="Z4" s="1">
        <v>0</v>
      </c>
      <c r="AA4" s="1">
        <v>1</v>
      </c>
      <c r="AB4" s="1">
        <v>0</v>
      </c>
      <c r="AC4" s="1">
        <v>0</v>
      </c>
      <c r="AD4" s="1">
        <v>0</v>
      </c>
      <c r="AE4" s="1">
        <v>1</v>
      </c>
      <c r="AF4" s="1">
        <v>1</v>
      </c>
      <c r="AG4" s="1">
        <v>0</v>
      </c>
      <c r="AH4" s="1">
        <v>1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1</v>
      </c>
      <c r="AP4" s="1">
        <v>1</v>
      </c>
      <c r="AQ4" s="1">
        <v>1</v>
      </c>
      <c r="AR4" s="1">
        <v>0</v>
      </c>
      <c r="AS4" s="1">
        <v>1</v>
      </c>
      <c r="AT4" s="1">
        <v>0</v>
      </c>
      <c r="AU4" s="1">
        <v>1</v>
      </c>
      <c r="AV4" s="1">
        <v>1</v>
      </c>
      <c r="AW4" s="1">
        <v>0</v>
      </c>
      <c r="AX4" s="1">
        <v>0</v>
      </c>
      <c r="AY4" s="1">
        <v>0</v>
      </c>
      <c r="AZ4" s="1">
        <v>1</v>
      </c>
      <c r="BA4" s="1">
        <v>0</v>
      </c>
      <c r="BB4" s="1">
        <v>1</v>
      </c>
      <c r="BC4" s="1">
        <v>0</v>
      </c>
      <c r="BD4" s="1">
        <v>0</v>
      </c>
      <c r="BE4" s="1">
        <v>1</v>
      </c>
      <c r="BF4" s="1">
        <v>0</v>
      </c>
      <c r="BG4" s="1">
        <v>0</v>
      </c>
      <c r="BH4" s="1">
        <v>1</v>
      </c>
      <c r="BI4" s="1">
        <v>1</v>
      </c>
      <c r="BJ4" s="1">
        <v>0</v>
      </c>
      <c r="BK4" s="1">
        <v>1</v>
      </c>
      <c r="BL4" s="1">
        <v>0</v>
      </c>
      <c r="BM4" s="1">
        <v>0</v>
      </c>
      <c r="BN4" s="1">
        <v>1</v>
      </c>
      <c r="BO4" s="1">
        <v>1</v>
      </c>
      <c r="BP4" s="1">
        <v>0</v>
      </c>
      <c r="BQ4" s="1">
        <v>0</v>
      </c>
      <c r="BR4" s="1">
        <v>1</v>
      </c>
      <c r="BS4" s="1">
        <v>1</v>
      </c>
      <c r="BT4" s="1">
        <v>0</v>
      </c>
      <c r="BU4" s="1">
        <v>0</v>
      </c>
      <c r="BV4" s="1">
        <v>0</v>
      </c>
      <c r="BW4" s="1">
        <v>1</v>
      </c>
      <c r="BX4" s="1">
        <v>0</v>
      </c>
      <c r="BY4" s="1">
        <v>1</v>
      </c>
      <c r="BZ4" s="1">
        <v>1</v>
      </c>
      <c r="CA4" s="1">
        <v>0</v>
      </c>
      <c r="CB4" s="1">
        <v>0</v>
      </c>
      <c r="CC4" s="1">
        <v>1</v>
      </c>
      <c r="CD4" s="1">
        <v>0</v>
      </c>
      <c r="CE4" s="1">
        <v>0</v>
      </c>
      <c r="CF4" s="1">
        <v>0</v>
      </c>
      <c r="CG4" s="1">
        <v>0</v>
      </c>
      <c r="CH4" s="1">
        <v>1</v>
      </c>
      <c r="CI4" s="1">
        <v>0</v>
      </c>
      <c r="CJ4" s="1">
        <v>0</v>
      </c>
      <c r="CK4" s="1">
        <v>1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1</v>
      </c>
      <c r="CR4" s="1">
        <v>1</v>
      </c>
      <c r="CS4" s="1">
        <v>1</v>
      </c>
      <c r="CT4" s="1">
        <v>1</v>
      </c>
      <c r="CU4" s="1">
        <v>0</v>
      </c>
      <c r="CV4" s="1">
        <v>0</v>
      </c>
      <c r="CW4" s="1">
        <v>0</v>
      </c>
      <c r="CX4" s="1">
        <v>0</v>
      </c>
      <c r="CY4" s="1">
        <v>1</v>
      </c>
      <c r="CZ4" s="1">
        <v>1</v>
      </c>
      <c r="DA4" s="1">
        <v>0</v>
      </c>
      <c r="DB4" s="1">
        <v>1</v>
      </c>
      <c r="DC4" s="1">
        <v>0</v>
      </c>
      <c r="DD4" s="1">
        <v>0</v>
      </c>
      <c r="DE4" s="1">
        <v>0</v>
      </c>
      <c r="DF4" s="1">
        <v>1</v>
      </c>
      <c r="DG4" s="1">
        <v>0</v>
      </c>
      <c r="DH4" s="1">
        <v>1</v>
      </c>
      <c r="DI4" s="1">
        <v>0</v>
      </c>
      <c r="DJ4" s="1">
        <v>0</v>
      </c>
      <c r="DK4" s="1">
        <v>0</v>
      </c>
      <c r="DL4" s="1">
        <v>1</v>
      </c>
      <c r="DM4" s="1">
        <v>0</v>
      </c>
      <c r="DN4" s="1">
        <v>1</v>
      </c>
      <c r="DO4" s="1">
        <v>1</v>
      </c>
      <c r="DP4" s="1">
        <v>1</v>
      </c>
      <c r="DQ4" s="1">
        <v>1</v>
      </c>
      <c r="DR4" s="1">
        <v>1</v>
      </c>
      <c r="DS4" s="1">
        <v>0</v>
      </c>
      <c r="DT4" s="1">
        <v>1</v>
      </c>
      <c r="DU4" s="1">
        <v>0</v>
      </c>
      <c r="DV4" s="1">
        <v>1</v>
      </c>
      <c r="DW4" s="1">
        <v>0</v>
      </c>
      <c r="DX4" s="1">
        <v>0</v>
      </c>
      <c r="DY4" s="1">
        <v>1</v>
      </c>
      <c r="DZ4" s="1">
        <v>0</v>
      </c>
      <c r="EA4" s="1">
        <v>1</v>
      </c>
      <c r="EB4" s="1">
        <v>1</v>
      </c>
      <c r="EC4" s="1" t="s">
        <v>331</v>
      </c>
      <c r="ED4" s="1" t="s">
        <v>333</v>
      </c>
      <c r="EE4" s="1" t="s">
        <v>333</v>
      </c>
      <c r="EF4" s="1" t="s">
        <v>330</v>
      </c>
      <c r="EG4" s="1" t="s">
        <v>331</v>
      </c>
      <c r="EH4" s="1" t="s">
        <v>330</v>
      </c>
      <c r="EI4" s="1" t="s">
        <v>330</v>
      </c>
      <c r="EJ4" s="1" t="s">
        <v>332</v>
      </c>
      <c r="EK4" s="1" t="s">
        <v>333</v>
      </c>
      <c r="EL4" s="1" t="s">
        <v>333</v>
      </c>
      <c r="EM4" s="1" t="s">
        <v>333</v>
      </c>
      <c r="EN4" s="1" t="s">
        <v>332</v>
      </c>
      <c r="EO4" s="1" t="s">
        <v>332</v>
      </c>
      <c r="EP4" s="1" t="s">
        <v>331</v>
      </c>
      <c r="EQ4" s="1" t="s">
        <v>333</v>
      </c>
      <c r="ER4" s="1" t="s">
        <v>330</v>
      </c>
      <c r="ES4" s="1" t="s">
        <v>330</v>
      </c>
      <c r="ET4" s="1" t="s">
        <v>333</v>
      </c>
      <c r="EU4" s="1" t="s">
        <v>332</v>
      </c>
      <c r="EV4" s="1" t="s">
        <v>332</v>
      </c>
      <c r="EW4" s="1" t="s">
        <v>330</v>
      </c>
      <c r="EX4" s="1" t="s">
        <v>331</v>
      </c>
      <c r="EY4" s="1" t="s">
        <v>333</v>
      </c>
      <c r="EZ4" s="1" t="s">
        <v>333</v>
      </c>
      <c r="FA4" s="1" t="s">
        <v>330</v>
      </c>
      <c r="FB4" s="1" t="s">
        <v>332</v>
      </c>
      <c r="FC4" s="1" t="s">
        <v>330</v>
      </c>
      <c r="FD4" s="1" t="s">
        <v>333</v>
      </c>
      <c r="FE4" s="1" t="s">
        <v>331</v>
      </c>
      <c r="FF4" s="1" t="s">
        <v>331</v>
      </c>
      <c r="FG4" s="1" t="s">
        <v>331</v>
      </c>
      <c r="FH4" s="1" t="s">
        <v>330</v>
      </c>
      <c r="FI4" s="1" t="s">
        <v>331</v>
      </c>
      <c r="FJ4" s="1" t="s">
        <v>333</v>
      </c>
      <c r="FK4" s="1" t="s">
        <v>330</v>
      </c>
      <c r="FL4" s="1" t="s">
        <v>332</v>
      </c>
      <c r="FM4" s="1" t="s">
        <v>331</v>
      </c>
      <c r="FN4" s="1" t="s">
        <v>333</v>
      </c>
      <c r="FO4" s="1" t="s">
        <v>333</v>
      </c>
      <c r="FP4" s="1" t="s">
        <v>331</v>
      </c>
      <c r="FQ4" s="1" t="s">
        <v>330</v>
      </c>
      <c r="FR4" s="1" t="s">
        <v>332</v>
      </c>
      <c r="FS4" s="1" t="s">
        <v>331</v>
      </c>
      <c r="FT4" s="1" t="s">
        <v>331</v>
      </c>
      <c r="FU4" s="1" t="s">
        <v>332</v>
      </c>
      <c r="FV4" s="1" t="s">
        <v>330</v>
      </c>
      <c r="FW4" s="1" t="s">
        <v>330</v>
      </c>
      <c r="FX4" s="1" t="s">
        <v>333</v>
      </c>
      <c r="FY4" s="1" t="s">
        <v>332</v>
      </c>
      <c r="FZ4" s="1" t="s">
        <v>330</v>
      </c>
      <c r="GA4" s="1" t="s">
        <v>333</v>
      </c>
      <c r="GB4" s="1" t="s">
        <v>332</v>
      </c>
      <c r="GC4" s="1" t="s">
        <v>333</v>
      </c>
      <c r="GD4" s="1" t="s">
        <v>333</v>
      </c>
      <c r="GE4" s="1" t="s">
        <v>331</v>
      </c>
      <c r="GF4" s="1" t="s">
        <v>330</v>
      </c>
      <c r="GG4" s="1" t="s">
        <v>330</v>
      </c>
      <c r="GH4" s="1" t="s">
        <v>330</v>
      </c>
      <c r="GI4" s="1" t="s">
        <v>330</v>
      </c>
      <c r="GJ4" s="1" t="s">
        <v>330</v>
      </c>
      <c r="GK4" s="1" t="s">
        <v>331</v>
      </c>
      <c r="GL4" s="1" t="s">
        <v>333</v>
      </c>
      <c r="GM4" s="1" t="s">
        <v>333</v>
      </c>
      <c r="GN4" s="1" t="s">
        <v>330</v>
      </c>
      <c r="GO4" s="1" t="s">
        <v>332</v>
      </c>
      <c r="GP4" s="1" t="s">
        <v>331</v>
      </c>
      <c r="GQ4" s="1" t="s">
        <v>332</v>
      </c>
      <c r="GR4" s="1" t="s">
        <v>331</v>
      </c>
      <c r="GS4" s="1" t="s">
        <v>330</v>
      </c>
      <c r="GT4" s="1" t="s">
        <v>330</v>
      </c>
      <c r="GU4" s="1" t="s">
        <v>330</v>
      </c>
      <c r="GV4" s="1" t="s">
        <v>333</v>
      </c>
      <c r="GW4" s="1" t="s">
        <v>332</v>
      </c>
      <c r="GX4" s="1" t="s">
        <v>333</v>
      </c>
      <c r="GY4" s="1" t="s">
        <v>330</v>
      </c>
      <c r="GZ4" s="1" t="s">
        <v>330</v>
      </c>
      <c r="HA4" s="1" t="s">
        <v>330</v>
      </c>
      <c r="HB4" s="1" t="s">
        <v>330</v>
      </c>
      <c r="HC4" s="1" t="s">
        <v>333</v>
      </c>
      <c r="HD4" s="1" t="s">
        <v>331</v>
      </c>
      <c r="HE4" s="1" t="s">
        <v>333</v>
      </c>
      <c r="HF4" s="1" t="s">
        <v>333</v>
      </c>
      <c r="HG4" s="1" t="s">
        <v>331</v>
      </c>
      <c r="HH4" s="1" t="s">
        <v>333</v>
      </c>
      <c r="HI4" s="1" t="s">
        <v>333</v>
      </c>
      <c r="HJ4" s="1" t="s">
        <v>331</v>
      </c>
      <c r="HK4" s="1" t="s">
        <v>332</v>
      </c>
      <c r="HL4" s="1" t="s">
        <v>332</v>
      </c>
      <c r="HM4" s="1" t="s">
        <v>333</v>
      </c>
      <c r="HN4" s="1" t="s">
        <v>332</v>
      </c>
      <c r="HO4" s="1" t="s">
        <v>333</v>
      </c>
      <c r="HP4" s="1" t="s">
        <v>333</v>
      </c>
      <c r="HQ4" s="1" t="s">
        <v>330</v>
      </c>
      <c r="HR4" s="1" t="s">
        <v>330</v>
      </c>
      <c r="HS4" s="1" t="s">
        <v>330</v>
      </c>
      <c r="HT4" s="1" t="s">
        <v>331</v>
      </c>
      <c r="HU4" s="1" t="s">
        <v>331</v>
      </c>
      <c r="HV4" s="1" t="s">
        <v>330</v>
      </c>
      <c r="HW4" s="1" t="s">
        <v>332</v>
      </c>
      <c r="HX4" s="1" t="s">
        <v>333</v>
      </c>
      <c r="HY4" s="1" t="s">
        <v>330</v>
      </c>
      <c r="HZ4" s="1" t="s">
        <v>330</v>
      </c>
      <c r="IA4" s="1" t="s">
        <v>330</v>
      </c>
      <c r="IB4" s="1" t="s">
        <v>333</v>
      </c>
      <c r="IC4" s="1" t="s">
        <v>330</v>
      </c>
      <c r="ID4" s="1" t="s">
        <v>330</v>
      </c>
      <c r="IE4" s="1" t="s">
        <v>330</v>
      </c>
      <c r="IF4" s="1" t="s">
        <v>333</v>
      </c>
      <c r="IG4" s="1" t="s">
        <v>331</v>
      </c>
      <c r="IH4" s="1" t="s">
        <v>330</v>
      </c>
      <c r="II4" s="1" t="s">
        <v>333</v>
      </c>
      <c r="IJ4" s="1" t="s">
        <v>330</v>
      </c>
      <c r="IK4" s="1" t="s">
        <v>330</v>
      </c>
      <c r="IL4" s="1" t="s">
        <v>333</v>
      </c>
      <c r="IM4" s="1" t="s">
        <v>330</v>
      </c>
      <c r="IN4" s="1" t="s">
        <v>332</v>
      </c>
      <c r="IO4" s="1" t="s">
        <v>331</v>
      </c>
      <c r="IP4" s="1" t="s">
        <v>333</v>
      </c>
      <c r="IQ4" s="1" t="s">
        <v>332</v>
      </c>
      <c r="IR4" s="1" t="s">
        <v>331</v>
      </c>
    </row>
    <row r="5" spans="1:252" s="1" customFormat="1" x14ac:dyDescent="0.35">
      <c r="A5" s="1" t="s">
        <v>1721</v>
      </c>
      <c r="D5" s="1" t="s">
        <v>1742</v>
      </c>
      <c r="E5" s="1">
        <v>5706</v>
      </c>
      <c r="G5" s="1" t="s">
        <v>315</v>
      </c>
      <c r="H5" s="1" t="s">
        <v>311</v>
      </c>
      <c r="I5" s="1" t="s">
        <v>1696</v>
      </c>
      <c r="J5" s="1" t="s">
        <v>1723</v>
      </c>
      <c r="K5" s="1" t="s">
        <v>1724</v>
      </c>
      <c r="M5" s="1">
        <v>1</v>
      </c>
      <c r="N5" s="1">
        <v>1</v>
      </c>
      <c r="O5" s="1">
        <v>0</v>
      </c>
      <c r="P5" s="1">
        <v>0</v>
      </c>
      <c r="Q5" s="1">
        <v>0</v>
      </c>
      <c r="R5" s="1">
        <v>1</v>
      </c>
      <c r="S5" s="1">
        <v>0</v>
      </c>
      <c r="T5" s="1">
        <v>0</v>
      </c>
      <c r="U5" s="1">
        <v>0</v>
      </c>
      <c r="V5" s="1">
        <v>0</v>
      </c>
      <c r="W5" s="1">
        <v>1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1</v>
      </c>
      <c r="AH5" s="1">
        <v>1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1</v>
      </c>
      <c r="AQ5" s="1">
        <v>0</v>
      </c>
      <c r="AR5" s="1">
        <v>0</v>
      </c>
      <c r="AS5" s="1">
        <v>0</v>
      </c>
      <c r="AT5" s="1">
        <v>1</v>
      </c>
      <c r="AU5" s="1">
        <v>1</v>
      </c>
      <c r="AV5" s="1">
        <v>1</v>
      </c>
      <c r="AW5" s="1">
        <v>1</v>
      </c>
      <c r="AX5" s="1">
        <v>0</v>
      </c>
      <c r="AY5" s="1">
        <v>1</v>
      </c>
      <c r="AZ5" s="1">
        <v>0</v>
      </c>
      <c r="BA5" s="1">
        <v>0</v>
      </c>
      <c r="BB5" s="1">
        <v>1</v>
      </c>
      <c r="BC5" s="1">
        <v>0</v>
      </c>
      <c r="BD5" s="1">
        <v>0</v>
      </c>
      <c r="BE5" s="1">
        <v>1</v>
      </c>
      <c r="BF5" s="1">
        <v>0</v>
      </c>
      <c r="BG5" s="1">
        <v>0</v>
      </c>
      <c r="BH5" s="1">
        <v>1</v>
      </c>
      <c r="BI5" s="1">
        <v>1</v>
      </c>
      <c r="BJ5" s="1">
        <v>1</v>
      </c>
      <c r="BK5" s="1">
        <v>1</v>
      </c>
      <c r="BL5" s="1">
        <v>0</v>
      </c>
      <c r="BM5" s="1">
        <v>0</v>
      </c>
      <c r="BN5" s="1">
        <v>0</v>
      </c>
      <c r="BO5" s="1">
        <v>1</v>
      </c>
      <c r="BP5" s="1">
        <v>1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1</v>
      </c>
      <c r="BY5" s="1">
        <v>0</v>
      </c>
      <c r="BZ5" s="1">
        <v>1</v>
      </c>
      <c r="CA5" s="1">
        <v>0</v>
      </c>
      <c r="CB5" s="1">
        <v>1</v>
      </c>
      <c r="CC5" s="1">
        <v>1</v>
      </c>
      <c r="CD5" s="1">
        <v>0</v>
      </c>
      <c r="CE5" s="1">
        <v>1</v>
      </c>
      <c r="CF5" s="1">
        <v>0</v>
      </c>
      <c r="CG5" s="1">
        <v>1</v>
      </c>
      <c r="CH5" s="1">
        <v>1</v>
      </c>
      <c r="CI5" s="1">
        <v>0</v>
      </c>
      <c r="CJ5" s="1">
        <v>0</v>
      </c>
      <c r="CK5" s="1">
        <v>1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1</v>
      </c>
      <c r="CT5" s="1">
        <v>1</v>
      </c>
      <c r="CU5" s="1">
        <v>0</v>
      </c>
      <c r="CV5" s="1">
        <v>0</v>
      </c>
      <c r="CW5" s="1">
        <v>0</v>
      </c>
      <c r="CX5" s="1">
        <v>0</v>
      </c>
      <c r="CY5" s="1">
        <v>1</v>
      </c>
      <c r="CZ5" s="1">
        <v>1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1</v>
      </c>
      <c r="DI5" s="1">
        <v>1</v>
      </c>
      <c r="DJ5" s="1">
        <v>1</v>
      </c>
      <c r="DK5" s="1">
        <v>1</v>
      </c>
      <c r="DL5" s="1">
        <v>1</v>
      </c>
      <c r="DM5" s="1">
        <v>1</v>
      </c>
      <c r="DN5" s="1">
        <v>0</v>
      </c>
      <c r="DO5" s="1">
        <v>0</v>
      </c>
      <c r="DP5" s="1">
        <v>1</v>
      </c>
      <c r="DQ5" s="1">
        <v>0</v>
      </c>
      <c r="DR5" s="1">
        <v>0</v>
      </c>
      <c r="DS5" s="1">
        <v>1</v>
      </c>
      <c r="DT5" s="1">
        <v>0</v>
      </c>
      <c r="DU5" s="1">
        <v>0</v>
      </c>
      <c r="DV5" s="1">
        <v>1</v>
      </c>
      <c r="DW5" s="1">
        <v>0</v>
      </c>
      <c r="DX5" s="1">
        <v>1</v>
      </c>
      <c r="DY5" s="1">
        <v>1</v>
      </c>
      <c r="DZ5" s="1">
        <v>0</v>
      </c>
      <c r="EA5" s="1">
        <v>1</v>
      </c>
      <c r="EB5" s="1">
        <v>1</v>
      </c>
      <c r="EC5" s="1" t="s">
        <v>331</v>
      </c>
      <c r="ED5" s="1" t="s">
        <v>333</v>
      </c>
      <c r="EE5" s="1" t="s">
        <v>332</v>
      </c>
      <c r="EF5" s="1" t="s">
        <v>330</v>
      </c>
      <c r="EG5" s="1" t="s">
        <v>333</v>
      </c>
      <c r="EH5" s="1" t="s">
        <v>333</v>
      </c>
      <c r="EI5" s="1" t="s">
        <v>331</v>
      </c>
      <c r="EJ5" s="1" t="s">
        <v>333</v>
      </c>
      <c r="EK5" s="1" t="s">
        <v>331</v>
      </c>
      <c r="EL5" s="1" t="s">
        <v>333</v>
      </c>
      <c r="EM5" s="1" t="s">
        <v>331</v>
      </c>
      <c r="EN5" s="1" t="s">
        <v>332</v>
      </c>
      <c r="EO5" s="1" t="s">
        <v>330</v>
      </c>
      <c r="EP5" s="1" t="s">
        <v>331</v>
      </c>
      <c r="EQ5" s="1" t="s">
        <v>330</v>
      </c>
      <c r="ER5" s="1" t="s">
        <v>330</v>
      </c>
      <c r="ES5" s="1" t="s">
        <v>333</v>
      </c>
      <c r="ET5" s="1" t="s">
        <v>330</v>
      </c>
      <c r="EU5" s="1" t="s">
        <v>331</v>
      </c>
      <c r="EV5" s="1" t="s">
        <v>330</v>
      </c>
      <c r="EW5" s="1" t="s">
        <v>333</v>
      </c>
      <c r="EX5" s="1" t="s">
        <v>331</v>
      </c>
      <c r="EY5" s="1" t="s">
        <v>333</v>
      </c>
      <c r="EZ5" s="1" t="s">
        <v>332</v>
      </c>
      <c r="FA5" s="1" t="s">
        <v>333</v>
      </c>
      <c r="FB5" s="1" t="s">
        <v>333</v>
      </c>
      <c r="FC5" s="1" t="s">
        <v>331</v>
      </c>
      <c r="FD5" s="1" t="s">
        <v>330</v>
      </c>
      <c r="FE5" s="1" t="s">
        <v>333</v>
      </c>
      <c r="FF5" s="1" t="s">
        <v>331</v>
      </c>
      <c r="FG5" s="1" t="s">
        <v>333</v>
      </c>
      <c r="FH5" s="1" t="s">
        <v>331</v>
      </c>
      <c r="FI5" s="1" t="s">
        <v>333</v>
      </c>
      <c r="FJ5" s="1" t="s">
        <v>332</v>
      </c>
      <c r="FK5" s="1" t="s">
        <v>330</v>
      </c>
      <c r="FL5" s="1" t="s">
        <v>332</v>
      </c>
      <c r="FM5" s="1" t="s">
        <v>330</v>
      </c>
      <c r="FN5" s="1" t="s">
        <v>331</v>
      </c>
      <c r="FO5" s="1" t="s">
        <v>331</v>
      </c>
      <c r="FP5" s="1" t="s">
        <v>332</v>
      </c>
      <c r="FQ5" s="1" t="s">
        <v>330</v>
      </c>
      <c r="FR5" s="1" t="s">
        <v>332</v>
      </c>
      <c r="FS5" s="1" t="s">
        <v>333</v>
      </c>
      <c r="FT5" s="1" t="s">
        <v>331</v>
      </c>
      <c r="FU5" s="1" t="s">
        <v>332</v>
      </c>
      <c r="FV5" s="1" t="s">
        <v>333</v>
      </c>
      <c r="FW5" s="1" t="s">
        <v>333</v>
      </c>
      <c r="FX5" s="1" t="s">
        <v>333</v>
      </c>
      <c r="FY5" s="1" t="s">
        <v>332</v>
      </c>
      <c r="FZ5" s="1" t="s">
        <v>331</v>
      </c>
      <c r="GA5" s="1" t="s">
        <v>333</v>
      </c>
      <c r="GB5" s="1" t="s">
        <v>332</v>
      </c>
      <c r="GC5" s="1" t="s">
        <v>330</v>
      </c>
      <c r="GD5" s="1" t="s">
        <v>331</v>
      </c>
      <c r="GE5" s="1" t="s">
        <v>331</v>
      </c>
      <c r="GF5" s="1" t="s">
        <v>333</v>
      </c>
      <c r="GG5" s="1" t="s">
        <v>330</v>
      </c>
      <c r="GH5" s="1" t="s">
        <v>332</v>
      </c>
      <c r="GI5" s="1" t="s">
        <v>331</v>
      </c>
      <c r="GJ5" s="1" t="s">
        <v>330</v>
      </c>
      <c r="GK5" s="1" t="s">
        <v>331</v>
      </c>
      <c r="GL5" s="1" t="s">
        <v>333</v>
      </c>
      <c r="GM5" s="1" t="s">
        <v>331</v>
      </c>
      <c r="GN5" s="1" t="s">
        <v>331</v>
      </c>
      <c r="GO5" s="1" t="s">
        <v>333</v>
      </c>
      <c r="GP5" s="1" t="s">
        <v>331</v>
      </c>
      <c r="GQ5" s="1" t="s">
        <v>331</v>
      </c>
      <c r="GR5" s="1" t="s">
        <v>330</v>
      </c>
      <c r="GS5" s="1" t="s">
        <v>330</v>
      </c>
      <c r="GT5" s="1" t="s">
        <v>330</v>
      </c>
      <c r="GU5" s="1" t="s">
        <v>332</v>
      </c>
      <c r="GV5" s="1" t="s">
        <v>333</v>
      </c>
      <c r="GW5" s="1" t="s">
        <v>331</v>
      </c>
      <c r="GX5" s="1" t="s">
        <v>333</v>
      </c>
      <c r="GY5" s="1" t="s">
        <v>331</v>
      </c>
      <c r="GZ5" s="1" t="s">
        <v>333</v>
      </c>
      <c r="HA5" s="1" t="s">
        <v>330</v>
      </c>
      <c r="HB5" s="1" t="s">
        <v>331</v>
      </c>
      <c r="HC5" s="1" t="s">
        <v>333</v>
      </c>
      <c r="HD5" s="1" t="s">
        <v>331</v>
      </c>
      <c r="HE5" s="1" t="s">
        <v>333</v>
      </c>
      <c r="HF5" s="1" t="s">
        <v>333</v>
      </c>
      <c r="HG5" s="1" t="s">
        <v>330</v>
      </c>
      <c r="HH5" s="1" t="s">
        <v>331</v>
      </c>
      <c r="HI5" s="1" t="s">
        <v>333</v>
      </c>
      <c r="HJ5" s="1" t="s">
        <v>331</v>
      </c>
      <c r="HK5" s="1" t="s">
        <v>330</v>
      </c>
      <c r="HL5" s="1" t="s">
        <v>331</v>
      </c>
      <c r="HM5" s="1" t="s">
        <v>333</v>
      </c>
      <c r="HN5" s="1" t="s">
        <v>331</v>
      </c>
      <c r="HO5" s="1" t="s">
        <v>333</v>
      </c>
      <c r="HP5" s="1" t="s">
        <v>333</v>
      </c>
      <c r="HQ5" s="1" t="s">
        <v>332</v>
      </c>
      <c r="HR5" s="1" t="s">
        <v>331</v>
      </c>
      <c r="HS5" s="1" t="s">
        <v>333</v>
      </c>
      <c r="HT5" s="1" t="s">
        <v>331</v>
      </c>
      <c r="HU5" s="1" t="s">
        <v>330</v>
      </c>
      <c r="HV5" s="1" t="s">
        <v>331</v>
      </c>
      <c r="HW5" s="1" t="s">
        <v>333</v>
      </c>
      <c r="HX5" s="1" t="s">
        <v>333</v>
      </c>
      <c r="HY5" s="1" t="s">
        <v>331</v>
      </c>
      <c r="HZ5" s="1" t="s">
        <v>333</v>
      </c>
      <c r="IA5" s="1" t="s">
        <v>331</v>
      </c>
      <c r="IB5" s="1" t="s">
        <v>333</v>
      </c>
      <c r="IC5" s="1" t="s">
        <v>333</v>
      </c>
      <c r="ID5" s="1" t="s">
        <v>332</v>
      </c>
      <c r="IE5" s="1" t="s">
        <v>333</v>
      </c>
      <c r="IF5" s="1" t="s">
        <v>333</v>
      </c>
      <c r="IG5" s="1" t="s">
        <v>330</v>
      </c>
      <c r="IH5" s="1" t="s">
        <v>331</v>
      </c>
      <c r="II5" s="1" t="s">
        <v>331</v>
      </c>
      <c r="IJ5" s="1" t="s">
        <v>332</v>
      </c>
      <c r="IK5" s="1" t="s">
        <v>331</v>
      </c>
      <c r="IL5" s="1" t="s">
        <v>333</v>
      </c>
      <c r="IM5" s="1" t="s">
        <v>333</v>
      </c>
      <c r="IN5" s="1" t="s">
        <v>333</v>
      </c>
      <c r="IO5" s="1" t="s">
        <v>331</v>
      </c>
      <c r="IP5" s="1" t="s">
        <v>332</v>
      </c>
      <c r="IQ5" s="1" t="s">
        <v>332</v>
      </c>
      <c r="IR5" s="1" t="s">
        <v>331</v>
      </c>
    </row>
    <row r="6" spans="1:252" s="1" customFormat="1" x14ac:dyDescent="0.35">
      <c r="A6" s="1" t="s">
        <v>1721</v>
      </c>
      <c r="D6" s="1" t="s">
        <v>1743</v>
      </c>
      <c r="E6" s="1">
        <v>5707</v>
      </c>
      <c r="G6" s="1" t="s">
        <v>322</v>
      </c>
      <c r="H6" s="1" t="s">
        <v>311</v>
      </c>
      <c r="I6" s="1" t="s">
        <v>323</v>
      </c>
      <c r="J6" s="1" t="s">
        <v>1723</v>
      </c>
      <c r="K6" s="1" t="s">
        <v>1724</v>
      </c>
      <c r="M6" s="1">
        <v>1</v>
      </c>
      <c r="N6" s="1">
        <v>1</v>
      </c>
      <c r="O6" s="1">
        <v>1</v>
      </c>
      <c r="P6" s="1">
        <v>0</v>
      </c>
      <c r="Q6" s="1">
        <v>0</v>
      </c>
      <c r="R6" s="1">
        <v>1</v>
      </c>
      <c r="S6" s="1">
        <v>0</v>
      </c>
      <c r="T6" s="1">
        <v>0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0</v>
      </c>
      <c r="AA6" s="1">
        <v>0</v>
      </c>
      <c r="AB6" s="1">
        <v>1</v>
      </c>
      <c r="AC6" s="1">
        <v>0</v>
      </c>
      <c r="AD6" s="1">
        <v>0</v>
      </c>
      <c r="AE6" s="1">
        <v>1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1</v>
      </c>
      <c r="AL6" s="1">
        <v>0</v>
      </c>
      <c r="AM6" s="1">
        <v>0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0</v>
      </c>
      <c r="AX6" s="1">
        <v>0</v>
      </c>
      <c r="AY6" s="1">
        <v>1</v>
      </c>
      <c r="AZ6" s="1">
        <v>1</v>
      </c>
      <c r="BA6" s="1">
        <v>1</v>
      </c>
      <c r="BB6" s="1">
        <v>0</v>
      </c>
      <c r="BC6" s="1">
        <v>1</v>
      </c>
      <c r="BD6" s="1">
        <v>0</v>
      </c>
      <c r="BE6" s="1">
        <v>1</v>
      </c>
      <c r="BF6" s="1">
        <v>0</v>
      </c>
      <c r="BG6" s="1">
        <v>0</v>
      </c>
      <c r="BH6" s="1">
        <v>1</v>
      </c>
      <c r="BI6" s="1">
        <v>1</v>
      </c>
      <c r="BJ6" s="1">
        <v>1</v>
      </c>
      <c r="BK6" s="1">
        <v>0</v>
      </c>
      <c r="BL6" s="1">
        <v>0</v>
      </c>
      <c r="BM6" s="1">
        <v>1</v>
      </c>
      <c r="BN6" s="1">
        <v>0</v>
      </c>
      <c r="BO6" s="1">
        <v>1</v>
      </c>
      <c r="BP6" s="1">
        <v>0</v>
      </c>
      <c r="BQ6" s="1">
        <v>0</v>
      </c>
      <c r="BR6" s="1">
        <v>1</v>
      </c>
      <c r="BS6" s="1">
        <v>0</v>
      </c>
      <c r="BT6" s="1">
        <v>0</v>
      </c>
      <c r="BU6" s="1">
        <v>1</v>
      </c>
      <c r="BV6" s="1">
        <v>0</v>
      </c>
      <c r="BW6" s="1">
        <v>0</v>
      </c>
      <c r="BX6" s="1">
        <v>1</v>
      </c>
      <c r="BY6" s="1">
        <v>0</v>
      </c>
      <c r="BZ6" s="1">
        <v>1</v>
      </c>
      <c r="CA6" s="1">
        <v>0</v>
      </c>
      <c r="CB6" s="1">
        <v>0</v>
      </c>
      <c r="CC6" s="1">
        <v>0</v>
      </c>
      <c r="CD6" s="1">
        <v>1</v>
      </c>
      <c r="CE6" s="1">
        <v>0</v>
      </c>
      <c r="CF6" s="1">
        <v>0</v>
      </c>
      <c r="CG6" s="1">
        <v>0</v>
      </c>
      <c r="CH6" s="1">
        <v>1</v>
      </c>
      <c r="CI6" s="1">
        <v>0</v>
      </c>
      <c r="CJ6" s="1">
        <v>1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1</v>
      </c>
      <c r="CQ6" s="1">
        <v>0</v>
      </c>
      <c r="CR6" s="1">
        <v>0</v>
      </c>
      <c r="CS6" s="1">
        <v>1</v>
      </c>
      <c r="CT6" s="1">
        <v>0</v>
      </c>
      <c r="CU6" s="1">
        <v>0</v>
      </c>
      <c r="CV6" s="1">
        <v>1</v>
      </c>
      <c r="CW6" s="1">
        <v>0</v>
      </c>
      <c r="CX6" s="1">
        <v>0</v>
      </c>
      <c r="CY6" s="1">
        <v>1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1</v>
      </c>
      <c r="DG6" s="1">
        <v>1</v>
      </c>
      <c r="DH6" s="1">
        <v>0</v>
      </c>
      <c r="DI6" s="1">
        <v>1</v>
      </c>
      <c r="DJ6" s="1">
        <v>0</v>
      </c>
      <c r="DK6" s="1">
        <v>0</v>
      </c>
      <c r="DL6" s="1">
        <v>1</v>
      </c>
      <c r="DM6" s="1">
        <v>0</v>
      </c>
      <c r="DN6" s="1">
        <v>0</v>
      </c>
      <c r="DO6" s="1">
        <v>0</v>
      </c>
      <c r="DP6" s="1">
        <v>1</v>
      </c>
      <c r="DQ6" s="1">
        <v>1</v>
      </c>
      <c r="DR6" s="1">
        <v>0</v>
      </c>
      <c r="DS6" s="1">
        <v>1</v>
      </c>
      <c r="DT6" s="1">
        <v>1</v>
      </c>
      <c r="DU6" s="1">
        <v>0</v>
      </c>
      <c r="DV6" s="1">
        <v>0</v>
      </c>
      <c r="DW6" s="1">
        <v>0</v>
      </c>
      <c r="DX6" s="1">
        <v>1</v>
      </c>
      <c r="DY6" s="1">
        <v>0</v>
      </c>
      <c r="DZ6" s="1">
        <v>0</v>
      </c>
      <c r="EA6" s="1">
        <v>0</v>
      </c>
      <c r="EB6" s="1">
        <v>0</v>
      </c>
      <c r="EC6" s="1" t="s">
        <v>331</v>
      </c>
      <c r="ED6" s="1" t="s">
        <v>333</v>
      </c>
      <c r="EE6" s="1" t="s">
        <v>333</v>
      </c>
      <c r="EF6" s="1" t="s">
        <v>332</v>
      </c>
      <c r="EG6" s="1" t="s">
        <v>333</v>
      </c>
      <c r="EH6" s="1" t="s">
        <v>333</v>
      </c>
      <c r="EI6" s="1" t="s">
        <v>330</v>
      </c>
      <c r="EJ6" s="1" t="s">
        <v>333</v>
      </c>
      <c r="EK6" s="1" t="s">
        <v>333</v>
      </c>
      <c r="EL6" s="1" t="s">
        <v>331</v>
      </c>
      <c r="EM6" s="1" t="s">
        <v>331</v>
      </c>
      <c r="EN6" s="1" t="s">
        <v>331</v>
      </c>
      <c r="EO6" s="1" t="s">
        <v>332</v>
      </c>
      <c r="EP6" s="1" t="s">
        <v>331</v>
      </c>
      <c r="EQ6" s="1" t="s">
        <v>331</v>
      </c>
      <c r="ER6" s="1" t="s">
        <v>331</v>
      </c>
      <c r="ES6" s="1" t="s">
        <v>330</v>
      </c>
      <c r="ET6" s="1" t="s">
        <v>332</v>
      </c>
      <c r="EU6" s="1" t="s">
        <v>332</v>
      </c>
      <c r="EV6" s="1" t="s">
        <v>330</v>
      </c>
      <c r="EW6" s="1" t="s">
        <v>332</v>
      </c>
      <c r="EX6" s="1" t="s">
        <v>333</v>
      </c>
      <c r="EY6" s="1" t="s">
        <v>333</v>
      </c>
      <c r="EZ6" s="1" t="s">
        <v>332</v>
      </c>
      <c r="FA6" s="1" t="s">
        <v>331</v>
      </c>
      <c r="FB6" s="1" t="s">
        <v>332</v>
      </c>
      <c r="FC6" s="1" t="s">
        <v>331</v>
      </c>
      <c r="FD6" s="1" t="s">
        <v>331</v>
      </c>
      <c r="FE6" s="1" t="s">
        <v>331</v>
      </c>
      <c r="FF6" s="1" t="s">
        <v>331</v>
      </c>
      <c r="FG6" s="1" t="s">
        <v>331</v>
      </c>
      <c r="FH6" s="1" t="s">
        <v>332</v>
      </c>
      <c r="FI6" s="1" t="s">
        <v>331</v>
      </c>
      <c r="FJ6" s="1" t="s">
        <v>332</v>
      </c>
      <c r="FK6" s="1" t="s">
        <v>330</v>
      </c>
      <c r="FL6" s="1" t="s">
        <v>332</v>
      </c>
      <c r="FM6" s="1" t="s">
        <v>332</v>
      </c>
      <c r="FN6" s="1" t="s">
        <v>331</v>
      </c>
      <c r="FO6" s="1" t="s">
        <v>331</v>
      </c>
      <c r="FP6" s="1" t="s">
        <v>331</v>
      </c>
      <c r="FQ6" s="1" t="s">
        <v>332</v>
      </c>
      <c r="FR6" s="1" t="s">
        <v>330</v>
      </c>
      <c r="FS6" s="1" t="s">
        <v>332</v>
      </c>
      <c r="FT6" s="1" t="s">
        <v>332</v>
      </c>
      <c r="FU6" s="1" t="s">
        <v>332</v>
      </c>
      <c r="FV6" s="1" t="s">
        <v>330</v>
      </c>
      <c r="FW6" s="1" t="s">
        <v>330</v>
      </c>
      <c r="FX6" s="1" t="s">
        <v>333</v>
      </c>
      <c r="FY6" s="1" t="s">
        <v>332</v>
      </c>
      <c r="FZ6" s="1" t="s">
        <v>331</v>
      </c>
      <c r="GA6" s="1" t="s">
        <v>331</v>
      </c>
      <c r="GB6" s="1" t="s">
        <v>332</v>
      </c>
      <c r="GC6" s="1" t="s">
        <v>332</v>
      </c>
      <c r="GD6" s="1" t="s">
        <v>331</v>
      </c>
      <c r="GE6" s="1" t="s">
        <v>331</v>
      </c>
      <c r="GF6" s="1" t="s">
        <v>332</v>
      </c>
      <c r="GG6" s="1" t="s">
        <v>330</v>
      </c>
      <c r="GH6" s="1" t="s">
        <v>330</v>
      </c>
      <c r="GI6" s="1" t="s">
        <v>331</v>
      </c>
      <c r="GJ6" s="1" t="s">
        <v>333</v>
      </c>
      <c r="GK6" s="1" t="s">
        <v>332</v>
      </c>
      <c r="GL6" s="1" t="s">
        <v>331</v>
      </c>
      <c r="GM6" s="1" t="s">
        <v>331</v>
      </c>
      <c r="GN6" s="1" t="s">
        <v>331</v>
      </c>
      <c r="GO6" s="1" t="s">
        <v>333</v>
      </c>
      <c r="GP6" s="1" t="s">
        <v>331</v>
      </c>
      <c r="GQ6" s="1" t="s">
        <v>331</v>
      </c>
      <c r="GR6" s="1" t="s">
        <v>331</v>
      </c>
      <c r="GS6" s="1" t="s">
        <v>333</v>
      </c>
      <c r="GT6" s="1" t="s">
        <v>331</v>
      </c>
      <c r="GU6" s="1" t="s">
        <v>331</v>
      </c>
      <c r="GV6" s="1" t="s">
        <v>333</v>
      </c>
      <c r="GW6" s="1" t="s">
        <v>333</v>
      </c>
      <c r="GX6" s="1" t="s">
        <v>333</v>
      </c>
      <c r="GY6" s="1" t="s">
        <v>331</v>
      </c>
      <c r="GZ6" s="1" t="s">
        <v>331</v>
      </c>
      <c r="HA6" s="1" t="s">
        <v>332</v>
      </c>
      <c r="HB6" s="1" t="s">
        <v>333</v>
      </c>
      <c r="HC6" s="1" t="s">
        <v>330</v>
      </c>
      <c r="HD6" s="1" t="s">
        <v>331</v>
      </c>
      <c r="HE6" s="1" t="s">
        <v>331</v>
      </c>
      <c r="HF6" s="1" t="s">
        <v>331</v>
      </c>
      <c r="HG6" s="1" t="s">
        <v>332</v>
      </c>
      <c r="HH6" s="1" t="s">
        <v>332</v>
      </c>
      <c r="HI6" s="1" t="s">
        <v>333</v>
      </c>
      <c r="HJ6" s="1" t="s">
        <v>333</v>
      </c>
      <c r="HK6" s="1" t="s">
        <v>331</v>
      </c>
      <c r="HL6" s="1" t="s">
        <v>333</v>
      </c>
      <c r="HM6" s="1" t="s">
        <v>331</v>
      </c>
      <c r="HN6" s="1" t="s">
        <v>333</v>
      </c>
      <c r="HO6" s="1" t="s">
        <v>333</v>
      </c>
      <c r="HP6" s="1" t="s">
        <v>331</v>
      </c>
      <c r="HQ6" s="1" t="s">
        <v>332</v>
      </c>
      <c r="HR6" s="1" t="s">
        <v>333</v>
      </c>
      <c r="HS6" s="1" t="s">
        <v>330</v>
      </c>
      <c r="HT6" s="1" t="s">
        <v>333</v>
      </c>
      <c r="HU6" s="1" t="s">
        <v>331</v>
      </c>
      <c r="HV6" s="1" t="s">
        <v>330</v>
      </c>
      <c r="HW6" s="1" t="s">
        <v>330</v>
      </c>
      <c r="HX6" s="1" t="s">
        <v>331</v>
      </c>
      <c r="HY6" s="1" t="s">
        <v>331</v>
      </c>
      <c r="HZ6" s="1" t="s">
        <v>330</v>
      </c>
      <c r="IA6" s="1" t="s">
        <v>332</v>
      </c>
      <c r="IB6" s="1" t="s">
        <v>333</v>
      </c>
      <c r="IC6" s="1" t="s">
        <v>332</v>
      </c>
      <c r="ID6" s="1" t="s">
        <v>333</v>
      </c>
      <c r="IE6" s="1" t="s">
        <v>331</v>
      </c>
      <c r="IF6" s="1" t="s">
        <v>333</v>
      </c>
      <c r="IG6" s="1" t="s">
        <v>331</v>
      </c>
      <c r="IH6" s="1" t="s">
        <v>332</v>
      </c>
      <c r="II6" s="1" t="s">
        <v>331</v>
      </c>
      <c r="IJ6" s="1" t="s">
        <v>330</v>
      </c>
      <c r="IK6" s="1" t="s">
        <v>330</v>
      </c>
      <c r="IL6" s="1" t="s">
        <v>331</v>
      </c>
      <c r="IM6" s="1" t="s">
        <v>333</v>
      </c>
      <c r="IN6" s="1" t="s">
        <v>333</v>
      </c>
      <c r="IO6" s="1" t="s">
        <v>333</v>
      </c>
      <c r="IP6" s="1" t="s">
        <v>333</v>
      </c>
      <c r="IQ6" s="1" t="s">
        <v>333</v>
      </c>
      <c r="IR6" s="1" t="s">
        <v>332</v>
      </c>
    </row>
    <row r="7" spans="1:252" s="1" customFormat="1" x14ac:dyDescent="0.35">
      <c r="A7" s="1" t="s">
        <v>1721</v>
      </c>
      <c r="D7" s="1" t="s">
        <v>1744</v>
      </c>
      <c r="E7" s="1">
        <v>5708</v>
      </c>
      <c r="G7" s="1" t="s">
        <v>1691</v>
      </c>
      <c r="H7" s="1" t="s">
        <v>311</v>
      </c>
      <c r="I7" s="1" t="s">
        <v>328</v>
      </c>
      <c r="J7" s="1" t="s">
        <v>1723</v>
      </c>
      <c r="K7" s="1" t="s">
        <v>1724</v>
      </c>
      <c r="M7" s="1">
        <v>1</v>
      </c>
      <c r="N7" s="1">
        <v>1</v>
      </c>
      <c r="O7" s="1">
        <v>0</v>
      </c>
      <c r="P7" s="1">
        <v>0</v>
      </c>
      <c r="Q7" s="1">
        <v>0</v>
      </c>
      <c r="R7" s="1">
        <v>1</v>
      </c>
      <c r="S7" s="1">
        <v>0</v>
      </c>
      <c r="T7" s="1">
        <v>0</v>
      </c>
      <c r="U7" s="1">
        <v>1</v>
      </c>
      <c r="V7" s="1">
        <v>0</v>
      </c>
      <c r="W7" s="1">
        <v>0</v>
      </c>
      <c r="X7" s="1">
        <v>1</v>
      </c>
      <c r="Y7" s="1">
        <v>0</v>
      </c>
      <c r="Z7" s="1">
        <v>0</v>
      </c>
      <c r="AA7" s="1">
        <v>1</v>
      </c>
      <c r="AB7" s="1">
        <v>0</v>
      </c>
      <c r="AC7" s="1">
        <v>0</v>
      </c>
      <c r="AD7" s="1">
        <v>0</v>
      </c>
      <c r="AE7" s="1">
        <v>1</v>
      </c>
      <c r="AF7" s="1">
        <v>0</v>
      </c>
      <c r="AG7" s="1">
        <v>1</v>
      </c>
      <c r="AH7" s="1">
        <v>0</v>
      </c>
      <c r="AI7" s="1">
        <v>1</v>
      </c>
      <c r="AJ7" s="1">
        <v>0</v>
      </c>
      <c r="AK7" s="1">
        <v>0</v>
      </c>
      <c r="AL7" s="1">
        <v>0</v>
      </c>
      <c r="AM7" s="1">
        <v>0</v>
      </c>
      <c r="AN7" s="1">
        <v>1</v>
      </c>
      <c r="AO7" s="1">
        <v>1</v>
      </c>
      <c r="AP7" s="1">
        <v>1</v>
      </c>
      <c r="AQ7" s="1">
        <v>0</v>
      </c>
      <c r="AR7" s="1">
        <v>1</v>
      </c>
      <c r="AS7" s="1">
        <v>0</v>
      </c>
      <c r="AT7" s="1">
        <v>0</v>
      </c>
      <c r="AU7" s="1">
        <v>0</v>
      </c>
      <c r="AV7" s="1">
        <v>0</v>
      </c>
      <c r="AW7" s="1">
        <v>1</v>
      </c>
      <c r="AX7" s="1">
        <v>0</v>
      </c>
      <c r="AY7" s="1">
        <v>1</v>
      </c>
      <c r="AZ7" s="1">
        <v>1</v>
      </c>
      <c r="BA7" s="1">
        <v>0</v>
      </c>
      <c r="BB7" s="1">
        <v>0</v>
      </c>
      <c r="BC7" s="1">
        <v>0</v>
      </c>
      <c r="BD7" s="1">
        <v>1</v>
      </c>
      <c r="BE7" s="1">
        <v>1</v>
      </c>
      <c r="BF7" s="1">
        <v>0</v>
      </c>
      <c r="BG7" s="1">
        <v>0</v>
      </c>
      <c r="BH7" s="1">
        <v>1</v>
      </c>
      <c r="BI7" s="1">
        <v>1</v>
      </c>
      <c r="BJ7" s="1">
        <v>0</v>
      </c>
      <c r="BK7" s="1">
        <v>0</v>
      </c>
      <c r="BL7" s="1">
        <v>1</v>
      </c>
      <c r="BM7" s="1">
        <v>1</v>
      </c>
      <c r="BN7" s="1">
        <v>0</v>
      </c>
      <c r="BO7" s="1">
        <v>1</v>
      </c>
      <c r="BP7" s="1">
        <v>1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1</v>
      </c>
      <c r="BZ7" s="1">
        <v>0</v>
      </c>
      <c r="CA7" s="1">
        <v>0</v>
      </c>
      <c r="CB7" s="1">
        <v>1</v>
      </c>
      <c r="CC7" s="1">
        <v>0</v>
      </c>
      <c r="CD7" s="1">
        <v>0</v>
      </c>
      <c r="CE7" s="1">
        <v>1</v>
      </c>
      <c r="CF7" s="1">
        <v>1</v>
      </c>
      <c r="CG7" s="1">
        <v>0</v>
      </c>
      <c r="CH7" s="1">
        <v>0</v>
      </c>
      <c r="CI7" s="1">
        <v>1</v>
      </c>
      <c r="CJ7" s="1">
        <v>1</v>
      </c>
      <c r="CK7" s="1">
        <v>1</v>
      </c>
      <c r="CL7" s="1">
        <v>1</v>
      </c>
      <c r="CM7" s="1">
        <v>0</v>
      </c>
      <c r="CN7" s="1">
        <v>0</v>
      </c>
      <c r="CO7" s="1">
        <v>1</v>
      </c>
      <c r="CP7" s="1">
        <v>0</v>
      </c>
      <c r="CQ7" s="1">
        <v>1</v>
      </c>
      <c r="CR7" s="1">
        <v>1</v>
      </c>
      <c r="CS7" s="1">
        <v>0</v>
      </c>
      <c r="CT7" s="1">
        <v>1</v>
      </c>
      <c r="CU7" s="1">
        <v>0</v>
      </c>
      <c r="CV7" s="1">
        <v>0</v>
      </c>
      <c r="CW7" s="1">
        <v>0</v>
      </c>
      <c r="CX7" s="1">
        <v>0</v>
      </c>
      <c r="CY7" s="1">
        <v>1</v>
      </c>
      <c r="CZ7" s="1">
        <v>1</v>
      </c>
      <c r="DA7" s="1">
        <v>0</v>
      </c>
      <c r="DB7" s="1">
        <v>1</v>
      </c>
      <c r="DC7" s="1">
        <v>0</v>
      </c>
      <c r="DD7" s="1">
        <v>0</v>
      </c>
      <c r="DE7" s="1">
        <v>0</v>
      </c>
      <c r="DF7" s="1">
        <v>1</v>
      </c>
      <c r="DG7" s="1">
        <v>0</v>
      </c>
      <c r="DH7" s="1">
        <v>0</v>
      </c>
      <c r="DI7" s="1">
        <v>1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1</v>
      </c>
      <c r="DQ7" s="1">
        <v>1</v>
      </c>
      <c r="DR7" s="1">
        <v>0</v>
      </c>
      <c r="DS7" s="1">
        <v>0</v>
      </c>
      <c r="DT7" s="1">
        <v>1</v>
      </c>
      <c r="DU7" s="1">
        <v>0</v>
      </c>
      <c r="DV7" s="1">
        <v>1</v>
      </c>
      <c r="DW7" s="1">
        <v>0</v>
      </c>
      <c r="DX7" s="1">
        <v>1</v>
      </c>
      <c r="DY7" s="1">
        <v>0</v>
      </c>
      <c r="DZ7" s="1">
        <v>1</v>
      </c>
      <c r="EA7" s="1">
        <v>0</v>
      </c>
      <c r="EB7" s="1">
        <v>1</v>
      </c>
      <c r="EC7" s="1" t="s">
        <v>331</v>
      </c>
      <c r="ED7" s="1" t="s">
        <v>333</v>
      </c>
      <c r="EE7" s="1" t="s">
        <v>331</v>
      </c>
      <c r="EF7" s="1" t="s">
        <v>330</v>
      </c>
      <c r="EG7" s="1" t="s">
        <v>330</v>
      </c>
      <c r="EH7" s="1" t="s">
        <v>333</v>
      </c>
      <c r="EI7" s="1" t="s">
        <v>331</v>
      </c>
      <c r="EJ7" s="1" t="s">
        <v>332</v>
      </c>
      <c r="EK7" s="1" t="s">
        <v>333</v>
      </c>
      <c r="EL7" s="1" t="s">
        <v>330</v>
      </c>
      <c r="EM7" s="1" t="s">
        <v>333</v>
      </c>
      <c r="EN7" s="1" t="s">
        <v>331</v>
      </c>
      <c r="EO7" s="1" t="s">
        <v>330</v>
      </c>
      <c r="EP7" s="1" t="s">
        <v>331</v>
      </c>
      <c r="EQ7" s="1" t="s">
        <v>333</v>
      </c>
      <c r="ER7" s="1" t="s">
        <v>330</v>
      </c>
      <c r="ES7" s="1" t="s">
        <v>330</v>
      </c>
      <c r="ET7" s="1" t="s">
        <v>332</v>
      </c>
      <c r="EU7" s="1" t="s">
        <v>332</v>
      </c>
      <c r="EV7" s="1" t="s">
        <v>330</v>
      </c>
      <c r="EW7" s="1" t="s">
        <v>333</v>
      </c>
      <c r="EX7" s="1" t="s">
        <v>333</v>
      </c>
      <c r="EY7" s="1" t="s">
        <v>332</v>
      </c>
      <c r="EZ7" s="1" t="s">
        <v>332</v>
      </c>
      <c r="FA7" s="1" t="s">
        <v>330</v>
      </c>
      <c r="FB7" s="1" t="s">
        <v>332</v>
      </c>
      <c r="FC7" s="1" t="s">
        <v>330</v>
      </c>
      <c r="FD7" s="1" t="s">
        <v>331</v>
      </c>
      <c r="FE7" s="1" t="s">
        <v>331</v>
      </c>
      <c r="FF7" s="1" t="s">
        <v>331</v>
      </c>
      <c r="FG7" s="1" t="s">
        <v>333</v>
      </c>
      <c r="FH7" s="1" t="s">
        <v>332</v>
      </c>
      <c r="FI7" s="1" t="s">
        <v>333</v>
      </c>
      <c r="FJ7" s="1" t="s">
        <v>333</v>
      </c>
      <c r="FK7" s="1" t="s">
        <v>331</v>
      </c>
      <c r="FL7" s="1" t="s">
        <v>331</v>
      </c>
      <c r="FM7" s="1" t="s">
        <v>330</v>
      </c>
      <c r="FN7" s="1" t="s">
        <v>333</v>
      </c>
      <c r="FO7" s="1" t="s">
        <v>331</v>
      </c>
      <c r="FP7" s="1" t="s">
        <v>331</v>
      </c>
      <c r="FQ7" s="1" t="s">
        <v>330</v>
      </c>
      <c r="FR7" s="1" t="s">
        <v>333</v>
      </c>
      <c r="FS7" s="1" t="s">
        <v>330</v>
      </c>
      <c r="FT7" s="1" t="s">
        <v>333</v>
      </c>
      <c r="FU7" s="1" t="s">
        <v>332</v>
      </c>
      <c r="FV7" s="1" t="s">
        <v>330</v>
      </c>
      <c r="FW7" s="1" t="s">
        <v>330</v>
      </c>
      <c r="FX7" s="1" t="s">
        <v>333</v>
      </c>
      <c r="FY7" s="1" t="s">
        <v>332</v>
      </c>
      <c r="FZ7" s="1" t="s">
        <v>333</v>
      </c>
      <c r="GA7" s="1" t="s">
        <v>330</v>
      </c>
      <c r="GB7" s="1" t="s">
        <v>331</v>
      </c>
      <c r="GC7" s="1" t="s">
        <v>332</v>
      </c>
      <c r="GD7" s="1" t="s">
        <v>331</v>
      </c>
      <c r="GE7" s="1" t="s">
        <v>331</v>
      </c>
      <c r="GF7" s="1" t="s">
        <v>333</v>
      </c>
      <c r="GG7" s="1" t="s">
        <v>332</v>
      </c>
      <c r="GH7" s="1" t="s">
        <v>332</v>
      </c>
      <c r="GI7" s="1" t="s">
        <v>333</v>
      </c>
      <c r="GJ7" s="1" t="s">
        <v>330</v>
      </c>
      <c r="GK7" s="1" t="s">
        <v>330</v>
      </c>
      <c r="GL7" s="1" t="s">
        <v>331</v>
      </c>
      <c r="GM7" s="1" t="s">
        <v>330</v>
      </c>
      <c r="GN7" s="1" t="s">
        <v>333</v>
      </c>
      <c r="GO7" s="1" t="s">
        <v>332</v>
      </c>
      <c r="GP7" s="1" t="s">
        <v>330</v>
      </c>
      <c r="GQ7" s="1" t="s">
        <v>331</v>
      </c>
      <c r="GR7" s="1" t="s">
        <v>330</v>
      </c>
      <c r="GS7" s="1" t="s">
        <v>331</v>
      </c>
      <c r="GT7" s="1" t="s">
        <v>333</v>
      </c>
      <c r="GU7" s="1" t="s">
        <v>332</v>
      </c>
      <c r="GV7" s="1" t="s">
        <v>330</v>
      </c>
      <c r="GW7" s="1" t="s">
        <v>332</v>
      </c>
      <c r="GX7" s="1" t="s">
        <v>330</v>
      </c>
      <c r="GY7" s="1" t="s">
        <v>333</v>
      </c>
      <c r="GZ7" s="1" t="s">
        <v>331</v>
      </c>
      <c r="HA7" s="1" t="s">
        <v>330</v>
      </c>
      <c r="HB7" s="1" t="s">
        <v>332</v>
      </c>
      <c r="HC7" s="1" t="s">
        <v>330</v>
      </c>
      <c r="HD7" s="1" t="s">
        <v>331</v>
      </c>
      <c r="HE7" s="1" t="s">
        <v>330</v>
      </c>
      <c r="HF7" s="1" t="s">
        <v>333</v>
      </c>
      <c r="HG7" s="1" t="s">
        <v>331</v>
      </c>
      <c r="HH7" s="1" t="s">
        <v>333</v>
      </c>
      <c r="HI7" s="1" t="s">
        <v>332</v>
      </c>
      <c r="HJ7" s="1" t="s">
        <v>331</v>
      </c>
      <c r="HK7" s="1" t="s">
        <v>330</v>
      </c>
      <c r="HL7" s="1" t="s">
        <v>331</v>
      </c>
      <c r="HM7" s="1" t="s">
        <v>333</v>
      </c>
      <c r="HN7" s="1" t="s">
        <v>332</v>
      </c>
      <c r="HO7" s="1" t="s">
        <v>333</v>
      </c>
      <c r="HP7" s="1" t="s">
        <v>333</v>
      </c>
      <c r="HQ7" s="1" t="s">
        <v>330</v>
      </c>
      <c r="HR7" s="1" t="s">
        <v>330</v>
      </c>
      <c r="HS7" s="1" t="s">
        <v>333</v>
      </c>
      <c r="HT7" s="1" t="s">
        <v>331</v>
      </c>
      <c r="HU7" s="1" t="s">
        <v>331</v>
      </c>
      <c r="HV7" s="1" t="s">
        <v>330</v>
      </c>
      <c r="HW7" s="1" t="s">
        <v>332</v>
      </c>
      <c r="HX7" s="1" t="s">
        <v>331</v>
      </c>
      <c r="HY7" s="1" t="s">
        <v>331</v>
      </c>
      <c r="HZ7" s="1" t="s">
        <v>330</v>
      </c>
      <c r="IA7" s="1" t="s">
        <v>333</v>
      </c>
      <c r="IB7" s="1" t="s">
        <v>331</v>
      </c>
      <c r="IC7" s="1" t="s">
        <v>332</v>
      </c>
      <c r="ID7" s="1" t="s">
        <v>333</v>
      </c>
      <c r="IE7" s="1" t="s">
        <v>332</v>
      </c>
      <c r="IF7" s="1" t="s">
        <v>333</v>
      </c>
      <c r="IG7" s="1" t="s">
        <v>331</v>
      </c>
      <c r="IH7" s="1" t="s">
        <v>331</v>
      </c>
      <c r="II7" s="1" t="s">
        <v>330</v>
      </c>
      <c r="IJ7" s="1" t="s">
        <v>330</v>
      </c>
      <c r="IK7" s="1" t="s">
        <v>331</v>
      </c>
      <c r="IL7" s="1" t="s">
        <v>333</v>
      </c>
      <c r="IM7" s="1" t="s">
        <v>333</v>
      </c>
      <c r="IN7" s="1" t="s">
        <v>333</v>
      </c>
      <c r="IO7" s="1" t="s">
        <v>330</v>
      </c>
      <c r="IP7" s="1" t="s">
        <v>331</v>
      </c>
      <c r="IQ7" s="1" t="s">
        <v>330</v>
      </c>
      <c r="IR7" s="1" t="s">
        <v>331</v>
      </c>
    </row>
    <row r="8" spans="1:252" s="1" customFormat="1" x14ac:dyDescent="0.35">
      <c r="A8" s="1" t="s">
        <v>1721</v>
      </c>
      <c r="D8" s="1" t="s">
        <v>1745</v>
      </c>
      <c r="E8" s="1">
        <v>5709</v>
      </c>
      <c r="G8" s="1" t="s">
        <v>318</v>
      </c>
      <c r="H8" s="1" t="s">
        <v>311</v>
      </c>
      <c r="I8" s="1" t="s">
        <v>319</v>
      </c>
      <c r="J8" s="1" t="s">
        <v>1723</v>
      </c>
      <c r="K8" s="1" t="s">
        <v>1724</v>
      </c>
      <c r="M8" s="1">
        <v>1</v>
      </c>
      <c r="N8" s="1">
        <v>1</v>
      </c>
      <c r="O8" s="1">
        <v>0</v>
      </c>
      <c r="P8" s="1">
        <v>1</v>
      </c>
      <c r="Q8" s="1">
        <v>0</v>
      </c>
      <c r="R8" s="1">
        <v>0</v>
      </c>
      <c r="S8" s="1">
        <v>0</v>
      </c>
      <c r="T8" s="1">
        <v>0</v>
      </c>
      <c r="U8" s="1">
        <v>1</v>
      </c>
      <c r="V8" s="1">
        <v>0</v>
      </c>
      <c r="W8" s="1">
        <v>1</v>
      </c>
      <c r="X8" s="1">
        <v>1</v>
      </c>
      <c r="Y8" s="1">
        <v>1</v>
      </c>
      <c r="Z8" s="1">
        <v>0</v>
      </c>
      <c r="AA8" s="1">
        <v>1</v>
      </c>
      <c r="AB8" s="1">
        <v>1</v>
      </c>
      <c r="AC8" s="1">
        <v>0</v>
      </c>
      <c r="AD8" s="1">
        <v>1</v>
      </c>
      <c r="AE8" s="1">
        <v>1</v>
      </c>
      <c r="AF8" s="1">
        <v>1</v>
      </c>
      <c r="AG8" s="1">
        <v>0</v>
      </c>
      <c r="AH8" s="1">
        <v>0</v>
      </c>
      <c r="AI8" s="1">
        <v>0</v>
      </c>
      <c r="AJ8" s="1">
        <v>1</v>
      </c>
      <c r="AK8" s="1">
        <v>0</v>
      </c>
      <c r="AL8" s="1">
        <v>0</v>
      </c>
      <c r="AM8" s="1">
        <v>0</v>
      </c>
      <c r="AN8" s="1">
        <v>1</v>
      </c>
      <c r="AO8" s="1">
        <v>1</v>
      </c>
      <c r="AP8" s="1">
        <v>1</v>
      </c>
      <c r="AQ8" s="1">
        <v>1</v>
      </c>
      <c r="AR8" s="1">
        <v>0</v>
      </c>
      <c r="AS8" s="1">
        <v>0</v>
      </c>
      <c r="AT8" s="1">
        <v>1</v>
      </c>
      <c r="AU8" s="1">
        <v>1</v>
      </c>
      <c r="AV8" s="1">
        <v>1</v>
      </c>
      <c r="AW8" s="1">
        <v>1</v>
      </c>
      <c r="AX8" s="1">
        <v>0</v>
      </c>
      <c r="AY8" s="1">
        <v>0</v>
      </c>
      <c r="AZ8" s="1">
        <v>1</v>
      </c>
      <c r="BA8" s="1">
        <v>1</v>
      </c>
      <c r="BB8" s="1">
        <v>1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1</v>
      </c>
      <c r="BI8" s="1">
        <v>1</v>
      </c>
      <c r="BJ8" s="1">
        <v>1</v>
      </c>
      <c r="BK8" s="1">
        <v>0</v>
      </c>
      <c r="BL8" s="1">
        <v>1</v>
      </c>
      <c r="BM8" s="1">
        <v>1</v>
      </c>
      <c r="BN8" s="1">
        <v>0</v>
      </c>
      <c r="BO8" s="1">
        <v>1</v>
      </c>
      <c r="BP8" s="1">
        <v>0</v>
      </c>
      <c r="BQ8" s="1">
        <v>0</v>
      </c>
      <c r="BR8" s="1">
        <v>0</v>
      </c>
      <c r="BS8" s="1">
        <v>1</v>
      </c>
      <c r="BT8" s="1">
        <v>0</v>
      </c>
      <c r="BU8" s="1">
        <v>1</v>
      </c>
      <c r="BV8" s="1">
        <v>0</v>
      </c>
      <c r="BW8" s="1">
        <v>0</v>
      </c>
      <c r="BX8" s="1">
        <v>1</v>
      </c>
      <c r="BY8" s="1">
        <v>0</v>
      </c>
      <c r="BZ8" s="1">
        <v>1</v>
      </c>
      <c r="CA8" s="1">
        <v>1</v>
      </c>
      <c r="CB8" s="1">
        <v>0</v>
      </c>
      <c r="CC8" s="1">
        <v>1</v>
      </c>
      <c r="CD8" s="1">
        <v>0</v>
      </c>
      <c r="CE8" s="1">
        <v>1</v>
      </c>
      <c r="CF8" s="1">
        <v>0</v>
      </c>
      <c r="CG8" s="1">
        <v>1</v>
      </c>
      <c r="CH8" s="1">
        <v>1</v>
      </c>
      <c r="CI8" s="1">
        <v>0</v>
      </c>
      <c r="CJ8" s="1">
        <v>0</v>
      </c>
      <c r="CK8" s="1">
        <v>1</v>
      </c>
      <c r="CL8" s="1">
        <v>0</v>
      </c>
      <c r="CM8" s="1">
        <v>1</v>
      </c>
      <c r="CN8" s="1">
        <v>1</v>
      </c>
      <c r="CO8" s="1">
        <v>1</v>
      </c>
      <c r="CP8" s="1">
        <v>1</v>
      </c>
      <c r="CQ8" s="1">
        <v>0</v>
      </c>
      <c r="CR8" s="1">
        <v>0</v>
      </c>
      <c r="CS8" s="1">
        <v>1</v>
      </c>
      <c r="CT8" s="1">
        <v>1</v>
      </c>
      <c r="CU8" s="1">
        <v>1</v>
      </c>
      <c r="CV8" s="1">
        <v>0</v>
      </c>
      <c r="CW8" s="1">
        <v>0</v>
      </c>
      <c r="CX8" s="1">
        <v>0</v>
      </c>
      <c r="CY8" s="1">
        <v>0</v>
      </c>
      <c r="CZ8" s="1">
        <v>1</v>
      </c>
      <c r="DA8" s="1">
        <v>0</v>
      </c>
      <c r="DB8" s="1">
        <v>0</v>
      </c>
      <c r="DC8" s="1">
        <v>0</v>
      </c>
      <c r="DD8" s="1">
        <v>1</v>
      </c>
      <c r="DE8" s="1">
        <v>1</v>
      </c>
      <c r="DF8" s="1">
        <v>0</v>
      </c>
      <c r="DG8" s="1">
        <v>1</v>
      </c>
      <c r="DH8" s="1">
        <v>0</v>
      </c>
      <c r="DI8" s="1">
        <v>1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1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1</v>
      </c>
      <c r="DW8" s="1">
        <v>0</v>
      </c>
      <c r="DX8" s="1">
        <v>1</v>
      </c>
      <c r="DY8" s="1">
        <v>0</v>
      </c>
      <c r="DZ8" s="1">
        <v>0</v>
      </c>
      <c r="EA8" s="1">
        <v>1</v>
      </c>
      <c r="EB8" s="1">
        <v>0</v>
      </c>
      <c r="EC8" s="1" t="s">
        <v>331</v>
      </c>
      <c r="ED8" s="1" t="s">
        <v>333</v>
      </c>
      <c r="EE8" s="1" t="s">
        <v>331</v>
      </c>
      <c r="EF8" s="1" t="s">
        <v>333</v>
      </c>
      <c r="EG8" s="1" t="s">
        <v>330</v>
      </c>
      <c r="EH8" s="1" t="s">
        <v>330</v>
      </c>
      <c r="EI8" s="1" t="s">
        <v>331</v>
      </c>
      <c r="EJ8" s="1" t="s">
        <v>332</v>
      </c>
      <c r="EK8" s="1" t="s">
        <v>333</v>
      </c>
      <c r="EL8" s="1" t="s">
        <v>332</v>
      </c>
      <c r="EM8" s="1" t="s">
        <v>331</v>
      </c>
      <c r="EN8" s="1" t="s">
        <v>331</v>
      </c>
      <c r="EO8" s="1" t="s">
        <v>332</v>
      </c>
      <c r="EP8" s="1" t="s">
        <v>331</v>
      </c>
      <c r="EQ8" s="1" t="s">
        <v>333</v>
      </c>
      <c r="ER8" s="1" t="s">
        <v>331</v>
      </c>
      <c r="ES8" s="1" t="s">
        <v>330</v>
      </c>
      <c r="ET8" s="1" t="s">
        <v>331</v>
      </c>
      <c r="EU8" s="1" t="s">
        <v>332</v>
      </c>
      <c r="EV8" s="1" t="s">
        <v>332</v>
      </c>
      <c r="EW8" s="1" t="s">
        <v>331</v>
      </c>
      <c r="EX8" s="1" t="s">
        <v>332</v>
      </c>
      <c r="EY8" s="1" t="s">
        <v>333</v>
      </c>
      <c r="EZ8" s="1" t="s">
        <v>331</v>
      </c>
      <c r="FA8" s="1" t="s">
        <v>330</v>
      </c>
      <c r="FB8" s="1" t="s">
        <v>332</v>
      </c>
      <c r="FC8" s="1" t="s">
        <v>330</v>
      </c>
      <c r="FD8" s="1" t="s">
        <v>331</v>
      </c>
      <c r="FE8" s="1" t="s">
        <v>331</v>
      </c>
      <c r="FF8" s="1" t="s">
        <v>331</v>
      </c>
      <c r="FG8" s="1" t="s">
        <v>331</v>
      </c>
      <c r="FH8" s="1" t="s">
        <v>333</v>
      </c>
      <c r="FI8" s="1" t="s">
        <v>333</v>
      </c>
      <c r="FJ8" s="1" t="s">
        <v>332</v>
      </c>
      <c r="FK8" s="1" t="s">
        <v>330</v>
      </c>
      <c r="FL8" s="1" t="s">
        <v>332</v>
      </c>
      <c r="FM8" s="1" t="s">
        <v>330</v>
      </c>
      <c r="FN8" s="1" t="s">
        <v>333</v>
      </c>
      <c r="FO8" s="1" t="s">
        <v>333</v>
      </c>
      <c r="FP8" s="1" t="s">
        <v>331</v>
      </c>
      <c r="FQ8" s="1" t="s">
        <v>332</v>
      </c>
      <c r="FR8" s="1" t="s">
        <v>332</v>
      </c>
      <c r="FS8" s="1" t="s">
        <v>331</v>
      </c>
      <c r="FT8" s="1" t="s">
        <v>331</v>
      </c>
      <c r="FU8" s="1" t="s">
        <v>333</v>
      </c>
      <c r="FV8" s="1" t="s">
        <v>330</v>
      </c>
      <c r="FW8" s="1" t="s">
        <v>333</v>
      </c>
      <c r="FX8" s="1" t="s">
        <v>333</v>
      </c>
      <c r="FY8" s="1" t="s">
        <v>332</v>
      </c>
      <c r="FZ8" s="1" t="s">
        <v>331</v>
      </c>
      <c r="GA8" s="1" t="s">
        <v>330</v>
      </c>
      <c r="GB8" s="1" t="s">
        <v>331</v>
      </c>
      <c r="GC8" s="1" t="s">
        <v>332</v>
      </c>
      <c r="GD8" s="1" t="s">
        <v>331</v>
      </c>
      <c r="GE8" s="1" t="s">
        <v>331</v>
      </c>
      <c r="GF8" s="1" t="s">
        <v>330</v>
      </c>
      <c r="GG8" s="1" t="s">
        <v>331</v>
      </c>
      <c r="GH8" s="1" t="s">
        <v>332</v>
      </c>
      <c r="GI8" s="1" t="s">
        <v>330</v>
      </c>
      <c r="GJ8" s="1" t="s">
        <v>331</v>
      </c>
      <c r="GK8" s="1" t="s">
        <v>332</v>
      </c>
      <c r="GL8" s="1" t="s">
        <v>330</v>
      </c>
      <c r="GM8" s="1" t="s">
        <v>331</v>
      </c>
      <c r="GN8" s="1" t="s">
        <v>331</v>
      </c>
      <c r="GO8" s="1" t="s">
        <v>330</v>
      </c>
      <c r="GP8" s="1" t="s">
        <v>331</v>
      </c>
      <c r="GQ8" s="1" t="s">
        <v>333</v>
      </c>
      <c r="GR8" s="1" t="s">
        <v>333</v>
      </c>
      <c r="GS8" s="1" t="s">
        <v>330</v>
      </c>
      <c r="GT8" s="1" t="s">
        <v>330</v>
      </c>
      <c r="GU8" s="1" t="s">
        <v>332</v>
      </c>
      <c r="GV8" s="1" t="s">
        <v>333</v>
      </c>
      <c r="GW8" s="1" t="s">
        <v>331</v>
      </c>
      <c r="GX8" s="1" t="s">
        <v>333</v>
      </c>
      <c r="GY8" s="1" t="s">
        <v>331</v>
      </c>
      <c r="GZ8" s="1" t="s">
        <v>330</v>
      </c>
      <c r="HA8" s="1" t="s">
        <v>330</v>
      </c>
      <c r="HB8" s="1" t="s">
        <v>333</v>
      </c>
      <c r="HC8" s="1" t="s">
        <v>332</v>
      </c>
      <c r="HD8" s="1" t="s">
        <v>330</v>
      </c>
      <c r="HE8" s="1" t="s">
        <v>330</v>
      </c>
      <c r="HF8" s="1" t="s">
        <v>331</v>
      </c>
      <c r="HG8" s="1" t="s">
        <v>330</v>
      </c>
      <c r="HH8" s="1" t="s">
        <v>331</v>
      </c>
      <c r="HI8" s="1" t="s">
        <v>333</v>
      </c>
      <c r="HJ8" s="1" t="s">
        <v>331</v>
      </c>
      <c r="HK8" s="1" t="s">
        <v>333</v>
      </c>
      <c r="HL8" s="1" t="s">
        <v>330</v>
      </c>
      <c r="HM8" s="1" t="s">
        <v>331</v>
      </c>
      <c r="HN8" s="1" t="s">
        <v>332</v>
      </c>
      <c r="HO8" s="1" t="s">
        <v>330</v>
      </c>
      <c r="HP8" s="1" t="s">
        <v>333</v>
      </c>
      <c r="HQ8" s="1" t="s">
        <v>330</v>
      </c>
      <c r="HR8" s="1" t="s">
        <v>331</v>
      </c>
      <c r="HS8" s="1" t="s">
        <v>330</v>
      </c>
      <c r="HT8" s="1" t="s">
        <v>332</v>
      </c>
      <c r="HU8" s="1" t="s">
        <v>333</v>
      </c>
      <c r="HV8" s="1" t="s">
        <v>333</v>
      </c>
      <c r="HW8" s="1" t="s">
        <v>330</v>
      </c>
      <c r="HX8" s="1" t="s">
        <v>330</v>
      </c>
      <c r="HY8" s="1" t="s">
        <v>331</v>
      </c>
      <c r="HZ8" s="1" t="s">
        <v>330</v>
      </c>
      <c r="IA8" s="1" t="s">
        <v>333</v>
      </c>
      <c r="IB8" s="1" t="s">
        <v>331</v>
      </c>
      <c r="IC8" s="1" t="s">
        <v>331</v>
      </c>
      <c r="ID8" s="1" t="s">
        <v>331</v>
      </c>
      <c r="IE8" s="1" t="s">
        <v>333</v>
      </c>
      <c r="IF8" s="1" t="s">
        <v>333</v>
      </c>
      <c r="IG8" s="1" t="s">
        <v>330</v>
      </c>
      <c r="IH8" s="1" t="s">
        <v>333</v>
      </c>
      <c r="II8" s="1" t="s">
        <v>333</v>
      </c>
      <c r="IJ8" s="1" t="s">
        <v>331</v>
      </c>
      <c r="IK8" s="1" t="s">
        <v>330</v>
      </c>
      <c r="IL8" s="1" t="s">
        <v>333</v>
      </c>
      <c r="IM8" s="1" t="s">
        <v>333</v>
      </c>
      <c r="IN8" s="1" t="s">
        <v>333</v>
      </c>
      <c r="IO8" s="1" t="s">
        <v>333</v>
      </c>
      <c r="IP8" s="1" t="s">
        <v>332</v>
      </c>
      <c r="IQ8" s="1" t="s">
        <v>332</v>
      </c>
      <c r="IR8" s="1" t="s">
        <v>330</v>
      </c>
    </row>
    <row r="9" spans="1:252" s="1" customFormat="1" x14ac:dyDescent="0.35">
      <c r="A9" s="1" t="s">
        <v>1721</v>
      </c>
      <c r="D9" s="1" t="s">
        <v>1746</v>
      </c>
      <c r="E9" s="1">
        <v>5711</v>
      </c>
      <c r="G9" s="1" t="s">
        <v>314</v>
      </c>
      <c r="H9" s="1" t="s">
        <v>311</v>
      </c>
      <c r="I9" s="1" t="s">
        <v>1682</v>
      </c>
      <c r="J9" s="1" t="s">
        <v>1723</v>
      </c>
      <c r="K9" s="1" t="s">
        <v>1724</v>
      </c>
      <c r="M9" s="1">
        <v>1</v>
      </c>
      <c r="N9" s="1">
        <v>1</v>
      </c>
      <c r="O9" s="1">
        <v>1</v>
      </c>
      <c r="P9" s="1">
        <v>0</v>
      </c>
      <c r="Q9" s="1">
        <v>0</v>
      </c>
      <c r="R9" s="1">
        <v>1</v>
      </c>
      <c r="S9" s="1">
        <v>0</v>
      </c>
      <c r="T9" s="1">
        <v>1</v>
      </c>
      <c r="U9" s="1">
        <v>0</v>
      </c>
      <c r="V9" s="1">
        <v>1</v>
      </c>
      <c r="W9" s="1">
        <v>0</v>
      </c>
      <c r="X9" s="1">
        <v>0</v>
      </c>
      <c r="Y9" s="1">
        <v>1</v>
      </c>
      <c r="Z9" s="1">
        <v>0</v>
      </c>
      <c r="AA9" s="1">
        <v>0</v>
      </c>
      <c r="AB9" s="1">
        <v>1</v>
      </c>
      <c r="AC9" s="1">
        <v>0</v>
      </c>
      <c r="AD9" s="1">
        <v>0</v>
      </c>
      <c r="AE9" s="1">
        <v>1</v>
      </c>
      <c r="AF9" s="1">
        <v>1</v>
      </c>
      <c r="AG9" s="1">
        <v>1</v>
      </c>
      <c r="AH9" s="1">
        <v>0</v>
      </c>
      <c r="AI9" s="1">
        <v>0</v>
      </c>
      <c r="AJ9" s="1">
        <v>1</v>
      </c>
      <c r="AK9" s="1">
        <v>0</v>
      </c>
      <c r="AL9" s="1">
        <v>0</v>
      </c>
      <c r="AM9" s="1">
        <v>1</v>
      </c>
      <c r="AN9" s="1">
        <v>1</v>
      </c>
      <c r="AO9" s="1">
        <v>0</v>
      </c>
      <c r="AP9" s="1">
        <v>1</v>
      </c>
      <c r="AQ9" s="1">
        <v>0</v>
      </c>
      <c r="AR9" s="1">
        <v>0</v>
      </c>
      <c r="AS9" s="1">
        <v>1</v>
      </c>
      <c r="AT9" s="1">
        <v>1</v>
      </c>
      <c r="AU9" s="1">
        <v>1</v>
      </c>
      <c r="AV9" s="1">
        <v>1</v>
      </c>
      <c r="AW9" s="1">
        <v>0</v>
      </c>
      <c r="AX9" s="1">
        <v>0</v>
      </c>
      <c r="AY9" s="1">
        <v>0</v>
      </c>
      <c r="AZ9" s="1">
        <v>1</v>
      </c>
      <c r="BA9" s="1">
        <v>1</v>
      </c>
      <c r="BB9" s="1">
        <v>1</v>
      </c>
      <c r="BC9" s="1">
        <v>1</v>
      </c>
      <c r="BD9" s="1">
        <v>0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0</v>
      </c>
      <c r="BK9" s="1">
        <v>1</v>
      </c>
      <c r="BL9" s="1">
        <v>0</v>
      </c>
      <c r="BM9" s="1">
        <v>1</v>
      </c>
      <c r="BN9" s="1">
        <v>0</v>
      </c>
      <c r="BO9" s="1">
        <v>1</v>
      </c>
      <c r="BP9" s="1">
        <v>0</v>
      </c>
      <c r="BQ9" s="1">
        <v>0</v>
      </c>
      <c r="BR9" s="1">
        <v>1</v>
      </c>
      <c r="BS9" s="1">
        <v>1</v>
      </c>
      <c r="BT9" s="1">
        <v>1</v>
      </c>
      <c r="BU9" s="1">
        <v>0</v>
      </c>
      <c r="BV9" s="1">
        <v>0</v>
      </c>
      <c r="BW9" s="1">
        <v>0</v>
      </c>
      <c r="BX9" s="1">
        <v>1</v>
      </c>
      <c r="BY9" s="1">
        <v>0</v>
      </c>
      <c r="BZ9" s="1">
        <v>0</v>
      </c>
      <c r="CA9" s="1">
        <v>0</v>
      </c>
      <c r="CB9" s="1">
        <v>1</v>
      </c>
      <c r="CC9" s="1">
        <v>1</v>
      </c>
      <c r="CD9" s="1">
        <v>0</v>
      </c>
      <c r="CE9" s="1">
        <v>0</v>
      </c>
      <c r="CF9" s="1">
        <v>1</v>
      </c>
      <c r="CG9" s="1">
        <v>0</v>
      </c>
      <c r="CH9" s="1">
        <v>1</v>
      </c>
      <c r="CI9" s="1">
        <v>0</v>
      </c>
      <c r="CJ9" s="1">
        <v>0</v>
      </c>
      <c r="CK9" s="1">
        <v>1</v>
      </c>
      <c r="CL9" s="1">
        <v>0</v>
      </c>
      <c r="CM9" s="1">
        <v>0</v>
      </c>
      <c r="CN9" s="1">
        <v>0</v>
      </c>
      <c r="CO9" s="1">
        <v>1</v>
      </c>
      <c r="CP9" s="1">
        <v>0</v>
      </c>
      <c r="CQ9" s="1">
        <v>0</v>
      </c>
      <c r="CR9" s="1">
        <v>1</v>
      </c>
      <c r="CS9" s="1">
        <v>1</v>
      </c>
      <c r="CT9" s="1">
        <v>1</v>
      </c>
      <c r="CU9" s="1">
        <v>0</v>
      </c>
      <c r="CV9" s="1">
        <v>1</v>
      </c>
      <c r="CW9" s="1">
        <v>1</v>
      </c>
      <c r="CX9" s="1">
        <v>0</v>
      </c>
      <c r="CY9" s="1">
        <v>1</v>
      </c>
      <c r="CZ9" s="1">
        <v>1</v>
      </c>
      <c r="DA9" s="1">
        <v>1</v>
      </c>
      <c r="DB9" s="1">
        <v>1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1</v>
      </c>
      <c r="DJ9" s="1">
        <v>1</v>
      </c>
      <c r="DK9" s="1">
        <v>0</v>
      </c>
      <c r="DL9" s="1">
        <v>1</v>
      </c>
      <c r="DM9" s="1">
        <v>1</v>
      </c>
      <c r="DN9" s="1">
        <v>1</v>
      </c>
      <c r="DO9" s="1">
        <v>0</v>
      </c>
      <c r="DP9" s="1">
        <v>1</v>
      </c>
      <c r="DQ9" s="1">
        <v>1</v>
      </c>
      <c r="DR9" s="1">
        <v>0</v>
      </c>
      <c r="DS9" s="1">
        <v>1</v>
      </c>
      <c r="DT9" s="1">
        <v>1</v>
      </c>
      <c r="DU9" s="1">
        <v>0</v>
      </c>
      <c r="DV9" s="1">
        <v>1</v>
      </c>
      <c r="DW9" s="1">
        <v>0</v>
      </c>
      <c r="DX9" s="1">
        <v>0</v>
      </c>
      <c r="DY9" s="1">
        <v>0</v>
      </c>
      <c r="DZ9" s="1">
        <v>1</v>
      </c>
      <c r="EA9" s="1">
        <v>1</v>
      </c>
      <c r="EB9" s="1">
        <v>1</v>
      </c>
      <c r="EC9" s="1" t="s">
        <v>331</v>
      </c>
      <c r="ED9" s="1" t="s">
        <v>333</v>
      </c>
      <c r="EE9" s="1" t="s">
        <v>333</v>
      </c>
      <c r="EF9" s="1" t="s">
        <v>331</v>
      </c>
      <c r="EG9" s="1" t="s">
        <v>332</v>
      </c>
      <c r="EH9" s="1" t="s">
        <v>333</v>
      </c>
      <c r="EI9" s="1" t="s">
        <v>330</v>
      </c>
      <c r="EJ9" s="1" t="s">
        <v>331</v>
      </c>
      <c r="EK9" s="1" t="s">
        <v>330</v>
      </c>
      <c r="EL9" s="1" t="s">
        <v>331</v>
      </c>
      <c r="EM9" s="1" t="s">
        <v>330</v>
      </c>
      <c r="EN9" s="1" t="s">
        <v>332</v>
      </c>
      <c r="EO9" s="1" t="s">
        <v>332</v>
      </c>
      <c r="EP9" s="1" t="s">
        <v>332</v>
      </c>
      <c r="EQ9" s="1" t="s">
        <v>331</v>
      </c>
      <c r="ER9" s="1" t="s">
        <v>331</v>
      </c>
      <c r="ES9" s="1" t="s">
        <v>330</v>
      </c>
      <c r="ET9" s="1" t="s">
        <v>330</v>
      </c>
      <c r="EU9" s="1" t="s">
        <v>332</v>
      </c>
      <c r="EV9" s="1" t="s">
        <v>332</v>
      </c>
      <c r="EW9" s="1" t="s">
        <v>333</v>
      </c>
      <c r="EX9" s="1" t="s">
        <v>333</v>
      </c>
      <c r="EY9" s="1" t="s">
        <v>331</v>
      </c>
      <c r="EZ9" s="1" t="s">
        <v>331</v>
      </c>
      <c r="FA9" s="1" t="s">
        <v>332</v>
      </c>
      <c r="FB9" s="1" t="s">
        <v>332</v>
      </c>
      <c r="FC9" s="1" t="s">
        <v>333</v>
      </c>
      <c r="FD9" s="1" t="s">
        <v>331</v>
      </c>
      <c r="FE9" s="1" t="s">
        <v>332</v>
      </c>
      <c r="FF9" s="1" t="s">
        <v>331</v>
      </c>
      <c r="FG9" s="1" t="s">
        <v>333</v>
      </c>
      <c r="FH9" s="1" t="s">
        <v>330</v>
      </c>
      <c r="FI9" s="1" t="s">
        <v>331</v>
      </c>
      <c r="FJ9" s="1" t="s">
        <v>332</v>
      </c>
      <c r="FK9" s="1" t="s">
        <v>330</v>
      </c>
      <c r="FL9" s="1" t="s">
        <v>332</v>
      </c>
      <c r="FM9" s="1" t="s">
        <v>333</v>
      </c>
      <c r="FN9" s="1" t="s">
        <v>333</v>
      </c>
      <c r="FO9" s="1" t="s">
        <v>330</v>
      </c>
      <c r="FP9" s="1" t="s">
        <v>331</v>
      </c>
      <c r="FQ9" s="1" t="s">
        <v>332</v>
      </c>
      <c r="FR9" s="1" t="s">
        <v>332</v>
      </c>
      <c r="FS9" s="1" t="s">
        <v>332</v>
      </c>
      <c r="FT9" s="1" t="s">
        <v>332</v>
      </c>
      <c r="FU9" s="1" t="s">
        <v>332</v>
      </c>
      <c r="FV9" s="1" t="s">
        <v>331</v>
      </c>
      <c r="FW9" s="1" t="s">
        <v>332</v>
      </c>
      <c r="FX9" s="1" t="s">
        <v>333</v>
      </c>
      <c r="FY9" s="1" t="s">
        <v>332</v>
      </c>
      <c r="FZ9" s="1" t="s">
        <v>330</v>
      </c>
      <c r="GA9" s="1" t="s">
        <v>333</v>
      </c>
      <c r="GB9" s="1" t="s">
        <v>333</v>
      </c>
      <c r="GC9" s="1" t="s">
        <v>332</v>
      </c>
      <c r="GD9" s="1" t="s">
        <v>332</v>
      </c>
      <c r="GE9" s="1" t="s">
        <v>331</v>
      </c>
      <c r="GF9" s="1" t="s">
        <v>332</v>
      </c>
      <c r="GG9" s="1" t="s">
        <v>330</v>
      </c>
      <c r="GH9" s="1" t="s">
        <v>330</v>
      </c>
      <c r="GI9" s="1" t="s">
        <v>330</v>
      </c>
      <c r="GJ9" s="1" t="s">
        <v>332</v>
      </c>
      <c r="GK9" s="1" t="s">
        <v>330</v>
      </c>
      <c r="GL9" s="1" t="s">
        <v>330</v>
      </c>
      <c r="GM9" s="1" t="s">
        <v>332</v>
      </c>
      <c r="GN9" s="1" t="s">
        <v>331</v>
      </c>
      <c r="GO9" s="1" t="s">
        <v>331</v>
      </c>
      <c r="GP9" s="1" t="s">
        <v>332</v>
      </c>
      <c r="GQ9" s="1" t="s">
        <v>331</v>
      </c>
      <c r="GR9" s="1" t="s">
        <v>330</v>
      </c>
      <c r="GS9" s="1" t="s">
        <v>330</v>
      </c>
      <c r="GT9" s="1" t="s">
        <v>330</v>
      </c>
      <c r="GU9" s="1" t="s">
        <v>331</v>
      </c>
      <c r="GV9" s="1" t="s">
        <v>330</v>
      </c>
      <c r="GW9" s="1" t="s">
        <v>330</v>
      </c>
      <c r="GX9" s="1" t="s">
        <v>333</v>
      </c>
      <c r="GY9" s="1" t="s">
        <v>330</v>
      </c>
      <c r="GZ9" s="1" t="s">
        <v>332</v>
      </c>
      <c r="HA9" s="1" t="s">
        <v>330</v>
      </c>
      <c r="HB9" s="1" t="s">
        <v>333</v>
      </c>
      <c r="HC9" s="1" t="s">
        <v>333</v>
      </c>
      <c r="HD9" s="1" t="s">
        <v>333</v>
      </c>
      <c r="HE9" s="1" t="s">
        <v>330</v>
      </c>
      <c r="HF9" s="1" t="s">
        <v>330</v>
      </c>
      <c r="HG9" s="1" t="s">
        <v>330</v>
      </c>
      <c r="HH9" s="1" t="s">
        <v>333</v>
      </c>
      <c r="HI9" s="1" t="s">
        <v>333</v>
      </c>
      <c r="HJ9" s="1" t="s">
        <v>331</v>
      </c>
      <c r="HK9" s="1" t="s">
        <v>331</v>
      </c>
      <c r="HL9" s="1" t="s">
        <v>333</v>
      </c>
      <c r="HM9" s="1" t="s">
        <v>332</v>
      </c>
      <c r="HN9" s="1" t="s">
        <v>333</v>
      </c>
      <c r="HO9" s="1" t="s">
        <v>333</v>
      </c>
      <c r="HP9" s="1" t="s">
        <v>333</v>
      </c>
      <c r="HQ9" s="1" t="s">
        <v>331</v>
      </c>
      <c r="HR9" s="1" t="s">
        <v>330</v>
      </c>
      <c r="HS9" s="1" t="s">
        <v>330</v>
      </c>
      <c r="HT9" s="1" t="s">
        <v>330</v>
      </c>
      <c r="HU9" s="1" t="s">
        <v>331</v>
      </c>
      <c r="HV9" s="1" t="s">
        <v>333</v>
      </c>
      <c r="HW9" s="1" t="s">
        <v>333</v>
      </c>
      <c r="HX9" s="1" t="s">
        <v>330</v>
      </c>
      <c r="HY9" s="1" t="s">
        <v>331</v>
      </c>
      <c r="HZ9" s="1" t="s">
        <v>333</v>
      </c>
      <c r="IA9" s="1" t="s">
        <v>330</v>
      </c>
      <c r="IB9" s="1" t="s">
        <v>333</v>
      </c>
      <c r="IC9" s="1" t="s">
        <v>333</v>
      </c>
      <c r="ID9" s="1" t="s">
        <v>330</v>
      </c>
      <c r="IE9" s="1" t="s">
        <v>331</v>
      </c>
      <c r="IF9" s="1" t="s">
        <v>333</v>
      </c>
      <c r="IG9" s="1" t="s">
        <v>331</v>
      </c>
      <c r="IH9" s="1" t="s">
        <v>331</v>
      </c>
      <c r="II9" s="1" t="s">
        <v>331</v>
      </c>
      <c r="IJ9" s="1" t="s">
        <v>330</v>
      </c>
      <c r="IK9" s="1" t="s">
        <v>330</v>
      </c>
      <c r="IL9" s="1" t="s">
        <v>333</v>
      </c>
      <c r="IM9" s="1" t="s">
        <v>330</v>
      </c>
      <c r="IN9" s="1" t="s">
        <v>330</v>
      </c>
      <c r="IO9" s="1" t="s">
        <v>330</v>
      </c>
      <c r="IP9" s="1" t="s">
        <v>331</v>
      </c>
      <c r="IQ9" s="1" t="s">
        <v>332</v>
      </c>
      <c r="IR9" s="1" t="s">
        <v>331</v>
      </c>
    </row>
    <row r="10" spans="1:252" s="1" customFormat="1" x14ac:dyDescent="0.35">
      <c r="A10" s="1" t="s">
        <v>1721</v>
      </c>
      <c r="D10" s="1" t="s">
        <v>1747</v>
      </c>
      <c r="E10" s="1">
        <v>5712</v>
      </c>
      <c r="G10" s="1" t="s">
        <v>318</v>
      </c>
      <c r="H10" s="1" t="s">
        <v>311</v>
      </c>
      <c r="I10" s="1" t="s">
        <v>319</v>
      </c>
      <c r="J10" s="1" t="s">
        <v>1723</v>
      </c>
      <c r="K10" s="1" t="s">
        <v>1724</v>
      </c>
      <c r="M10" s="1">
        <v>1</v>
      </c>
      <c r="N10" s="1">
        <v>1</v>
      </c>
      <c r="O10" s="1">
        <v>0</v>
      </c>
      <c r="P10" s="1">
        <v>0</v>
      </c>
      <c r="Q10" s="1">
        <v>0</v>
      </c>
      <c r="R10" s="1">
        <v>1</v>
      </c>
      <c r="S10" s="1">
        <v>1</v>
      </c>
      <c r="T10" s="1">
        <v>0</v>
      </c>
      <c r="U10" s="1">
        <v>1</v>
      </c>
      <c r="V10" s="1">
        <v>0</v>
      </c>
      <c r="W10" s="1">
        <v>0</v>
      </c>
      <c r="X10" s="1">
        <v>0</v>
      </c>
      <c r="Y10" s="1">
        <v>1</v>
      </c>
      <c r="Z10" s="1">
        <v>0</v>
      </c>
      <c r="AA10" s="1">
        <v>1</v>
      </c>
      <c r="AB10" s="1">
        <v>0</v>
      </c>
      <c r="AC10" s="1">
        <v>1</v>
      </c>
      <c r="AD10" s="1">
        <v>0</v>
      </c>
      <c r="AE10" s="1">
        <v>1</v>
      </c>
      <c r="AF10" s="1">
        <v>1</v>
      </c>
      <c r="AG10" s="1">
        <v>1</v>
      </c>
      <c r="AH10" s="1">
        <v>1</v>
      </c>
      <c r="AI10" s="1">
        <v>1</v>
      </c>
      <c r="AJ10" s="1">
        <v>1</v>
      </c>
      <c r="AK10" s="1">
        <v>0</v>
      </c>
      <c r="AL10" s="1">
        <v>0</v>
      </c>
      <c r="AM10" s="1">
        <v>0</v>
      </c>
      <c r="AN10" s="1">
        <v>1</v>
      </c>
      <c r="AO10" s="1">
        <v>1</v>
      </c>
      <c r="AP10" s="1">
        <v>1</v>
      </c>
      <c r="AQ10" s="1">
        <v>1</v>
      </c>
      <c r="AR10" s="1">
        <v>1</v>
      </c>
      <c r="AS10" s="1">
        <v>0</v>
      </c>
      <c r="AT10" s="1">
        <v>1</v>
      </c>
      <c r="AU10" s="1">
        <v>1</v>
      </c>
      <c r="AV10" s="1">
        <v>1</v>
      </c>
      <c r="AW10" s="1">
        <v>1</v>
      </c>
      <c r="AX10" s="1">
        <v>0</v>
      </c>
      <c r="AY10" s="1">
        <v>1</v>
      </c>
      <c r="AZ10" s="1">
        <v>0</v>
      </c>
      <c r="BA10" s="1">
        <v>0</v>
      </c>
      <c r="BB10" s="1">
        <v>0</v>
      </c>
      <c r="BC10" s="1">
        <v>0</v>
      </c>
      <c r="BD10" s="1">
        <v>1</v>
      </c>
      <c r="BE10" s="1">
        <v>0</v>
      </c>
      <c r="BF10" s="1">
        <v>0</v>
      </c>
      <c r="BG10" s="1">
        <v>0</v>
      </c>
      <c r="BH10" s="1">
        <v>1</v>
      </c>
      <c r="BI10" s="1">
        <v>0</v>
      </c>
      <c r="BJ10" s="1">
        <v>0</v>
      </c>
      <c r="BK10" s="1">
        <v>1</v>
      </c>
      <c r="BL10" s="1">
        <v>1</v>
      </c>
      <c r="BM10" s="1">
        <v>1</v>
      </c>
      <c r="BN10" s="1">
        <v>0</v>
      </c>
      <c r="BO10" s="1">
        <v>0</v>
      </c>
      <c r="BP10" s="1">
        <v>1</v>
      </c>
      <c r="BQ10" s="1">
        <v>1</v>
      </c>
      <c r="BR10" s="1">
        <v>1</v>
      </c>
      <c r="BS10" s="1">
        <v>1</v>
      </c>
      <c r="BT10" s="1">
        <v>1</v>
      </c>
      <c r="BU10" s="1">
        <v>0</v>
      </c>
      <c r="BV10" s="1">
        <v>1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1</v>
      </c>
      <c r="CD10" s="1">
        <v>0</v>
      </c>
      <c r="CE10" s="1">
        <v>1</v>
      </c>
      <c r="CF10" s="1">
        <v>0</v>
      </c>
      <c r="CG10" s="1">
        <v>0</v>
      </c>
      <c r="CH10" s="1">
        <v>0</v>
      </c>
      <c r="CI10" s="1">
        <v>0</v>
      </c>
      <c r="CJ10" s="1">
        <v>1</v>
      </c>
      <c r="CK10" s="1">
        <v>1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1</v>
      </c>
      <c r="CU10" s="1">
        <v>0</v>
      </c>
      <c r="CV10" s="1">
        <v>0</v>
      </c>
      <c r="CW10" s="1">
        <v>1</v>
      </c>
      <c r="CX10" s="1">
        <v>0</v>
      </c>
      <c r="CY10" s="1">
        <v>1</v>
      </c>
      <c r="CZ10" s="1">
        <v>1</v>
      </c>
      <c r="DA10" s="1">
        <v>0</v>
      </c>
      <c r="DB10" s="1">
        <v>1</v>
      </c>
      <c r="DC10" s="1">
        <v>0</v>
      </c>
      <c r="DD10" s="1">
        <v>0</v>
      </c>
      <c r="DE10" s="1">
        <v>1</v>
      </c>
      <c r="DF10" s="1">
        <v>1</v>
      </c>
      <c r="DG10" s="1">
        <v>0</v>
      </c>
      <c r="DH10" s="1">
        <v>0</v>
      </c>
      <c r="DI10" s="1">
        <v>1</v>
      </c>
      <c r="DJ10" s="1">
        <v>0</v>
      </c>
      <c r="DK10" s="1">
        <v>1</v>
      </c>
      <c r="DL10" s="1">
        <v>1</v>
      </c>
      <c r="DM10" s="1">
        <v>0</v>
      </c>
      <c r="DN10" s="1">
        <v>1</v>
      </c>
      <c r="DO10" s="1">
        <v>0</v>
      </c>
      <c r="DP10" s="1">
        <v>1</v>
      </c>
      <c r="DQ10" s="1">
        <v>1</v>
      </c>
      <c r="DR10" s="1">
        <v>0</v>
      </c>
      <c r="DS10" s="1">
        <v>0</v>
      </c>
      <c r="DT10" s="1">
        <v>1</v>
      </c>
      <c r="DU10" s="1">
        <v>0</v>
      </c>
      <c r="DV10" s="1">
        <v>1</v>
      </c>
      <c r="DW10" s="1">
        <v>0</v>
      </c>
      <c r="DX10" s="1">
        <v>0</v>
      </c>
      <c r="DY10" s="1">
        <v>0</v>
      </c>
      <c r="DZ10" s="1">
        <v>1</v>
      </c>
      <c r="EA10" s="1">
        <v>0</v>
      </c>
      <c r="EB10" s="1">
        <v>1</v>
      </c>
      <c r="EC10" s="1" t="s">
        <v>331</v>
      </c>
      <c r="ED10" s="1" t="s">
        <v>333</v>
      </c>
      <c r="EE10" s="1" t="s">
        <v>331</v>
      </c>
      <c r="EF10" s="1" t="s">
        <v>330</v>
      </c>
      <c r="EG10" s="1" t="s">
        <v>332</v>
      </c>
      <c r="EH10" s="1" t="s">
        <v>333</v>
      </c>
      <c r="EI10" s="1" t="s">
        <v>332</v>
      </c>
      <c r="EJ10" s="1" t="s">
        <v>332</v>
      </c>
      <c r="EK10" s="1" t="s">
        <v>333</v>
      </c>
      <c r="EL10" s="1" t="s">
        <v>333</v>
      </c>
      <c r="EM10" s="1" t="s">
        <v>333</v>
      </c>
      <c r="EN10" s="1" t="s">
        <v>332</v>
      </c>
      <c r="EO10" s="1" t="s">
        <v>332</v>
      </c>
      <c r="EP10" s="1" t="s">
        <v>331</v>
      </c>
      <c r="EQ10" s="1" t="s">
        <v>333</v>
      </c>
      <c r="ER10" s="1" t="s">
        <v>333</v>
      </c>
      <c r="ES10" s="1" t="s">
        <v>332</v>
      </c>
      <c r="ET10" s="1" t="s">
        <v>333</v>
      </c>
      <c r="EU10" s="1" t="s">
        <v>332</v>
      </c>
      <c r="EV10" s="1" t="s">
        <v>332</v>
      </c>
      <c r="EW10" s="1" t="s">
        <v>333</v>
      </c>
      <c r="EX10" s="1" t="s">
        <v>331</v>
      </c>
      <c r="EY10" s="1" t="s">
        <v>332</v>
      </c>
      <c r="EZ10" s="1" t="s">
        <v>331</v>
      </c>
      <c r="FA10" s="1" t="s">
        <v>330</v>
      </c>
      <c r="FB10" s="1" t="s">
        <v>332</v>
      </c>
      <c r="FC10" s="1" t="s">
        <v>332</v>
      </c>
      <c r="FD10" s="1" t="s">
        <v>331</v>
      </c>
      <c r="FE10" s="1" t="s">
        <v>331</v>
      </c>
      <c r="FF10" s="1" t="s">
        <v>331</v>
      </c>
      <c r="FG10" s="1" t="s">
        <v>331</v>
      </c>
      <c r="FH10" s="1" t="s">
        <v>332</v>
      </c>
      <c r="FI10" s="1" t="s">
        <v>333</v>
      </c>
      <c r="FJ10" s="1" t="s">
        <v>332</v>
      </c>
      <c r="FK10" s="1" t="s">
        <v>330</v>
      </c>
      <c r="FL10" s="1" t="s">
        <v>332</v>
      </c>
      <c r="FM10" s="1" t="s">
        <v>330</v>
      </c>
      <c r="FN10" s="1" t="s">
        <v>331</v>
      </c>
      <c r="FO10" s="1" t="s">
        <v>331</v>
      </c>
      <c r="FP10" s="1" t="s">
        <v>333</v>
      </c>
      <c r="FQ10" s="1" t="s">
        <v>330</v>
      </c>
      <c r="FR10" s="1" t="s">
        <v>331</v>
      </c>
      <c r="FS10" s="1" t="s">
        <v>331</v>
      </c>
      <c r="FT10" s="1" t="s">
        <v>333</v>
      </c>
      <c r="FU10" s="1" t="s">
        <v>331</v>
      </c>
      <c r="FV10" s="1" t="s">
        <v>330</v>
      </c>
      <c r="FW10" s="1" t="s">
        <v>330</v>
      </c>
      <c r="FX10" s="1" t="s">
        <v>333</v>
      </c>
      <c r="FY10" s="1" t="s">
        <v>330</v>
      </c>
      <c r="FZ10" s="1" t="s">
        <v>332</v>
      </c>
      <c r="GA10" s="1" t="s">
        <v>333</v>
      </c>
      <c r="GB10" s="1" t="s">
        <v>331</v>
      </c>
      <c r="GC10" s="1" t="s">
        <v>332</v>
      </c>
      <c r="GD10" s="1" t="s">
        <v>332</v>
      </c>
      <c r="GE10" s="1" t="s">
        <v>332</v>
      </c>
      <c r="GF10" s="1" t="s">
        <v>333</v>
      </c>
      <c r="GG10" s="1" t="s">
        <v>333</v>
      </c>
      <c r="GH10" s="1" t="s">
        <v>330</v>
      </c>
      <c r="GI10" s="1" t="s">
        <v>330</v>
      </c>
      <c r="GJ10" s="1" t="s">
        <v>332</v>
      </c>
      <c r="GK10" s="1" t="s">
        <v>330</v>
      </c>
      <c r="GL10" s="1" t="s">
        <v>332</v>
      </c>
      <c r="GM10" s="1" t="s">
        <v>331</v>
      </c>
      <c r="GN10" s="1" t="s">
        <v>332</v>
      </c>
      <c r="GO10" s="1" t="s">
        <v>331</v>
      </c>
      <c r="GP10" s="1" t="s">
        <v>332</v>
      </c>
      <c r="GQ10" s="1" t="s">
        <v>331</v>
      </c>
      <c r="GR10" s="1" t="s">
        <v>331</v>
      </c>
      <c r="GS10" s="1" t="s">
        <v>330</v>
      </c>
      <c r="GT10" s="1" t="s">
        <v>333</v>
      </c>
      <c r="GU10" s="1" t="s">
        <v>332</v>
      </c>
      <c r="GV10" s="1" t="s">
        <v>331</v>
      </c>
      <c r="GW10" s="1" t="s">
        <v>332</v>
      </c>
      <c r="GX10" s="1" t="s">
        <v>330</v>
      </c>
      <c r="GY10" s="1" t="s">
        <v>331</v>
      </c>
      <c r="GZ10" s="1" t="s">
        <v>331</v>
      </c>
      <c r="HA10" s="1" t="s">
        <v>330</v>
      </c>
      <c r="HB10" s="1" t="s">
        <v>333</v>
      </c>
      <c r="HC10" s="1" t="s">
        <v>333</v>
      </c>
      <c r="HD10" s="1" t="s">
        <v>331</v>
      </c>
      <c r="HE10" s="1" t="s">
        <v>331</v>
      </c>
      <c r="HF10" s="1" t="s">
        <v>330</v>
      </c>
      <c r="HG10" s="1" t="s">
        <v>332</v>
      </c>
      <c r="HH10" s="1" t="s">
        <v>330</v>
      </c>
      <c r="HI10" s="1" t="s">
        <v>331</v>
      </c>
      <c r="HJ10" s="1" t="s">
        <v>331</v>
      </c>
      <c r="HK10" s="1" t="s">
        <v>332</v>
      </c>
      <c r="HL10" s="1" t="s">
        <v>332</v>
      </c>
      <c r="HM10" s="1" t="s">
        <v>332</v>
      </c>
      <c r="HN10" s="1" t="s">
        <v>331</v>
      </c>
      <c r="HO10" s="1" t="s">
        <v>333</v>
      </c>
      <c r="HP10" s="1" t="s">
        <v>333</v>
      </c>
      <c r="HQ10" s="1" t="s">
        <v>330</v>
      </c>
      <c r="HR10" s="1" t="s">
        <v>330</v>
      </c>
      <c r="HS10" s="1" t="s">
        <v>330</v>
      </c>
      <c r="HT10" s="1" t="s">
        <v>331</v>
      </c>
      <c r="HU10" s="1" t="s">
        <v>333</v>
      </c>
      <c r="HV10" s="1" t="s">
        <v>330</v>
      </c>
      <c r="HW10" s="1" t="s">
        <v>333</v>
      </c>
      <c r="HX10" s="1" t="s">
        <v>331</v>
      </c>
      <c r="HY10" s="1" t="s">
        <v>331</v>
      </c>
      <c r="HZ10" s="1" t="s">
        <v>330</v>
      </c>
      <c r="IA10" s="1" t="s">
        <v>331</v>
      </c>
      <c r="IB10" s="1" t="s">
        <v>333</v>
      </c>
      <c r="IC10" s="1" t="s">
        <v>331</v>
      </c>
      <c r="ID10" s="1" t="s">
        <v>330</v>
      </c>
      <c r="IE10" s="1" t="s">
        <v>332</v>
      </c>
      <c r="IF10" s="1" t="s">
        <v>333</v>
      </c>
      <c r="IG10" s="1" t="s">
        <v>331</v>
      </c>
      <c r="IH10" s="1" t="s">
        <v>331</v>
      </c>
      <c r="II10" s="1" t="s">
        <v>333</v>
      </c>
      <c r="IJ10" s="1" t="s">
        <v>330</v>
      </c>
      <c r="IK10" s="1" t="s">
        <v>330</v>
      </c>
      <c r="IL10" s="1" t="s">
        <v>333</v>
      </c>
      <c r="IM10" s="1" t="s">
        <v>332</v>
      </c>
      <c r="IN10" s="1" t="s">
        <v>330</v>
      </c>
      <c r="IO10" s="1" t="s">
        <v>332</v>
      </c>
      <c r="IP10" s="1" t="s">
        <v>331</v>
      </c>
      <c r="IQ10" s="1" t="s">
        <v>330</v>
      </c>
      <c r="IR10" s="1" t="s">
        <v>331</v>
      </c>
    </row>
    <row r="11" spans="1:252" s="1" customFormat="1" x14ac:dyDescent="0.35">
      <c r="A11" s="1" t="s">
        <v>1721</v>
      </c>
      <c r="D11" s="1" t="s">
        <v>1748</v>
      </c>
      <c r="E11" s="1">
        <v>5713</v>
      </c>
      <c r="G11" s="1" t="s">
        <v>324</v>
      </c>
      <c r="H11" s="1" t="s">
        <v>311</v>
      </c>
      <c r="I11" s="1" t="s">
        <v>1692</v>
      </c>
      <c r="J11" s="1" t="s">
        <v>1723</v>
      </c>
      <c r="K11" s="1" t="s">
        <v>1724</v>
      </c>
      <c r="M11" s="1">
        <v>1</v>
      </c>
      <c r="N11" s="1">
        <v>1</v>
      </c>
      <c r="O11" s="1">
        <v>0</v>
      </c>
      <c r="P11" s="1">
        <v>0</v>
      </c>
      <c r="Q11" s="1">
        <v>1</v>
      </c>
      <c r="R11" s="1">
        <v>1</v>
      </c>
      <c r="S11" s="1">
        <v>0</v>
      </c>
      <c r="T11" s="1">
        <v>1</v>
      </c>
      <c r="U11" s="1">
        <v>1</v>
      </c>
      <c r="V11" s="1">
        <v>0</v>
      </c>
      <c r="W11" s="1">
        <v>0</v>
      </c>
      <c r="X11" s="1">
        <v>1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1</v>
      </c>
      <c r="AE11" s="1">
        <v>1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1</v>
      </c>
      <c r="AL11" s="1">
        <v>1</v>
      </c>
      <c r="AM11" s="1">
        <v>1</v>
      </c>
      <c r="AN11" s="1">
        <v>0</v>
      </c>
      <c r="AO11" s="1">
        <v>1</v>
      </c>
      <c r="AP11" s="1">
        <v>1</v>
      </c>
      <c r="AQ11" s="1">
        <v>1</v>
      </c>
      <c r="AR11" s="1">
        <v>0</v>
      </c>
      <c r="AS11" s="1">
        <v>0</v>
      </c>
      <c r="AT11" s="1">
        <v>0</v>
      </c>
      <c r="AU11" s="1">
        <v>1</v>
      </c>
      <c r="AV11" s="1">
        <v>1</v>
      </c>
      <c r="AW11" s="1">
        <v>0</v>
      </c>
      <c r="AX11" s="1">
        <v>0</v>
      </c>
      <c r="AY11" s="1">
        <v>0</v>
      </c>
      <c r="AZ11" s="1">
        <v>1</v>
      </c>
      <c r="BA11" s="1">
        <v>1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1</v>
      </c>
      <c r="BI11" s="1">
        <v>1</v>
      </c>
      <c r="BJ11" s="1">
        <v>1</v>
      </c>
      <c r="BK11" s="1">
        <v>1</v>
      </c>
      <c r="BL11" s="1">
        <v>0</v>
      </c>
      <c r="BM11" s="1">
        <v>1</v>
      </c>
      <c r="BN11" s="1">
        <v>1</v>
      </c>
      <c r="BO11" s="1">
        <v>0</v>
      </c>
      <c r="BP11" s="1">
        <v>1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1</v>
      </c>
      <c r="BX11" s="1">
        <v>0</v>
      </c>
      <c r="BY11" s="1">
        <v>0</v>
      </c>
      <c r="BZ11" s="1">
        <v>1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1</v>
      </c>
      <c r="CI11" s="1">
        <v>1</v>
      </c>
      <c r="CJ11" s="1">
        <v>1</v>
      </c>
      <c r="CK11" s="1">
        <v>1</v>
      </c>
      <c r="CL11" s="1">
        <v>0</v>
      </c>
      <c r="CM11" s="1">
        <v>0</v>
      </c>
      <c r="CN11" s="1">
        <v>1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1</v>
      </c>
      <c r="CU11" s="1">
        <v>0</v>
      </c>
      <c r="CV11" s="1">
        <v>0</v>
      </c>
      <c r="CW11" s="1">
        <v>1</v>
      </c>
      <c r="CX11" s="1">
        <v>0</v>
      </c>
      <c r="CY11" s="1">
        <v>1</v>
      </c>
      <c r="CZ11" s="1">
        <v>1</v>
      </c>
      <c r="DA11" s="1">
        <v>0</v>
      </c>
      <c r="DB11" s="1">
        <v>0</v>
      </c>
      <c r="DC11" s="1">
        <v>1</v>
      </c>
      <c r="DD11" s="1">
        <v>0</v>
      </c>
      <c r="DE11" s="1">
        <v>0</v>
      </c>
      <c r="DF11" s="1">
        <v>1</v>
      </c>
      <c r="DG11" s="1">
        <v>0</v>
      </c>
      <c r="DH11" s="1">
        <v>0</v>
      </c>
      <c r="DI11" s="1">
        <v>1</v>
      </c>
      <c r="DJ11" s="1">
        <v>0</v>
      </c>
      <c r="DK11" s="1">
        <v>0</v>
      </c>
      <c r="DL11" s="1">
        <v>1</v>
      </c>
      <c r="DM11" s="1">
        <v>1</v>
      </c>
      <c r="DN11" s="1">
        <v>0</v>
      </c>
      <c r="DO11" s="1">
        <v>0</v>
      </c>
      <c r="DP11" s="1">
        <v>1</v>
      </c>
      <c r="DQ11" s="1">
        <v>0</v>
      </c>
      <c r="DR11" s="1">
        <v>0</v>
      </c>
      <c r="DS11" s="1">
        <v>0</v>
      </c>
      <c r="DT11" s="1">
        <v>0</v>
      </c>
      <c r="DU11" s="1">
        <v>1</v>
      </c>
      <c r="DV11" s="1">
        <v>0</v>
      </c>
      <c r="DW11" s="1">
        <v>0</v>
      </c>
      <c r="DX11" s="1">
        <v>1</v>
      </c>
      <c r="DY11" s="1">
        <v>1</v>
      </c>
      <c r="DZ11" s="1">
        <v>1</v>
      </c>
      <c r="EA11" s="1">
        <v>0</v>
      </c>
      <c r="EB11" s="1">
        <v>0</v>
      </c>
      <c r="EC11" s="1" t="s">
        <v>331</v>
      </c>
      <c r="ED11" s="1" t="s">
        <v>333</v>
      </c>
      <c r="EE11" s="1" t="s">
        <v>331</v>
      </c>
      <c r="EF11" s="1" t="s">
        <v>330</v>
      </c>
      <c r="EG11" s="1" t="s">
        <v>331</v>
      </c>
      <c r="EH11" s="1" t="s">
        <v>333</v>
      </c>
      <c r="EI11" s="1" t="s">
        <v>331</v>
      </c>
      <c r="EJ11" s="1" t="s">
        <v>331</v>
      </c>
      <c r="EK11" s="1" t="s">
        <v>333</v>
      </c>
      <c r="EL11" s="1" t="s">
        <v>333</v>
      </c>
      <c r="EM11" s="1" t="s">
        <v>333</v>
      </c>
      <c r="EN11" s="1" t="s">
        <v>331</v>
      </c>
      <c r="EO11" s="1" t="s">
        <v>331</v>
      </c>
      <c r="EP11" s="1" t="s">
        <v>331</v>
      </c>
      <c r="EQ11" s="1" t="s">
        <v>332</v>
      </c>
      <c r="ER11" s="1" t="s">
        <v>330</v>
      </c>
      <c r="ES11" s="1" t="s">
        <v>331</v>
      </c>
      <c r="ET11" s="1" t="s">
        <v>331</v>
      </c>
      <c r="EU11" s="1" t="s">
        <v>332</v>
      </c>
      <c r="EV11" s="1" t="s">
        <v>330</v>
      </c>
      <c r="EW11" s="1" t="s">
        <v>332</v>
      </c>
      <c r="EX11" s="1" t="s">
        <v>333</v>
      </c>
      <c r="EY11" s="1" t="s">
        <v>331</v>
      </c>
      <c r="EZ11" s="1" t="s">
        <v>333</v>
      </c>
      <c r="FA11" s="1" t="s">
        <v>331</v>
      </c>
      <c r="FB11" s="1" t="s">
        <v>330</v>
      </c>
      <c r="FC11" s="1" t="s">
        <v>333</v>
      </c>
      <c r="FD11" s="1" t="s">
        <v>330</v>
      </c>
      <c r="FE11" s="1" t="s">
        <v>331</v>
      </c>
      <c r="FF11" s="1" t="s">
        <v>331</v>
      </c>
      <c r="FG11" s="1" t="s">
        <v>331</v>
      </c>
      <c r="FH11" s="1" t="s">
        <v>331</v>
      </c>
      <c r="FI11" s="1" t="s">
        <v>332</v>
      </c>
      <c r="FJ11" s="1" t="s">
        <v>331</v>
      </c>
      <c r="FK11" s="1" t="s">
        <v>330</v>
      </c>
      <c r="FL11" s="1" t="s">
        <v>332</v>
      </c>
      <c r="FM11" s="1" t="s">
        <v>331</v>
      </c>
      <c r="FN11" s="1" t="s">
        <v>333</v>
      </c>
      <c r="FO11" s="1" t="s">
        <v>333</v>
      </c>
      <c r="FP11" s="1" t="s">
        <v>331</v>
      </c>
      <c r="FQ11" s="1" t="s">
        <v>332</v>
      </c>
      <c r="FR11" s="1" t="s">
        <v>331</v>
      </c>
      <c r="FS11" s="1" t="s">
        <v>331</v>
      </c>
      <c r="FT11" s="1" t="s">
        <v>331</v>
      </c>
      <c r="FU11" s="1" t="s">
        <v>331</v>
      </c>
      <c r="FV11" s="1" t="s">
        <v>333</v>
      </c>
      <c r="FW11" s="1" t="s">
        <v>333</v>
      </c>
      <c r="FX11" s="1" t="s">
        <v>333</v>
      </c>
      <c r="FY11" s="1" t="s">
        <v>332</v>
      </c>
      <c r="FZ11" s="1" t="s">
        <v>331</v>
      </c>
      <c r="GA11" s="1" t="s">
        <v>333</v>
      </c>
      <c r="GB11" s="1" t="s">
        <v>333</v>
      </c>
      <c r="GC11" s="1" t="s">
        <v>332</v>
      </c>
      <c r="GD11" s="1" t="s">
        <v>333</v>
      </c>
      <c r="GE11" s="1" t="s">
        <v>333</v>
      </c>
      <c r="GF11" s="1" t="s">
        <v>333</v>
      </c>
      <c r="GG11" s="1" t="s">
        <v>331</v>
      </c>
      <c r="GH11" s="1" t="s">
        <v>333</v>
      </c>
      <c r="GI11" s="1" t="s">
        <v>333</v>
      </c>
      <c r="GJ11" s="1" t="s">
        <v>330</v>
      </c>
      <c r="GK11" s="1" t="s">
        <v>331</v>
      </c>
      <c r="GL11" s="1" t="s">
        <v>331</v>
      </c>
      <c r="GM11" s="1" t="s">
        <v>333</v>
      </c>
      <c r="GN11" s="1" t="s">
        <v>333</v>
      </c>
      <c r="GO11" s="1" t="s">
        <v>333</v>
      </c>
      <c r="GP11" s="1" t="s">
        <v>331</v>
      </c>
      <c r="GQ11" s="1" t="s">
        <v>331</v>
      </c>
      <c r="GR11" s="1" t="s">
        <v>333</v>
      </c>
      <c r="GS11" s="1" t="s">
        <v>333</v>
      </c>
      <c r="GT11" s="1" t="s">
        <v>330</v>
      </c>
      <c r="GU11" s="1" t="s">
        <v>331</v>
      </c>
      <c r="GV11" s="1" t="s">
        <v>331</v>
      </c>
      <c r="GW11" s="1" t="s">
        <v>333</v>
      </c>
      <c r="GX11" s="1" t="s">
        <v>333</v>
      </c>
      <c r="GY11" s="1" t="s">
        <v>333</v>
      </c>
      <c r="GZ11" s="1" t="s">
        <v>331</v>
      </c>
      <c r="HA11" s="1" t="s">
        <v>330</v>
      </c>
      <c r="HB11" s="1" t="s">
        <v>333</v>
      </c>
      <c r="HC11" s="1" t="s">
        <v>333</v>
      </c>
      <c r="HD11" s="1" t="s">
        <v>330</v>
      </c>
      <c r="HE11" s="1" t="s">
        <v>333</v>
      </c>
      <c r="HF11" s="1" t="s">
        <v>330</v>
      </c>
      <c r="HG11" s="1" t="s">
        <v>333</v>
      </c>
      <c r="HH11" s="1" t="s">
        <v>331</v>
      </c>
      <c r="HI11" s="1" t="s">
        <v>332</v>
      </c>
      <c r="HJ11" s="1" t="s">
        <v>331</v>
      </c>
      <c r="HK11" s="1" t="s">
        <v>331</v>
      </c>
      <c r="HL11" s="1" t="s">
        <v>330</v>
      </c>
      <c r="HM11" s="1" t="s">
        <v>332</v>
      </c>
      <c r="HN11" s="1" t="s">
        <v>331</v>
      </c>
      <c r="HO11" s="1" t="s">
        <v>333</v>
      </c>
      <c r="HP11" s="1" t="s">
        <v>333</v>
      </c>
      <c r="HQ11" s="1" t="s">
        <v>333</v>
      </c>
      <c r="HR11" s="1" t="s">
        <v>331</v>
      </c>
      <c r="HS11" s="1" t="s">
        <v>331</v>
      </c>
      <c r="HT11" s="1" t="s">
        <v>333</v>
      </c>
      <c r="HU11" s="1" t="s">
        <v>331</v>
      </c>
      <c r="HV11" s="1" t="s">
        <v>330</v>
      </c>
      <c r="HW11" s="1" t="s">
        <v>333</v>
      </c>
      <c r="HX11" s="1" t="s">
        <v>331</v>
      </c>
      <c r="HY11" s="1" t="s">
        <v>331</v>
      </c>
      <c r="HZ11" s="1" t="s">
        <v>330</v>
      </c>
      <c r="IA11" s="1" t="s">
        <v>330</v>
      </c>
      <c r="IB11" s="1" t="s">
        <v>333</v>
      </c>
      <c r="IC11" s="1" t="s">
        <v>333</v>
      </c>
      <c r="ID11" s="1" t="s">
        <v>332</v>
      </c>
      <c r="IE11" s="1" t="s">
        <v>332</v>
      </c>
      <c r="IF11" s="1" t="s">
        <v>333</v>
      </c>
      <c r="IG11" s="1" t="s">
        <v>330</v>
      </c>
      <c r="IH11" s="1" t="s">
        <v>333</v>
      </c>
      <c r="II11" s="1" t="s">
        <v>333</v>
      </c>
      <c r="IJ11" s="1" t="s">
        <v>332</v>
      </c>
      <c r="IK11" s="1" t="s">
        <v>333</v>
      </c>
      <c r="IL11" s="1" t="s">
        <v>331</v>
      </c>
      <c r="IM11" s="1" t="s">
        <v>333</v>
      </c>
      <c r="IN11" s="1" t="s">
        <v>333</v>
      </c>
      <c r="IO11" s="1" t="s">
        <v>331</v>
      </c>
      <c r="IP11" s="1" t="s">
        <v>331</v>
      </c>
      <c r="IQ11" s="1" t="s">
        <v>331</v>
      </c>
      <c r="IR11" s="1" t="s">
        <v>333</v>
      </c>
    </row>
    <row r="12" spans="1:252" s="1" customFormat="1" x14ac:dyDescent="0.35">
      <c r="A12" s="1" t="s">
        <v>1721</v>
      </c>
      <c r="D12" s="1" t="s">
        <v>1749</v>
      </c>
      <c r="E12" s="1">
        <v>5714</v>
      </c>
      <c r="G12" s="1" t="s">
        <v>1711</v>
      </c>
      <c r="H12" s="1" t="s">
        <v>311</v>
      </c>
      <c r="I12" s="1" t="s">
        <v>1725</v>
      </c>
      <c r="J12" s="1" t="s">
        <v>1723</v>
      </c>
      <c r="K12" s="1" t="s">
        <v>1724</v>
      </c>
      <c r="M12" s="1">
        <v>1</v>
      </c>
      <c r="N12" s="1">
        <v>1</v>
      </c>
      <c r="O12" s="1">
        <v>1</v>
      </c>
      <c r="P12" s="1">
        <v>0</v>
      </c>
      <c r="Q12" s="1">
        <v>0</v>
      </c>
      <c r="R12" s="1">
        <v>1</v>
      </c>
      <c r="S12" s="1">
        <v>0</v>
      </c>
      <c r="T12" s="1">
        <v>0</v>
      </c>
      <c r="U12" s="1">
        <v>1</v>
      </c>
      <c r="V12" s="1">
        <v>0</v>
      </c>
      <c r="W12" s="1">
        <v>1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1</v>
      </c>
      <c r="AF12" s="1">
        <v>1</v>
      </c>
      <c r="AG12" s="1">
        <v>0</v>
      </c>
      <c r="AH12" s="1">
        <v>1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1</v>
      </c>
      <c r="AP12" s="1">
        <v>0</v>
      </c>
      <c r="AQ12" s="1">
        <v>1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1</v>
      </c>
      <c r="AX12" s="1">
        <v>0</v>
      </c>
      <c r="AY12" s="1">
        <v>1</v>
      </c>
      <c r="AZ12" s="1">
        <v>1</v>
      </c>
      <c r="BA12" s="1">
        <v>1</v>
      </c>
      <c r="BB12" s="1">
        <v>0</v>
      </c>
      <c r="BC12" s="1">
        <v>0</v>
      </c>
      <c r="BD12" s="1">
        <v>0</v>
      </c>
      <c r="BE12" s="1">
        <v>1</v>
      </c>
      <c r="BF12" s="1">
        <v>0</v>
      </c>
      <c r="BG12" s="1">
        <v>0</v>
      </c>
      <c r="BH12" s="1">
        <v>1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1</v>
      </c>
      <c r="BO12" s="1">
        <v>0</v>
      </c>
      <c r="BP12" s="1">
        <v>1</v>
      </c>
      <c r="BQ12" s="1">
        <v>1</v>
      </c>
      <c r="BR12" s="1">
        <v>1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1</v>
      </c>
      <c r="BY12" s="1">
        <v>0</v>
      </c>
      <c r="BZ12" s="1">
        <v>0</v>
      </c>
      <c r="CA12" s="1">
        <v>0</v>
      </c>
      <c r="CB12" s="1">
        <v>1</v>
      </c>
      <c r="CC12" s="1">
        <v>0</v>
      </c>
      <c r="CD12" s="1">
        <v>0</v>
      </c>
      <c r="CE12" s="1">
        <v>1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1</v>
      </c>
      <c r="CL12" s="1">
        <v>1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1</v>
      </c>
      <c r="CS12" s="1">
        <v>0</v>
      </c>
      <c r="CT12" s="1">
        <v>0</v>
      </c>
      <c r="CU12" s="1">
        <v>0</v>
      </c>
      <c r="CV12" s="1">
        <v>0</v>
      </c>
      <c r="CW12" s="1">
        <v>1</v>
      </c>
      <c r="CX12" s="1">
        <v>0</v>
      </c>
      <c r="CY12" s="1">
        <v>0</v>
      </c>
      <c r="CZ12" s="1">
        <v>1</v>
      </c>
      <c r="DA12" s="1">
        <v>1</v>
      </c>
      <c r="DB12" s="1">
        <v>0</v>
      </c>
      <c r="DC12" s="1">
        <v>0</v>
      </c>
      <c r="DD12" s="1">
        <v>1</v>
      </c>
      <c r="DE12" s="1">
        <v>0</v>
      </c>
      <c r="DF12" s="1">
        <v>0</v>
      </c>
      <c r="DG12" s="1">
        <v>0</v>
      </c>
      <c r="DH12" s="1">
        <v>0</v>
      </c>
      <c r="DI12" s="1">
        <v>1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1</v>
      </c>
      <c r="DP12" s="1">
        <v>1</v>
      </c>
      <c r="DQ12" s="1">
        <v>1</v>
      </c>
      <c r="DR12" s="1">
        <v>0</v>
      </c>
      <c r="DS12" s="1">
        <v>0</v>
      </c>
      <c r="DT12" s="1">
        <v>1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1</v>
      </c>
      <c r="EA12" s="1">
        <v>1</v>
      </c>
      <c r="EB12" s="1">
        <v>1</v>
      </c>
      <c r="EC12" s="1" t="s">
        <v>331</v>
      </c>
      <c r="ED12" s="1" t="s">
        <v>333</v>
      </c>
      <c r="EE12" s="1" t="s">
        <v>333</v>
      </c>
      <c r="EF12" s="1" t="s">
        <v>330</v>
      </c>
      <c r="EG12" s="1" t="s">
        <v>333</v>
      </c>
      <c r="EH12" s="1" t="s">
        <v>333</v>
      </c>
      <c r="EI12" s="1" t="s">
        <v>330</v>
      </c>
      <c r="EJ12" s="1" t="s">
        <v>333</v>
      </c>
      <c r="EK12" s="1" t="s">
        <v>333</v>
      </c>
      <c r="EL12" s="1" t="s">
        <v>333</v>
      </c>
      <c r="EM12" s="1" t="s">
        <v>331</v>
      </c>
      <c r="EN12" s="1" t="s">
        <v>332</v>
      </c>
      <c r="EO12" s="1" t="s">
        <v>330</v>
      </c>
      <c r="EP12" s="1" t="s">
        <v>331</v>
      </c>
      <c r="EQ12" s="1" t="s">
        <v>332</v>
      </c>
      <c r="ER12" s="1" t="s">
        <v>332</v>
      </c>
      <c r="ES12" s="1" t="s">
        <v>330</v>
      </c>
      <c r="ET12" s="1" t="s">
        <v>332</v>
      </c>
      <c r="EU12" s="1" t="s">
        <v>332</v>
      </c>
      <c r="EV12" s="1" t="s">
        <v>332</v>
      </c>
      <c r="EW12" s="1" t="s">
        <v>332</v>
      </c>
      <c r="EX12" s="1" t="s">
        <v>331</v>
      </c>
      <c r="EY12" s="1" t="s">
        <v>333</v>
      </c>
      <c r="EZ12" s="1" t="s">
        <v>333</v>
      </c>
      <c r="FA12" s="1" t="s">
        <v>332</v>
      </c>
      <c r="FB12" s="1" t="s">
        <v>332</v>
      </c>
      <c r="FC12" s="1" t="s">
        <v>330</v>
      </c>
      <c r="FD12" s="1" t="s">
        <v>330</v>
      </c>
      <c r="FE12" s="1" t="s">
        <v>331</v>
      </c>
      <c r="FF12" s="1" t="s">
        <v>330</v>
      </c>
      <c r="FG12" s="1" t="s">
        <v>331</v>
      </c>
      <c r="FH12" s="1" t="s">
        <v>331</v>
      </c>
      <c r="FI12" s="1" t="s">
        <v>332</v>
      </c>
      <c r="FJ12" s="1" t="s">
        <v>331</v>
      </c>
      <c r="FK12" s="1" t="s">
        <v>333</v>
      </c>
      <c r="FL12" s="1" t="s">
        <v>331</v>
      </c>
      <c r="FM12" s="1" t="s">
        <v>330</v>
      </c>
      <c r="FN12" s="1" t="s">
        <v>331</v>
      </c>
      <c r="FO12" s="1" t="s">
        <v>331</v>
      </c>
      <c r="FP12" s="1" t="s">
        <v>331</v>
      </c>
      <c r="FQ12" s="1" t="s">
        <v>332</v>
      </c>
      <c r="FR12" s="1" t="s">
        <v>331</v>
      </c>
      <c r="FS12" s="1" t="s">
        <v>333</v>
      </c>
      <c r="FT12" s="1" t="s">
        <v>331</v>
      </c>
      <c r="FU12" s="1" t="s">
        <v>332</v>
      </c>
      <c r="FV12" s="1" t="s">
        <v>332</v>
      </c>
      <c r="FW12" s="1" t="s">
        <v>330</v>
      </c>
      <c r="FX12" s="1" t="s">
        <v>333</v>
      </c>
      <c r="FY12" s="1" t="s">
        <v>330</v>
      </c>
      <c r="FZ12" s="1" t="s">
        <v>332</v>
      </c>
      <c r="GA12" s="1" t="s">
        <v>330</v>
      </c>
      <c r="GB12" s="1" t="s">
        <v>330</v>
      </c>
      <c r="GC12" s="1" t="s">
        <v>330</v>
      </c>
      <c r="GD12" s="1" t="s">
        <v>333</v>
      </c>
      <c r="GE12" s="1" t="s">
        <v>333</v>
      </c>
      <c r="GF12" s="1" t="s">
        <v>333</v>
      </c>
      <c r="GG12" s="1" t="s">
        <v>333</v>
      </c>
      <c r="GH12" s="1" t="s">
        <v>330</v>
      </c>
      <c r="GI12" s="1" t="s">
        <v>331</v>
      </c>
      <c r="GJ12" s="1" t="s">
        <v>330</v>
      </c>
      <c r="GK12" s="1" t="s">
        <v>330</v>
      </c>
      <c r="GL12" s="1" t="s">
        <v>331</v>
      </c>
      <c r="GM12" s="1" t="s">
        <v>331</v>
      </c>
      <c r="GN12" s="1" t="s">
        <v>331</v>
      </c>
      <c r="GO12" s="1" t="s">
        <v>330</v>
      </c>
      <c r="GP12" s="1" t="s">
        <v>333</v>
      </c>
      <c r="GQ12" s="1" t="s">
        <v>332</v>
      </c>
      <c r="GR12" s="1" t="s">
        <v>330</v>
      </c>
      <c r="GS12" s="1" t="s">
        <v>333</v>
      </c>
      <c r="GT12" s="1" t="s">
        <v>330</v>
      </c>
      <c r="GU12" s="1" t="s">
        <v>332</v>
      </c>
      <c r="GV12" s="1" t="s">
        <v>331</v>
      </c>
      <c r="GW12" s="1" t="s">
        <v>332</v>
      </c>
      <c r="GX12" s="1" t="s">
        <v>331</v>
      </c>
      <c r="GY12" s="1" t="s">
        <v>332</v>
      </c>
      <c r="GZ12" s="1" t="s">
        <v>333</v>
      </c>
      <c r="HA12" s="1" t="s">
        <v>330</v>
      </c>
      <c r="HB12" s="1" t="s">
        <v>332</v>
      </c>
      <c r="HC12" s="1" t="s">
        <v>331</v>
      </c>
      <c r="HD12" s="1" t="s">
        <v>331</v>
      </c>
      <c r="HE12" s="1" t="s">
        <v>333</v>
      </c>
      <c r="HF12" s="1" t="s">
        <v>330</v>
      </c>
      <c r="HG12" s="1" t="s">
        <v>333</v>
      </c>
      <c r="HH12" s="1" t="s">
        <v>333</v>
      </c>
      <c r="HI12" s="1" t="s">
        <v>331</v>
      </c>
      <c r="HJ12" s="1" t="s">
        <v>333</v>
      </c>
      <c r="HK12" s="1" t="s">
        <v>331</v>
      </c>
      <c r="HL12" s="1" t="s">
        <v>330</v>
      </c>
      <c r="HM12" s="1" t="s">
        <v>332</v>
      </c>
      <c r="HN12" s="1" t="s">
        <v>332</v>
      </c>
      <c r="HO12" s="1" t="s">
        <v>331</v>
      </c>
      <c r="HP12" s="1" t="s">
        <v>333</v>
      </c>
      <c r="HQ12" s="1" t="s">
        <v>331</v>
      </c>
      <c r="HR12" s="1" t="s">
        <v>331</v>
      </c>
      <c r="HS12" s="1" t="s">
        <v>330</v>
      </c>
      <c r="HT12" s="1" t="s">
        <v>332</v>
      </c>
      <c r="HU12" s="1" t="s">
        <v>330</v>
      </c>
      <c r="HV12" s="1" t="s">
        <v>331</v>
      </c>
      <c r="HW12" s="1" t="s">
        <v>333</v>
      </c>
      <c r="HX12" s="1" t="s">
        <v>332</v>
      </c>
      <c r="HY12" s="1" t="s">
        <v>331</v>
      </c>
      <c r="HZ12" s="1" t="s">
        <v>330</v>
      </c>
      <c r="IA12" s="1" t="s">
        <v>332</v>
      </c>
      <c r="IB12" s="1" t="s">
        <v>330</v>
      </c>
      <c r="IC12" s="1" t="s">
        <v>330</v>
      </c>
      <c r="ID12" s="1" t="s">
        <v>331</v>
      </c>
      <c r="IE12" s="1" t="s">
        <v>330</v>
      </c>
      <c r="IF12" s="1" t="s">
        <v>333</v>
      </c>
      <c r="IG12" s="1" t="s">
        <v>331</v>
      </c>
      <c r="IH12" s="1" t="s">
        <v>331</v>
      </c>
      <c r="II12" s="1" t="s">
        <v>332</v>
      </c>
      <c r="IJ12" s="1" t="s">
        <v>330</v>
      </c>
      <c r="IK12" s="1" t="s">
        <v>331</v>
      </c>
      <c r="IL12" s="1" t="s">
        <v>331</v>
      </c>
      <c r="IM12" s="1" t="s">
        <v>330</v>
      </c>
      <c r="IN12" s="1" t="s">
        <v>330</v>
      </c>
      <c r="IO12" s="1" t="s">
        <v>330</v>
      </c>
      <c r="IP12" s="1" t="s">
        <v>331</v>
      </c>
      <c r="IQ12" s="1" t="s">
        <v>332</v>
      </c>
      <c r="IR12" s="1" t="s">
        <v>331</v>
      </c>
    </row>
    <row r="13" spans="1:252" s="1" customFormat="1" x14ac:dyDescent="0.35">
      <c r="A13" s="1" t="s">
        <v>1721</v>
      </c>
      <c r="D13" s="1" t="s">
        <v>1750</v>
      </c>
      <c r="E13" s="1">
        <v>5801</v>
      </c>
      <c r="G13" s="1" t="s">
        <v>1709</v>
      </c>
      <c r="H13" s="1" t="s">
        <v>311</v>
      </c>
      <c r="I13" s="1" t="s">
        <v>1726</v>
      </c>
      <c r="J13" s="1" t="s">
        <v>1727</v>
      </c>
      <c r="K13" s="1" t="s">
        <v>1724</v>
      </c>
      <c r="M13" s="1">
        <v>1</v>
      </c>
      <c r="N13" s="1">
        <v>0</v>
      </c>
      <c r="O13" s="1">
        <v>1</v>
      </c>
      <c r="P13" s="1">
        <v>0</v>
      </c>
      <c r="Q13" s="1">
        <v>0</v>
      </c>
      <c r="R13" s="1">
        <v>0</v>
      </c>
      <c r="S13" s="1">
        <v>0</v>
      </c>
      <c r="T13" s="1">
        <v>1</v>
      </c>
      <c r="U13" s="1">
        <v>1</v>
      </c>
      <c r="V13" s="1">
        <v>0</v>
      </c>
      <c r="W13" s="1">
        <v>0</v>
      </c>
      <c r="X13" s="1">
        <v>1</v>
      </c>
      <c r="Y13" s="1">
        <v>1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1</v>
      </c>
      <c r="AI13" s="1">
        <v>0</v>
      </c>
      <c r="AJ13" s="1">
        <v>1</v>
      </c>
      <c r="AK13" s="1">
        <v>0</v>
      </c>
      <c r="AL13" s="1">
        <v>0</v>
      </c>
      <c r="AM13" s="1">
        <v>0</v>
      </c>
      <c r="AN13" s="1">
        <v>1</v>
      </c>
      <c r="AO13" s="1">
        <v>1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1</v>
      </c>
      <c r="AV13" s="1">
        <v>1</v>
      </c>
      <c r="AW13" s="1">
        <v>0</v>
      </c>
      <c r="AX13" s="1">
        <v>1</v>
      </c>
      <c r="AY13" s="1">
        <v>0</v>
      </c>
      <c r="AZ13" s="1">
        <v>1</v>
      </c>
      <c r="BA13" s="1">
        <v>1</v>
      </c>
      <c r="BB13" s="1">
        <v>0</v>
      </c>
      <c r="BC13" s="1">
        <v>0</v>
      </c>
      <c r="BD13" s="1">
        <v>1</v>
      </c>
      <c r="BE13" s="1">
        <v>1</v>
      </c>
      <c r="BF13" s="1">
        <v>0</v>
      </c>
      <c r="BG13" s="1">
        <v>0</v>
      </c>
      <c r="BH13" s="1">
        <v>1</v>
      </c>
      <c r="BI13" s="1">
        <v>0</v>
      </c>
      <c r="BJ13" s="1">
        <v>0</v>
      </c>
      <c r="BK13" s="1">
        <v>1</v>
      </c>
      <c r="BL13" s="1">
        <v>0</v>
      </c>
      <c r="BM13" s="1">
        <v>0</v>
      </c>
      <c r="BN13" s="1">
        <v>1</v>
      </c>
      <c r="BO13" s="1">
        <v>0</v>
      </c>
      <c r="BP13" s="1">
        <v>0</v>
      </c>
      <c r="BQ13" s="1">
        <v>1</v>
      </c>
      <c r="BR13" s="1">
        <v>1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1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1</v>
      </c>
      <c r="CE13" s="1">
        <v>0</v>
      </c>
      <c r="CF13" s="1">
        <v>1</v>
      </c>
      <c r="CG13" s="1">
        <v>0</v>
      </c>
      <c r="CH13" s="1">
        <v>1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1</v>
      </c>
      <c r="CR13" s="1">
        <v>1</v>
      </c>
      <c r="CS13" s="1">
        <v>0</v>
      </c>
      <c r="CT13" s="1">
        <v>0</v>
      </c>
      <c r="CU13" s="1">
        <v>1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1</v>
      </c>
      <c r="DB13" s="1">
        <v>0</v>
      </c>
      <c r="DC13" s="1">
        <v>1</v>
      </c>
      <c r="DD13" s="1">
        <v>0</v>
      </c>
      <c r="DE13" s="1">
        <v>0</v>
      </c>
      <c r="DF13" s="1">
        <v>1</v>
      </c>
      <c r="DG13" s="1">
        <v>0</v>
      </c>
      <c r="DH13" s="1">
        <v>1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1</v>
      </c>
      <c r="DP13" s="1">
        <v>1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1</v>
      </c>
      <c r="DY13" s="1">
        <v>0</v>
      </c>
      <c r="DZ13" s="1">
        <v>0</v>
      </c>
      <c r="EA13" s="1">
        <v>1</v>
      </c>
      <c r="EB13" s="1">
        <v>1</v>
      </c>
      <c r="EC13" s="1" t="s">
        <v>331</v>
      </c>
      <c r="ED13" s="1" t="s">
        <v>330</v>
      </c>
      <c r="EE13" s="1" t="s">
        <v>333</v>
      </c>
      <c r="EF13" s="1" t="s">
        <v>331</v>
      </c>
      <c r="EG13" s="1" t="s">
        <v>330</v>
      </c>
      <c r="EH13" s="1" t="s">
        <v>330</v>
      </c>
      <c r="EI13" s="1" t="s">
        <v>330</v>
      </c>
      <c r="EJ13" s="1" t="s">
        <v>331</v>
      </c>
      <c r="EK13" s="1" t="s">
        <v>333</v>
      </c>
      <c r="EL13" s="1" t="s">
        <v>332</v>
      </c>
      <c r="EM13" s="1" t="s">
        <v>333</v>
      </c>
      <c r="EN13" s="1" t="s">
        <v>331</v>
      </c>
      <c r="EO13" s="1" t="s">
        <v>332</v>
      </c>
      <c r="EP13" s="1" t="s">
        <v>331</v>
      </c>
      <c r="EQ13" s="1" t="s">
        <v>330</v>
      </c>
      <c r="ER13" s="1" t="s">
        <v>330</v>
      </c>
      <c r="ES13" s="1" t="s">
        <v>331</v>
      </c>
      <c r="ET13" s="1" t="s">
        <v>333</v>
      </c>
      <c r="EU13" s="1" t="s">
        <v>333</v>
      </c>
      <c r="EV13" s="1" t="s">
        <v>330</v>
      </c>
      <c r="EW13" s="1" t="s">
        <v>332</v>
      </c>
      <c r="EX13" s="1" t="s">
        <v>331</v>
      </c>
      <c r="EY13" s="1" t="s">
        <v>333</v>
      </c>
      <c r="EZ13" s="1" t="s">
        <v>331</v>
      </c>
      <c r="FA13" s="1" t="s">
        <v>330</v>
      </c>
      <c r="FB13" s="1" t="s">
        <v>332</v>
      </c>
      <c r="FC13" s="1" t="s">
        <v>330</v>
      </c>
      <c r="FD13" s="1" t="s">
        <v>331</v>
      </c>
      <c r="FE13" s="1" t="s">
        <v>331</v>
      </c>
      <c r="FF13" s="1" t="s">
        <v>330</v>
      </c>
      <c r="FG13" s="1" t="s">
        <v>333</v>
      </c>
      <c r="FH13" s="1" t="s">
        <v>331</v>
      </c>
      <c r="FI13" s="1" t="s">
        <v>333</v>
      </c>
      <c r="FJ13" s="1" t="s">
        <v>330</v>
      </c>
      <c r="FK13" s="1" t="s">
        <v>330</v>
      </c>
      <c r="FL13" s="1" t="s">
        <v>332</v>
      </c>
      <c r="FM13" s="1" t="s">
        <v>333</v>
      </c>
      <c r="FN13" s="1" t="s">
        <v>332</v>
      </c>
      <c r="FO13" s="1" t="s">
        <v>330</v>
      </c>
      <c r="FP13" s="1" t="s">
        <v>331</v>
      </c>
      <c r="FQ13" s="1" t="s">
        <v>332</v>
      </c>
      <c r="FR13" s="1" t="s">
        <v>331</v>
      </c>
      <c r="FS13" s="1" t="s">
        <v>331</v>
      </c>
      <c r="FT13" s="1" t="s">
        <v>333</v>
      </c>
      <c r="FU13" s="1" t="s">
        <v>332</v>
      </c>
      <c r="FV13" s="1" t="s">
        <v>330</v>
      </c>
      <c r="FW13" s="1" t="s">
        <v>330</v>
      </c>
      <c r="FX13" s="1" t="s">
        <v>333</v>
      </c>
      <c r="FY13" s="1" t="s">
        <v>331</v>
      </c>
      <c r="FZ13" s="1" t="s">
        <v>332</v>
      </c>
      <c r="GA13" s="1" t="s">
        <v>333</v>
      </c>
      <c r="GB13" s="1" t="s">
        <v>332</v>
      </c>
      <c r="GC13" s="1" t="s">
        <v>331</v>
      </c>
      <c r="GD13" s="1" t="s">
        <v>333</v>
      </c>
      <c r="GE13" s="1" t="s">
        <v>332</v>
      </c>
      <c r="GF13" s="1" t="s">
        <v>331</v>
      </c>
      <c r="GG13" s="1" t="s">
        <v>333</v>
      </c>
      <c r="GH13" s="1" t="s">
        <v>330</v>
      </c>
      <c r="GI13" s="1" t="s">
        <v>332</v>
      </c>
      <c r="GJ13" s="1" t="s">
        <v>331</v>
      </c>
      <c r="GK13" s="1" t="s">
        <v>333</v>
      </c>
      <c r="GL13" s="1" t="s">
        <v>331</v>
      </c>
      <c r="GM13" s="1" t="s">
        <v>330</v>
      </c>
      <c r="GN13" s="1" t="s">
        <v>331</v>
      </c>
      <c r="GO13" s="1" t="s">
        <v>333</v>
      </c>
      <c r="GP13" s="1" t="s">
        <v>332</v>
      </c>
      <c r="GQ13" s="1" t="s">
        <v>332</v>
      </c>
      <c r="GR13" s="1" t="s">
        <v>331</v>
      </c>
      <c r="GS13" s="1" t="s">
        <v>333</v>
      </c>
      <c r="GT13" s="1" t="s">
        <v>331</v>
      </c>
      <c r="GU13" s="1" t="s">
        <v>331</v>
      </c>
      <c r="GV13" s="1" t="s">
        <v>330</v>
      </c>
      <c r="GW13" s="1" t="s">
        <v>332</v>
      </c>
      <c r="GX13" s="1" t="s">
        <v>333</v>
      </c>
      <c r="GY13" s="1" t="s">
        <v>330</v>
      </c>
      <c r="GZ13" s="1" t="s">
        <v>330</v>
      </c>
      <c r="HA13" s="1" t="s">
        <v>332</v>
      </c>
      <c r="HB13" s="1" t="s">
        <v>333</v>
      </c>
      <c r="HC13" s="1" t="s">
        <v>333</v>
      </c>
      <c r="HD13" s="1" t="s">
        <v>332</v>
      </c>
      <c r="HE13" s="1" t="s">
        <v>331</v>
      </c>
      <c r="HF13" s="1" t="s">
        <v>330</v>
      </c>
      <c r="HG13" s="1" t="s">
        <v>331</v>
      </c>
      <c r="HH13" s="1" t="s">
        <v>333</v>
      </c>
      <c r="HI13" s="1" t="s">
        <v>331</v>
      </c>
      <c r="HJ13" s="1" t="s">
        <v>332</v>
      </c>
      <c r="HK13" s="1" t="s">
        <v>333</v>
      </c>
      <c r="HL13" s="1" t="s">
        <v>330</v>
      </c>
      <c r="HM13" s="1" t="s">
        <v>331</v>
      </c>
      <c r="HN13" s="1" t="s">
        <v>333</v>
      </c>
      <c r="HO13" s="1" t="s">
        <v>332</v>
      </c>
      <c r="HP13" s="1" t="s">
        <v>331</v>
      </c>
      <c r="HQ13" s="1" t="s">
        <v>331</v>
      </c>
      <c r="HR13" s="1" t="s">
        <v>333</v>
      </c>
      <c r="HS13" s="1" t="s">
        <v>331</v>
      </c>
      <c r="HT13" s="1" t="s">
        <v>333</v>
      </c>
      <c r="HU13" s="1" t="s">
        <v>332</v>
      </c>
      <c r="HV13" s="1" t="s">
        <v>330</v>
      </c>
      <c r="HW13" s="1" t="s">
        <v>333</v>
      </c>
      <c r="HX13" s="1" t="s">
        <v>333</v>
      </c>
      <c r="HY13" s="1" t="s">
        <v>330</v>
      </c>
      <c r="HZ13" s="1" t="s">
        <v>331</v>
      </c>
      <c r="IA13" s="1" t="s">
        <v>332</v>
      </c>
      <c r="IB13" s="1" t="s">
        <v>331</v>
      </c>
      <c r="IC13" s="1" t="s">
        <v>330</v>
      </c>
      <c r="ID13" s="1" t="s">
        <v>333</v>
      </c>
      <c r="IE13" s="1" t="s">
        <v>330</v>
      </c>
      <c r="IF13" s="1" t="s">
        <v>333</v>
      </c>
      <c r="IG13" s="1" t="s">
        <v>330</v>
      </c>
      <c r="IH13" s="1" t="s">
        <v>331</v>
      </c>
      <c r="II13" s="1" t="s">
        <v>332</v>
      </c>
      <c r="IJ13" s="1" t="s">
        <v>331</v>
      </c>
      <c r="IK13" s="1" t="s">
        <v>330</v>
      </c>
      <c r="IL13" s="1" t="s">
        <v>331</v>
      </c>
      <c r="IM13" s="1" t="s">
        <v>332</v>
      </c>
      <c r="IN13" s="1" t="s">
        <v>333</v>
      </c>
      <c r="IO13" s="1" t="s">
        <v>333</v>
      </c>
      <c r="IP13" s="1" t="s">
        <v>330</v>
      </c>
      <c r="IQ13" s="1" t="s">
        <v>332</v>
      </c>
      <c r="IR13" s="1" t="s">
        <v>331</v>
      </c>
    </row>
    <row r="14" spans="1:252" s="1" customFormat="1" x14ac:dyDescent="0.35">
      <c r="A14" s="1" t="s">
        <v>1721</v>
      </c>
      <c r="D14" s="1" t="s">
        <v>1751</v>
      </c>
      <c r="E14" s="1">
        <v>5802</v>
      </c>
      <c r="G14" s="1" t="s">
        <v>1698</v>
      </c>
      <c r="H14" s="1" t="s">
        <v>311</v>
      </c>
      <c r="I14" s="1" t="s">
        <v>1699</v>
      </c>
      <c r="J14" s="1" t="s">
        <v>1727</v>
      </c>
      <c r="K14" s="1" t="s">
        <v>1724</v>
      </c>
      <c r="M14" s="1">
        <v>1</v>
      </c>
      <c r="N14" s="1">
        <v>1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1</v>
      </c>
      <c r="U14" s="1">
        <v>0</v>
      </c>
      <c r="V14" s="1">
        <v>0</v>
      </c>
      <c r="W14" s="1">
        <v>1</v>
      </c>
      <c r="X14" s="1">
        <v>1</v>
      </c>
      <c r="Y14" s="1">
        <v>1</v>
      </c>
      <c r="Z14" s="1">
        <v>0</v>
      </c>
      <c r="AA14" s="1">
        <v>0</v>
      </c>
      <c r="AB14" s="1">
        <v>0</v>
      </c>
      <c r="AC14" s="1">
        <v>1</v>
      </c>
      <c r="AD14" s="1">
        <v>0</v>
      </c>
      <c r="AE14" s="1">
        <v>1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1</v>
      </c>
      <c r="AS14" s="1">
        <v>0</v>
      </c>
      <c r="AT14" s="1">
        <v>0</v>
      </c>
      <c r="AU14" s="1">
        <v>1</v>
      </c>
      <c r="AV14" s="1">
        <v>0</v>
      </c>
      <c r="AW14" s="1">
        <v>1</v>
      </c>
      <c r="AX14" s="1">
        <v>0</v>
      </c>
      <c r="AY14" s="1">
        <v>0</v>
      </c>
      <c r="AZ14" s="1">
        <v>0</v>
      </c>
      <c r="BA14" s="1">
        <v>1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1</v>
      </c>
      <c r="BH14" s="1">
        <v>1</v>
      </c>
      <c r="BI14" s="1">
        <v>0</v>
      </c>
      <c r="BJ14" s="1">
        <v>0</v>
      </c>
      <c r="BK14" s="1">
        <v>0</v>
      </c>
      <c r="BL14" s="1">
        <v>0</v>
      </c>
      <c r="BM14" s="1">
        <v>1</v>
      </c>
      <c r="BN14" s="1">
        <v>1</v>
      </c>
      <c r="BO14" s="1">
        <v>0</v>
      </c>
      <c r="BP14" s="1">
        <v>0</v>
      </c>
      <c r="BQ14" s="1">
        <v>0</v>
      </c>
      <c r="BR14" s="1">
        <v>1</v>
      </c>
      <c r="BS14" s="1">
        <v>0</v>
      </c>
      <c r="BT14" s="1">
        <v>0</v>
      </c>
      <c r="BU14" s="1">
        <v>1</v>
      </c>
      <c r="BV14" s="1">
        <v>0</v>
      </c>
      <c r="BW14" s="1">
        <v>0</v>
      </c>
      <c r="BX14" s="1">
        <v>0</v>
      </c>
      <c r="BY14" s="1">
        <v>1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1</v>
      </c>
      <c r="CF14" s="1">
        <v>0</v>
      </c>
      <c r="CG14" s="1">
        <v>0</v>
      </c>
      <c r="CH14" s="1">
        <v>1</v>
      </c>
      <c r="CI14" s="1">
        <v>0</v>
      </c>
      <c r="CJ14" s="1">
        <v>1</v>
      </c>
      <c r="CK14" s="1">
        <v>0</v>
      </c>
      <c r="CL14" s="1">
        <v>1</v>
      </c>
      <c r="CM14" s="1">
        <v>0</v>
      </c>
      <c r="CN14" s="1">
        <v>0</v>
      </c>
      <c r="CO14" s="1">
        <v>0</v>
      </c>
      <c r="CP14" s="1">
        <v>0</v>
      </c>
      <c r="CQ14" s="1">
        <v>1</v>
      </c>
      <c r="CR14" s="1">
        <v>1</v>
      </c>
      <c r="CS14" s="1">
        <v>0</v>
      </c>
      <c r="CT14" s="1">
        <v>0</v>
      </c>
      <c r="CU14" s="1">
        <v>1</v>
      </c>
      <c r="CV14" s="1">
        <v>1</v>
      </c>
      <c r="CW14" s="1">
        <v>0</v>
      </c>
      <c r="CX14" s="1">
        <v>0</v>
      </c>
      <c r="CY14" s="1">
        <v>0</v>
      </c>
      <c r="CZ14" s="1">
        <v>0</v>
      </c>
      <c r="DA14" s="1">
        <v>1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1</v>
      </c>
      <c r="DL14" s="1">
        <v>0</v>
      </c>
      <c r="DM14" s="1">
        <v>0</v>
      </c>
      <c r="DN14" s="1">
        <v>1</v>
      </c>
      <c r="DO14" s="1">
        <v>0</v>
      </c>
      <c r="DP14" s="1">
        <v>0</v>
      </c>
      <c r="DQ14" s="1">
        <v>1</v>
      </c>
      <c r="DR14" s="1">
        <v>0</v>
      </c>
      <c r="DS14" s="1">
        <v>0</v>
      </c>
      <c r="DT14" s="1">
        <v>0</v>
      </c>
      <c r="DU14" s="1">
        <v>0</v>
      </c>
      <c r="DV14" s="1">
        <v>1</v>
      </c>
      <c r="DW14" s="1">
        <v>1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 t="s">
        <v>331</v>
      </c>
      <c r="ED14" s="1" t="s">
        <v>333</v>
      </c>
      <c r="EE14" s="1" t="s">
        <v>330</v>
      </c>
      <c r="EF14" s="1" t="s">
        <v>331</v>
      </c>
      <c r="EG14" s="1" t="s">
        <v>332</v>
      </c>
      <c r="EH14" s="1" t="s">
        <v>331</v>
      </c>
      <c r="EI14" s="1" t="s">
        <v>330</v>
      </c>
      <c r="EJ14" s="1" t="s">
        <v>331</v>
      </c>
      <c r="EK14" s="1" t="s">
        <v>331</v>
      </c>
      <c r="EL14" s="1" t="s">
        <v>333</v>
      </c>
      <c r="EM14" s="1" t="s">
        <v>331</v>
      </c>
      <c r="EN14" s="1" t="s">
        <v>331</v>
      </c>
      <c r="EO14" s="1" t="s">
        <v>332</v>
      </c>
      <c r="EP14" s="1" t="s">
        <v>333</v>
      </c>
      <c r="EQ14" s="1" t="s">
        <v>330</v>
      </c>
      <c r="ER14" s="1" t="s">
        <v>330</v>
      </c>
      <c r="ES14" s="1" t="s">
        <v>332</v>
      </c>
      <c r="ET14" s="1" t="s">
        <v>330</v>
      </c>
      <c r="EU14" s="1" t="s">
        <v>332</v>
      </c>
      <c r="EV14" s="1" t="s">
        <v>330</v>
      </c>
      <c r="EW14" s="1" t="s">
        <v>330</v>
      </c>
      <c r="EX14" s="1" t="s">
        <v>333</v>
      </c>
      <c r="EY14" s="1" t="s">
        <v>331</v>
      </c>
      <c r="EZ14" s="1" t="s">
        <v>333</v>
      </c>
      <c r="FA14" s="1" t="s">
        <v>332</v>
      </c>
      <c r="FB14" s="1" t="s">
        <v>332</v>
      </c>
      <c r="FC14" s="1" t="s">
        <v>331</v>
      </c>
      <c r="FD14" s="1" t="s">
        <v>332</v>
      </c>
      <c r="FE14" s="1" t="s">
        <v>333</v>
      </c>
      <c r="FF14" s="1" t="s">
        <v>332</v>
      </c>
      <c r="FG14" s="1" t="s">
        <v>330</v>
      </c>
      <c r="FH14" s="1" t="s">
        <v>332</v>
      </c>
      <c r="FI14" s="1" t="s">
        <v>333</v>
      </c>
      <c r="FJ14" s="1" t="s">
        <v>330</v>
      </c>
      <c r="FK14" s="1" t="s">
        <v>330</v>
      </c>
      <c r="FL14" s="1" t="s">
        <v>331</v>
      </c>
      <c r="FM14" s="1" t="s">
        <v>330</v>
      </c>
      <c r="FN14" s="1" t="s">
        <v>331</v>
      </c>
      <c r="FO14" s="1" t="s">
        <v>333</v>
      </c>
      <c r="FP14" s="1" t="s">
        <v>332</v>
      </c>
      <c r="FQ14" s="1" t="s">
        <v>332</v>
      </c>
      <c r="FR14" s="1" t="s">
        <v>333</v>
      </c>
      <c r="FS14" s="1" t="s">
        <v>333</v>
      </c>
      <c r="FT14" s="1" t="s">
        <v>332</v>
      </c>
      <c r="FV14" s="1" t="s">
        <v>330</v>
      </c>
      <c r="FW14" s="1" t="s">
        <v>332</v>
      </c>
      <c r="FX14" s="1" t="s">
        <v>333</v>
      </c>
      <c r="FY14" s="1" t="s">
        <v>331</v>
      </c>
      <c r="FZ14" s="1" t="s">
        <v>332</v>
      </c>
      <c r="GA14" s="1" t="s">
        <v>331</v>
      </c>
      <c r="GB14" s="1" t="s">
        <v>332</v>
      </c>
      <c r="GC14" s="1" t="s">
        <v>332</v>
      </c>
      <c r="GD14" s="1" t="s">
        <v>333</v>
      </c>
      <c r="GE14" s="1" t="s">
        <v>333</v>
      </c>
      <c r="GF14" s="1" t="s">
        <v>330</v>
      </c>
      <c r="GG14" s="1" t="s">
        <v>331</v>
      </c>
      <c r="GH14" s="1" t="s">
        <v>330</v>
      </c>
      <c r="GI14" s="1" t="s">
        <v>332</v>
      </c>
      <c r="GJ14" s="1" t="s">
        <v>333</v>
      </c>
      <c r="GK14" s="1" t="s">
        <v>332</v>
      </c>
      <c r="GL14" s="1" t="s">
        <v>330</v>
      </c>
      <c r="GM14" s="1" t="s">
        <v>330</v>
      </c>
      <c r="GN14" s="1" t="s">
        <v>332</v>
      </c>
      <c r="GO14" s="1" t="s">
        <v>332</v>
      </c>
      <c r="GP14" s="1" t="s">
        <v>332</v>
      </c>
      <c r="GQ14" s="1" t="s">
        <v>332</v>
      </c>
      <c r="GR14" s="1" t="s">
        <v>333</v>
      </c>
      <c r="GS14" s="1" t="s">
        <v>331</v>
      </c>
      <c r="GT14" s="1" t="s">
        <v>333</v>
      </c>
      <c r="GU14" s="1" t="s">
        <v>332</v>
      </c>
      <c r="GV14" s="1" t="s">
        <v>331</v>
      </c>
      <c r="GW14" s="1" t="s">
        <v>330</v>
      </c>
      <c r="GX14" s="1" t="s">
        <v>333</v>
      </c>
      <c r="GY14" s="1" t="s">
        <v>330</v>
      </c>
      <c r="GZ14" s="1" t="s">
        <v>331</v>
      </c>
      <c r="HA14" s="1" t="s">
        <v>332</v>
      </c>
      <c r="HB14" s="1" t="s">
        <v>332</v>
      </c>
      <c r="HC14" s="1" t="s">
        <v>333</v>
      </c>
      <c r="HD14" s="1" t="s">
        <v>331</v>
      </c>
      <c r="HE14" s="1" t="s">
        <v>332</v>
      </c>
      <c r="HF14" s="1" t="s">
        <v>330</v>
      </c>
      <c r="HG14" s="1" t="s">
        <v>331</v>
      </c>
      <c r="HH14" s="1" t="s">
        <v>333</v>
      </c>
      <c r="HI14" s="1" t="s">
        <v>331</v>
      </c>
      <c r="HJ14" s="1" t="s">
        <v>332</v>
      </c>
      <c r="HK14" s="1" t="s">
        <v>333</v>
      </c>
      <c r="HL14" s="1" t="s">
        <v>333</v>
      </c>
      <c r="HM14" s="1" t="s">
        <v>331</v>
      </c>
      <c r="HN14" s="1" t="s">
        <v>333</v>
      </c>
      <c r="HO14" s="1" t="s">
        <v>331</v>
      </c>
      <c r="HP14" s="1" t="s">
        <v>331</v>
      </c>
      <c r="HQ14" s="1" t="s">
        <v>331</v>
      </c>
      <c r="HR14" s="1" t="s">
        <v>331</v>
      </c>
      <c r="HS14" s="1" t="s">
        <v>333</v>
      </c>
      <c r="HT14" s="1" t="s">
        <v>331</v>
      </c>
      <c r="HV14" s="1" t="s">
        <v>333</v>
      </c>
      <c r="HW14" s="1" t="s">
        <v>331</v>
      </c>
      <c r="HX14" s="1" t="s">
        <v>331</v>
      </c>
      <c r="HY14" s="1" t="s">
        <v>330</v>
      </c>
      <c r="HZ14" s="1" t="s">
        <v>330</v>
      </c>
      <c r="IA14" s="1" t="s">
        <v>331</v>
      </c>
      <c r="IB14" s="1" t="s">
        <v>331</v>
      </c>
      <c r="IC14" s="1" t="s">
        <v>330</v>
      </c>
      <c r="ID14" s="1" t="s">
        <v>330</v>
      </c>
      <c r="IE14" s="1" t="s">
        <v>331</v>
      </c>
      <c r="IF14" s="1" t="s">
        <v>330</v>
      </c>
      <c r="IG14" s="1" t="s">
        <v>331</v>
      </c>
      <c r="IH14" s="1" t="s">
        <v>333</v>
      </c>
      <c r="II14" s="1" t="s">
        <v>330</v>
      </c>
      <c r="IJ14" s="1" t="s">
        <v>333</v>
      </c>
      <c r="IK14" s="1" t="s">
        <v>331</v>
      </c>
      <c r="IL14" s="1" t="s">
        <v>333</v>
      </c>
      <c r="IM14" s="1" t="s">
        <v>331</v>
      </c>
      <c r="IN14" s="1" t="s">
        <v>330</v>
      </c>
      <c r="IO14" s="1" t="s">
        <v>332</v>
      </c>
      <c r="IP14" s="1" t="s">
        <v>330</v>
      </c>
      <c r="IQ14" s="1" t="s">
        <v>330</v>
      </c>
      <c r="IR14" s="1" t="s">
        <v>333</v>
      </c>
    </row>
    <row r="15" spans="1:252" s="1" customFormat="1" x14ac:dyDescent="0.35">
      <c r="A15" s="1" t="s">
        <v>1721</v>
      </c>
      <c r="D15" s="1" t="s">
        <v>1752</v>
      </c>
      <c r="E15" s="1">
        <v>5803</v>
      </c>
      <c r="G15" s="1" t="s">
        <v>1728</v>
      </c>
      <c r="H15" s="1" t="s">
        <v>311</v>
      </c>
      <c r="I15" s="1" t="s">
        <v>1729</v>
      </c>
      <c r="J15" s="1" t="s">
        <v>1727</v>
      </c>
      <c r="K15" s="1" t="s">
        <v>1724</v>
      </c>
      <c r="M15" s="1">
        <v>0</v>
      </c>
      <c r="N15" s="1">
        <v>1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1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1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1</v>
      </c>
      <c r="AI15" s="1">
        <v>0</v>
      </c>
      <c r="AJ15" s="1">
        <v>0</v>
      </c>
      <c r="AK15" s="1">
        <v>1</v>
      </c>
      <c r="AL15" s="1">
        <v>1</v>
      </c>
      <c r="AM15" s="1">
        <v>0</v>
      </c>
      <c r="AN15" s="1">
        <v>0</v>
      </c>
      <c r="AO15" s="1">
        <v>1</v>
      </c>
      <c r="AP15" s="1">
        <v>0</v>
      </c>
      <c r="AQ15" s="1">
        <v>0</v>
      </c>
      <c r="AR15" s="1">
        <v>1</v>
      </c>
      <c r="AS15" s="1">
        <v>0</v>
      </c>
      <c r="AT15" s="1">
        <v>0</v>
      </c>
      <c r="AU15" s="1">
        <v>1</v>
      </c>
      <c r="AV15" s="1">
        <v>1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1</v>
      </c>
      <c r="BI15" s="1">
        <v>0</v>
      </c>
      <c r="BJ15" s="1">
        <v>0</v>
      </c>
      <c r="BK15" s="1">
        <v>1</v>
      </c>
      <c r="BL15" s="1">
        <v>0</v>
      </c>
      <c r="BM15" s="1">
        <v>1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1</v>
      </c>
      <c r="CL15" s="1">
        <v>0</v>
      </c>
      <c r="CM15" s="1">
        <v>0</v>
      </c>
      <c r="CN15" s="1">
        <v>1</v>
      </c>
      <c r="CO15" s="1">
        <v>1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1</v>
      </c>
      <c r="CV15" s="1">
        <v>0</v>
      </c>
      <c r="CW15" s="1">
        <v>0</v>
      </c>
      <c r="CX15" s="1">
        <v>0</v>
      </c>
      <c r="CY15" s="1">
        <v>0</v>
      </c>
      <c r="CZ15" s="1">
        <v>1</v>
      </c>
      <c r="DA15" s="1">
        <v>0</v>
      </c>
      <c r="DB15" s="1">
        <v>0</v>
      </c>
      <c r="DC15" s="1">
        <v>1</v>
      </c>
      <c r="DD15" s="1">
        <v>0</v>
      </c>
      <c r="DE15" s="1">
        <v>0</v>
      </c>
      <c r="DF15" s="1">
        <v>1</v>
      </c>
      <c r="DG15" s="1">
        <v>0</v>
      </c>
      <c r="DH15" s="1">
        <v>1</v>
      </c>
      <c r="DI15" s="1">
        <v>1</v>
      </c>
      <c r="DJ15" s="1">
        <v>0</v>
      </c>
      <c r="DK15" s="1">
        <v>0</v>
      </c>
      <c r="DL15" s="1">
        <v>0</v>
      </c>
      <c r="DM15" s="1">
        <v>0</v>
      </c>
      <c r="DN15" s="1">
        <v>1</v>
      </c>
      <c r="DO15" s="1">
        <v>1</v>
      </c>
      <c r="DP15" s="1">
        <v>1</v>
      </c>
      <c r="DQ15" s="1">
        <v>1</v>
      </c>
      <c r="DR15" s="1">
        <v>0</v>
      </c>
      <c r="DS15" s="1">
        <v>1</v>
      </c>
      <c r="DT15" s="1">
        <v>0</v>
      </c>
      <c r="DU15" s="1">
        <v>1</v>
      </c>
      <c r="DV15" s="1">
        <v>0</v>
      </c>
      <c r="DW15" s="1">
        <v>0</v>
      </c>
      <c r="DX15" s="1">
        <v>0</v>
      </c>
      <c r="DY15" s="1">
        <v>0</v>
      </c>
      <c r="DZ15" s="1">
        <v>1</v>
      </c>
      <c r="EA15" s="1">
        <v>0</v>
      </c>
      <c r="EB15" s="1">
        <v>0</v>
      </c>
      <c r="EC15" s="1" t="s">
        <v>332</v>
      </c>
      <c r="ED15" s="1" t="s">
        <v>333</v>
      </c>
      <c r="EE15" s="1" t="s">
        <v>330</v>
      </c>
      <c r="EF15" s="1" t="s">
        <v>331</v>
      </c>
      <c r="EG15" s="1" t="s">
        <v>332</v>
      </c>
      <c r="EH15" s="1" t="s">
        <v>330</v>
      </c>
      <c r="EI15" s="1" t="s">
        <v>330</v>
      </c>
      <c r="EJ15" s="1" t="s">
        <v>331</v>
      </c>
      <c r="EK15" s="1" t="s">
        <v>332</v>
      </c>
      <c r="EL15" s="1" t="s">
        <v>330</v>
      </c>
      <c r="EM15" s="1" t="s">
        <v>330</v>
      </c>
      <c r="EN15" s="1" t="s">
        <v>332</v>
      </c>
      <c r="EO15" s="1" t="s">
        <v>333</v>
      </c>
      <c r="EP15" s="1" t="s">
        <v>330</v>
      </c>
      <c r="EQ15" s="1" t="s">
        <v>332</v>
      </c>
      <c r="ER15" s="1" t="s">
        <v>332</v>
      </c>
      <c r="ES15" s="1" t="s">
        <v>333</v>
      </c>
      <c r="ET15" s="1" t="s">
        <v>333</v>
      </c>
      <c r="EU15" s="1" t="s">
        <v>331</v>
      </c>
      <c r="EV15" s="1" t="s">
        <v>330</v>
      </c>
      <c r="EW15" s="1" t="s">
        <v>331</v>
      </c>
      <c r="EX15" s="1" t="s">
        <v>331</v>
      </c>
      <c r="EY15" s="1" t="s">
        <v>330</v>
      </c>
      <c r="EZ15" s="1" t="s">
        <v>332</v>
      </c>
      <c r="FA15" s="1" t="s">
        <v>331</v>
      </c>
      <c r="FB15" s="1" t="s">
        <v>330</v>
      </c>
      <c r="FC15" s="1" t="s">
        <v>330</v>
      </c>
      <c r="FD15" s="1" t="s">
        <v>330</v>
      </c>
      <c r="FE15" s="1" t="s">
        <v>331</v>
      </c>
      <c r="FF15" s="1" t="s">
        <v>333</v>
      </c>
      <c r="FG15" s="1" t="s">
        <v>332</v>
      </c>
      <c r="FH15" s="1" t="s">
        <v>332</v>
      </c>
      <c r="FI15" s="1" t="s">
        <v>330</v>
      </c>
      <c r="FJ15" s="1" t="s">
        <v>331</v>
      </c>
      <c r="FK15" s="1" t="s">
        <v>330</v>
      </c>
      <c r="FL15" s="1" t="s">
        <v>332</v>
      </c>
      <c r="FM15" s="1" t="s">
        <v>331</v>
      </c>
      <c r="FN15" s="1" t="s">
        <v>330</v>
      </c>
      <c r="FO15" s="1" t="s">
        <v>333</v>
      </c>
      <c r="FP15" s="1" t="s">
        <v>330</v>
      </c>
      <c r="FQ15" s="1" t="s">
        <v>330</v>
      </c>
      <c r="FR15" s="1" t="s">
        <v>333</v>
      </c>
      <c r="FS15" s="1" t="s">
        <v>330</v>
      </c>
      <c r="FT15" s="1" t="s">
        <v>331</v>
      </c>
      <c r="FU15" s="1" t="s">
        <v>330</v>
      </c>
      <c r="FV15" s="1" t="s">
        <v>330</v>
      </c>
      <c r="FW15" s="1" t="s">
        <v>333</v>
      </c>
      <c r="FX15" s="1" t="s">
        <v>333</v>
      </c>
      <c r="FY15" s="1" t="s">
        <v>333</v>
      </c>
      <c r="FZ15" s="1" t="s">
        <v>332</v>
      </c>
      <c r="GA15" s="1" t="s">
        <v>333</v>
      </c>
      <c r="GB15" s="1" t="s">
        <v>333</v>
      </c>
      <c r="GC15" s="1" t="s">
        <v>332</v>
      </c>
      <c r="GD15" s="1" t="s">
        <v>331</v>
      </c>
      <c r="GE15" s="1" t="s">
        <v>330</v>
      </c>
      <c r="GF15" s="1" t="s">
        <v>330</v>
      </c>
      <c r="GG15" s="1" t="s">
        <v>331</v>
      </c>
      <c r="GH15" s="1" t="s">
        <v>333</v>
      </c>
      <c r="GI15" s="1" t="s">
        <v>331</v>
      </c>
      <c r="GJ15" s="1" t="s">
        <v>330</v>
      </c>
      <c r="GK15" s="1" t="s">
        <v>333</v>
      </c>
      <c r="GL15" s="1" t="s">
        <v>330</v>
      </c>
      <c r="GM15" s="1" t="s">
        <v>332</v>
      </c>
      <c r="GN15" s="1" t="s">
        <v>333</v>
      </c>
      <c r="GO15" s="1" t="s">
        <v>330</v>
      </c>
      <c r="GP15" s="1" t="s">
        <v>333</v>
      </c>
      <c r="GQ15" s="1" t="s">
        <v>331</v>
      </c>
      <c r="GR15" s="1" t="s">
        <v>331</v>
      </c>
      <c r="GS15" s="1" t="s">
        <v>331</v>
      </c>
      <c r="GT15" s="1" t="s">
        <v>330</v>
      </c>
      <c r="GU15" s="1" t="s">
        <v>331</v>
      </c>
      <c r="GV15" s="1" t="s">
        <v>333</v>
      </c>
      <c r="GW15" s="1" t="s">
        <v>332</v>
      </c>
      <c r="GX15" s="1" t="s">
        <v>330</v>
      </c>
      <c r="GY15" s="1" t="s">
        <v>331</v>
      </c>
      <c r="GZ15" s="1" t="s">
        <v>330</v>
      </c>
      <c r="HA15" s="1" t="s">
        <v>330</v>
      </c>
      <c r="HB15" s="1" t="s">
        <v>333</v>
      </c>
      <c r="HC15" s="1" t="s">
        <v>330</v>
      </c>
      <c r="HD15" s="1" t="s">
        <v>330</v>
      </c>
      <c r="HE15" s="1" t="s">
        <v>330</v>
      </c>
      <c r="HF15" s="1" t="s">
        <v>330</v>
      </c>
      <c r="HG15" s="1" t="s">
        <v>332</v>
      </c>
      <c r="HH15" s="1" t="s">
        <v>330</v>
      </c>
      <c r="HI15" s="1" t="s">
        <v>331</v>
      </c>
      <c r="HJ15" s="1" t="s">
        <v>330</v>
      </c>
      <c r="HK15" s="1" t="s">
        <v>333</v>
      </c>
      <c r="HL15" s="1" t="s">
        <v>330</v>
      </c>
      <c r="HM15" s="1" t="s">
        <v>333</v>
      </c>
      <c r="HN15" s="1" t="s">
        <v>333</v>
      </c>
      <c r="HO15" s="1" t="s">
        <v>330</v>
      </c>
      <c r="HP15" s="1" t="s">
        <v>333</v>
      </c>
      <c r="HQ15" s="1" t="s">
        <v>333</v>
      </c>
      <c r="HR15" s="1" t="s">
        <v>331</v>
      </c>
      <c r="HS15" s="1" t="s">
        <v>331</v>
      </c>
      <c r="HT15" s="1" t="s">
        <v>333</v>
      </c>
      <c r="HU15" s="1" t="s">
        <v>330</v>
      </c>
      <c r="HV15" s="1" t="s">
        <v>330</v>
      </c>
      <c r="HW15" s="1" t="s">
        <v>333</v>
      </c>
      <c r="HX15" s="1" t="s">
        <v>333</v>
      </c>
      <c r="HY15" s="1" t="s">
        <v>331</v>
      </c>
      <c r="HZ15" s="1" t="s">
        <v>332</v>
      </c>
      <c r="IA15" s="1" t="s">
        <v>330</v>
      </c>
      <c r="IB15" s="1" t="s">
        <v>331</v>
      </c>
      <c r="IC15" s="1" t="s">
        <v>330</v>
      </c>
      <c r="ID15" s="1" t="s">
        <v>330</v>
      </c>
      <c r="IE15" s="1" t="s">
        <v>330</v>
      </c>
      <c r="IF15" s="1" t="s">
        <v>333</v>
      </c>
      <c r="IG15" s="1" t="s">
        <v>331</v>
      </c>
      <c r="IH15" s="1" t="s">
        <v>332</v>
      </c>
      <c r="II15" s="1" t="s">
        <v>331</v>
      </c>
      <c r="IJ15" s="1" t="s">
        <v>331</v>
      </c>
      <c r="IK15" s="1" t="s">
        <v>333</v>
      </c>
      <c r="IL15" s="1" t="s">
        <v>331</v>
      </c>
      <c r="IM15" s="1" t="s">
        <v>330</v>
      </c>
      <c r="IN15" s="1" t="s">
        <v>330</v>
      </c>
      <c r="IO15" s="1" t="s">
        <v>330</v>
      </c>
      <c r="IP15" s="1" t="s">
        <v>331</v>
      </c>
      <c r="IQ15" s="1" t="s">
        <v>331</v>
      </c>
      <c r="IR15" s="1" t="s">
        <v>333</v>
      </c>
    </row>
    <row r="16" spans="1:252" s="1" customFormat="1" x14ac:dyDescent="0.35">
      <c r="A16" s="1" t="s">
        <v>1721</v>
      </c>
      <c r="D16" s="1" t="s">
        <v>1753</v>
      </c>
      <c r="E16" s="1">
        <v>5804</v>
      </c>
      <c r="G16" s="1" t="s">
        <v>1711</v>
      </c>
      <c r="H16" s="1" t="s">
        <v>311</v>
      </c>
      <c r="I16" s="1" t="s">
        <v>1725</v>
      </c>
      <c r="J16" s="1" t="s">
        <v>1727</v>
      </c>
      <c r="K16" s="1" t="s">
        <v>1724</v>
      </c>
      <c r="M16" s="1">
        <v>1</v>
      </c>
      <c r="N16" s="1">
        <v>1</v>
      </c>
      <c r="O16" s="1">
        <v>0</v>
      </c>
      <c r="P16" s="1">
        <v>0</v>
      </c>
      <c r="Q16" s="1">
        <v>0</v>
      </c>
      <c r="R16" s="1">
        <v>1</v>
      </c>
      <c r="S16" s="1">
        <v>1</v>
      </c>
      <c r="T16" s="1">
        <v>0</v>
      </c>
      <c r="U16" s="1">
        <v>1</v>
      </c>
      <c r="V16" s="1">
        <v>0</v>
      </c>
      <c r="W16" s="1">
        <v>0</v>
      </c>
      <c r="X16" s="1">
        <v>0</v>
      </c>
      <c r="Y16" s="1">
        <v>1</v>
      </c>
      <c r="Z16" s="1">
        <v>0</v>
      </c>
      <c r="AA16" s="1">
        <v>1</v>
      </c>
      <c r="AB16" s="1">
        <v>0</v>
      </c>
      <c r="AC16" s="1">
        <v>0</v>
      </c>
      <c r="AD16" s="1">
        <v>0</v>
      </c>
      <c r="AE16" s="1">
        <v>1</v>
      </c>
      <c r="AF16" s="1">
        <v>0</v>
      </c>
      <c r="AG16" s="1">
        <v>0</v>
      </c>
      <c r="AH16" s="1">
        <v>0</v>
      </c>
      <c r="AI16" s="1">
        <v>1</v>
      </c>
      <c r="AJ16" s="1">
        <v>0</v>
      </c>
      <c r="AK16" s="1">
        <v>1</v>
      </c>
      <c r="AL16" s="1">
        <v>1</v>
      </c>
      <c r="AM16" s="1">
        <v>0</v>
      </c>
      <c r="AN16" s="1">
        <v>1</v>
      </c>
      <c r="AO16" s="1">
        <v>1</v>
      </c>
      <c r="AP16" s="1">
        <v>1</v>
      </c>
      <c r="AQ16" s="1">
        <v>0</v>
      </c>
      <c r="AR16" s="1">
        <v>0</v>
      </c>
      <c r="AS16" s="1">
        <v>1</v>
      </c>
      <c r="AT16" s="1">
        <v>1</v>
      </c>
      <c r="AU16" s="1">
        <v>0</v>
      </c>
      <c r="AV16" s="1">
        <v>0</v>
      </c>
      <c r="AW16" s="1">
        <v>1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1</v>
      </c>
      <c r="BI16" s="1">
        <v>1</v>
      </c>
      <c r="BJ16" s="1">
        <v>0</v>
      </c>
      <c r="BK16" s="1">
        <v>0</v>
      </c>
      <c r="BL16" s="1">
        <v>1</v>
      </c>
      <c r="BM16" s="1">
        <v>0</v>
      </c>
      <c r="BN16" s="1">
        <v>1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1</v>
      </c>
      <c r="CA16" s="1">
        <v>0</v>
      </c>
      <c r="CB16" s="1">
        <v>1</v>
      </c>
      <c r="CC16" s="1">
        <v>1</v>
      </c>
      <c r="CD16" s="1">
        <v>1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1</v>
      </c>
      <c r="CK16" s="1">
        <v>1</v>
      </c>
      <c r="CL16" s="1">
        <v>0</v>
      </c>
      <c r="CM16" s="1">
        <v>0</v>
      </c>
      <c r="CN16" s="1">
        <v>1</v>
      </c>
      <c r="CO16" s="1">
        <v>0</v>
      </c>
      <c r="CP16" s="1">
        <v>0</v>
      </c>
      <c r="CQ16" s="1">
        <v>1</v>
      </c>
      <c r="CR16" s="1">
        <v>0</v>
      </c>
      <c r="CS16" s="1">
        <v>1</v>
      </c>
      <c r="CT16" s="1">
        <v>1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1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1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1</v>
      </c>
      <c r="DS16" s="1">
        <v>1</v>
      </c>
      <c r="DT16" s="1">
        <v>0</v>
      </c>
      <c r="DU16" s="1">
        <v>0</v>
      </c>
      <c r="DV16" s="1">
        <v>0</v>
      </c>
      <c r="DW16" s="1">
        <v>0</v>
      </c>
      <c r="DX16" s="1">
        <v>1</v>
      </c>
      <c r="DY16" s="1">
        <v>1</v>
      </c>
      <c r="DZ16" s="1">
        <v>1</v>
      </c>
      <c r="EA16" s="1">
        <v>0</v>
      </c>
      <c r="EB16" s="1">
        <v>1</v>
      </c>
      <c r="EC16" s="1" t="s">
        <v>331</v>
      </c>
      <c r="ED16" s="1" t="s">
        <v>333</v>
      </c>
      <c r="EE16" s="1" t="s">
        <v>331</v>
      </c>
      <c r="EF16" s="1" t="s">
        <v>330</v>
      </c>
      <c r="EG16" s="1" t="s">
        <v>332</v>
      </c>
      <c r="EH16" s="1" t="s">
        <v>333</v>
      </c>
      <c r="EI16" s="1" t="s">
        <v>332</v>
      </c>
      <c r="EJ16" s="1" t="s">
        <v>332</v>
      </c>
      <c r="EK16" s="1" t="s">
        <v>333</v>
      </c>
      <c r="EL16" s="1" t="s">
        <v>333</v>
      </c>
      <c r="EM16" s="1" t="s">
        <v>333</v>
      </c>
      <c r="EN16" s="1" t="s">
        <v>332</v>
      </c>
      <c r="EO16" s="1" t="s">
        <v>332</v>
      </c>
      <c r="EP16" s="1" t="s">
        <v>331</v>
      </c>
      <c r="EQ16" s="1" t="s">
        <v>333</v>
      </c>
      <c r="ER16" s="1" t="s">
        <v>333</v>
      </c>
      <c r="ES16" s="1" t="s">
        <v>330</v>
      </c>
      <c r="ET16" s="1" t="s">
        <v>333</v>
      </c>
      <c r="EU16" s="1" t="s">
        <v>332</v>
      </c>
      <c r="EV16" s="1" t="s">
        <v>331</v>
      </c>
      <c r="EW16" s="1" t="s">
        <v>330</v>
      </c>
      <c r="EX16" s="1" t="s">
        <v>333</v>
      </c>
      <c r="EY16" s="1" t="s">
        <v>332</v>
      </c>
      <c r="EZ16" s="1" t="s">
        <v>333</v>
      </c>
      <c r="FA16" s="1" t="s">
        <v>331</v>
      </c>
      <c r="FB16" s="1" t="s">
        <v>330</v>
      </c>
      <c r="FC16" s="1" t="s">
        <v>330</v>
      </c>
      <c r="FD16" s="1" t="s">
        <v>331</v>
      </c>
      <c r="FE16" s="1" t="s">
        <v>331</v>
      </c>
      <c r="FF16" s="1" t="s">
        <v>331</v>
      </c>
      <c r="FG16" s="1" t="s">
        <v>332</v>
      </c>
      <c r="FH16" s="1" t="s">
        <v>330</v>
      </c>
      <c r="FI16" s="1" t="s">
        <v>331</v>
      </c>
      <c r="FJ16" s="1" t="s">
        <v>332</v>
      </c>
      <c r="FK16" s="1" t="s">
        <v>332</v>
      </c>
      <c r="FL16" s="1" t="s">
        <v>330</v>
      </c>
      <c r="FM16" s="1" t="s">
        <v>330</v>
      </c>
      <c r="FN16" s="1" t="s">
        <v>331</v>
      </c>
      <c r="FO16" s="1" t="s">
        <v>333</v>
      </c>
      <c r="FP16" s="1" t="s">
        <v>332</v>
      </c>
      <c r="FQ16" s="1" t="s">
        <v>333</v>
      </c>
      <c r="FR16" s="1" t="s">
        <v>331</v>
      </c>
      <c r="FS16" s="1" t="s">
        <v>330</v>
      </c>
      <c r="FT16" s="1" t="s">
        <v>331</v>
      </c>
      <c r="FU16" s="1" t="s">
        <v>333</v>
      </c>
      <c r="FV16" s="1" t="s">
        <v>330</v>
      </c>
      <c r="FW16" s="1" t="s">
        <v>330</v>
      </c>
      <c r="FX16" s="1" t="s">
        <v>333</v>
      </c>
      <c r="FY16" s="1" t="s">
        <v>332</v>
      </c>
      <c r="FZ16" s="1" t="s">
        <v>330</v>
      </c>
      <c r="GA16" s="1" t="s">
        <v>331</v>
      </c>
      <c r="GB16" s="1" t="s">
        <v>331</v>
      </c>
      <c r="GC16" s="1" t="s">
        <v>331</v>
      </c>
      <c r="GD16" s="1" t="s">
        <v>333</v>
      </c>
      <c r="GE16" s="1" t="s">
        <v>333</v>
      </c>
      <c r="GF16" s="1" t="s">
        <v>330</v>
      </c>
      <c r="GG16" s="1" t="s">
        <v>332</v>
      </c>
      <c r="GH16" s="1" t="s">
        <v>332</v>
      </c>
      <c r="GI16" s="1" t="s">
        <v>331</v>
      </c>
      <c r="GJ16" s="1" t="s">
        <v>330</v>
      </c>
      <c r="GK16" s="1" t="s">
        <v>333</v>
      </c>
      <c r="GL16" s="1" t="s">
        <v>331</v>
      </c>
      <c r="GM16" s="1" t="s">
        <v>330</v>
      </c>
      <c r="GN16" s="1" t="s">
        <v>332</v>
      </c>
      <c r="GO16" s="1" t="s">
        <v>333</v>
      </c>
      <c r="GP16" s="1" t="s">
        <v>331</v>
      </c>
      <c r="GQ16" s="1" t="s">
        <v>331</v>
      </c>
      <c r="GR16" s="1" t="s">
        <v>330</v>
      </c>
      <c r="GS16" s="1" t="s">
        <v>330</v>
      </c>
      <c r="GT16" s="1" t="s">
        <v>331</v>
      </c>
      <c r="GU16" s="1" t="s">
        <v>330</v>
      </c>
      <c r="GV16" s="1" t="s">
        <v>333</v>
      </c>
      <c r="GW16" s="1" t="s">
        <v>332</v>
      </c>
      <c r="GX16" s="1" t="s">
        <v>330</v>
      </c>
      <c r="GY16" s="1" t="s">
        <v>331</v>
      </c>
      <c r="GZ16" s="1" t="s">
        <v>331</v>
      </c>
      <c r="HA16" s="1" t="s">
        <v>330</v>
      </c>
      <c r="HB16" s="1" t="s">
        <v>330</v>
      </c>
      <c r="HC16" s="1" t="s">
        <v>333</v>
      </c>
      <c r="HD16" s="1" t="s">
        <v>330</v>
      </c>
      <c r="HE16" s="1" t="s">
        <v>333</v>
      </c>
      <c r="HF16" s="1" t="s">
        <v>333</v>
      </c>
      <c r="HG16" s="1" t="s">
        <v>331</v>
      </c>
      <c r="HH16" s="1" t="s">
        <v>330</v>
      </c>
      <c r="HI16" s="1" t="s">
        <v>333</v>
      </c>
      <c r="HJ16" s="1" t="s">
        <v>331</v>
      </c>
      <c r="HK16" s="1" t="s">
        <v>332</v>
      </c>
      <c r="HL16" s="1" t="s">
        <v>330</v>
      </c>
      <c r="HM16" s="1" t="s">
        <v>333</v>
      </c>
      <c r="HN16" s="1" t="s">
        <v>331</v>
      </c>
      <c r="HO16" s="1" t="s">
        <v>331</v>
      </c>
      <c r="HP16" s="1" t="s">
        <v>333</v>
      </c>
      <c r="HQ16" s="1" t="s">
        <v>332</v>
      </c>
      <c r="HR16" s="1" t="s">
        <v>331</v>
      </c>
      <c r="HS16" s="1" t="s">
        <v>330</v>
      </c>
      <c r="HT16" s="1" t="s">
        <v>330</v>
      </c>
      <c r="HU16" s="1" t="s">
        <v>331</v>
      </c>
      <c r="HV16" s="1" t="s">
        <v>333</v>
      </c>
      <c r="HW16" s="1" t="s">
        <v>332</v>
      </c>
      <c r="HX16" s="1" t="s">
        <v>330</v>
      </c>
      <c r="HY16" s="1" t="s">
        <v>333</v>
      </c>
      <c r="HZ16" s="1" t="s">
        <v>332</v>
      </c>
      <c r="IA16" s="1" t="s">
        <v>330</v>
      </c>
      <c r="IB16" s="1" t="s">
        <v>333</v>
      </c>
      <c r="IC16" s="1" t="s">
        <v>331</v>
      </c>
      <c r="ID16" s="1" t="s">
        <v>331</v>
      </c>
      <c r="IE16" s="1" t="s">
        <v>333</v>
      </c>
      <c r="IF16" s="1" t="s">
        <v>332</v>
      </c>
      <c r="IG16" s="1" t="s">
        <v>333</v>
      </c>
      <c r="IH16" s="1" t="s">
        <v>330</v>
      </c>
      <c r="II16" s="1" t="s">
        <v>331</v>
      </c>
      <c r="IJ16" s="1" t="s">
        <v>333</v>
      </c>
      <c r="IK16" s="1" t="s">
        <v>331</v>
      </c>
      <c r="IL16" s="1" t="s">
        <v>331</v>
      </c>
      <c r="IM16" s="1" t="s">
        <v>332</v>
      </c>
      <c r="IN16" s="1" t="s">
        <v>333</v>
      </c>
      <c r="IO16" s="1" t="s">
        <v>331</v>
      </c>
      <c r="IP16" s="1" t="s">
        <v>331</v>
      </c>
      <c r="IQ16" s="1" t="s">
        <v>331</v>
      </c>
      <c r="IR16" s="1" t="s">
        <v>331</v>
      </c>
    </row>
    <row r="17" spans="1:252" s="1" customFormat="1" x14ac:dyDescent="0.35">
      <c r="A17" s="1" t="s">
        <v>1721</v>
      </c>
      <c r="D17" s="1" t="s">
        <v>1754</v>
      </c>
      <c r="E17" s="1">
        <v>5850</v>
      </c>
      <c r="G17" s="1" t="s">
        <v>320</v>
      </c>
      <c r="H17" s="1" t="s">
        <v>311</v>
      </c>
      <c r="I17" s="1" t="s">
        <v>1684</v>
      </c>
      <c r="J17" s="1" t="s">
        <v>1727</v>
      </c>
      <c r="K17" s="1" t="s">
        <v>1724</v>
      </c>
      <c r="M17" s="1">
        <v>1</v>
      </c>
      <c r="N17" s="1">
        <v>0</v>
      </c>
      <c r="O17" s="1">
        <v>0</v>
      </c>
      <c r="P17" s="1">
        <v>0</v>
      </c>
      <c r="Q17" s="1">
        <v>1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1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1</v>
      </c>
      <c r="AF17" s="1">
        <v>0</v>
      </c>
      <c r="AG17" s="1">
        <v>1</v>
      </c>
      <c r="AH17" s="1">
        <v>1</v>
      </c>
      <c r="AI17" s="1">
        <v>0</v>
      </c>
      <c r="AJ17" s="1">
        <v>0</v>
      </c>
      <c r="AK17" s="1">
        <v>0</v>
      </c>
      <c r="AL17" s="1">
        <v>1</v>
      </c>
      <c r="AM17" s="1">
        <v>0</v>
      </c>
      <c r="AN17" s="1">
        <v>0</v>
      </c>
      <c r="AO17" s="1">
        <v>1</v>
      </c>
      <c r="AP17" s="1">
        <v>0</v>
      </c>
      <c r="AQ17" s="1">
        <v>1</v>
      </c>
      <c r="AR17" s="1">
        <v>1</v>
      </c>
      <c r="AS17" s="1">
        <v>0</v>
      </c>
      <c r="AT17" s="1">
        <v>0</v>
      </c>
      <c r="AU17" s="1">
        <v>1</v>
      </c>
      <c r="AV17" s="1">
        <v>1</v>
      </c>
      <c r="AW17" s="1">
        <v>1</v>
      </c>
      <c r="AX17" s="1">
        <v>0</v>
      </c>
      <c r="AY17" s="1">
        <v>1</v>
      </c>
      <c r="AZ17" s="1">
        <v>0</v>
      </c>
      <c r="BA17" s="1">
        <v>0</v>
      </c>
      <c r="BB17" s="1">
        <v>1</v>
      </c>
      <c r="BC17" s="1">
        <v>1</v>
      </c>
      <c r="BD17" s="1">
        <v>0</v>
      </c>
      <c r="BE17" s="1">
        <v>0</v>
      </c>
      <c r="BF17" s="1">
        <v>0</v>
      </c>
      <c r="BG17" s="1">
        <v>0</v>
      </c>
      <c r="BH17" s="1">
        <v>1</v>
      </c>
      <c r="BI17" s="1">
        <v>1</v>
      </c>
      <c r="BJ17" s="1">
        <v>0</v>
      </c>
      <c r="BK17" s="1">
        <v>0</v>
      </c>
      <c r="BL17" s="1">
        <v>1</v>
      </c>
      <c r="BM17" s="1">
        <v>1</v>
      </c>
      <c r="BN17" s="1">
        <v>0</v>
      </c>
      <c r="BO17" s="1">
        <v>1</v>
      </c>
      <c r="BP17" s="1">
        <v>1</v>
      </c>
      <c r="BQ17" s="1">
        <v>1</v>
      </c>
      <c r="BR17" s="1">
        <v>1</v>
      </c>
      <c r="BS17" s="1">
        <v>0</v>
      </c>
      <c r="BT17" s="1">
        <v>0</v>
      </c>
      <c r="BU17" s="1">
        <v>0</v>
      </c>
      <c r="BV17" s="1">
        <v>1</v>
      </c>
      <c r="BW17" s="1">
        <v>1</v>
      </c>
      <c r="BX17" s="1">
        <v>1</v>
      </c>
      <c r="BY17" s="1">
        <v>0</v>
      </c>
      <c r="BZ17" s="1">
        <v>1</v>
      </c>
      <c r="CA17" s="1">
        <v>0</v>
      </c>
      <c r="CB17" s="1">
        <v>1</v>
      </c>
      <c r="CC17" s="1">
        <v>1</v>
      </c>
      <c r="CD17" s="1">
        <v>0</v>
      </c>
      <c r="CE17" s="1">
        <v>1</v>
      </c>
      <c r="CF17" s="1">
        <v>0</v>
      </c>
      <c r="CG17" s="1">
        <v>0</v>
      </c>
      <c r="CH17" s="1">
        <v>1</v>
      </c>
      <c r="CI17" s="1">
        <v>1</v>
      </c>
      <c r="CJ17" s="1">
        <v>0</v>
      </c>
      <c r="CK17" s="1">
        <v>1</v>
      </c>
      <c r="CL17" s="1">
        <v>1</v>
      </c>
      <c r="CM17" s="1">
        <v>0</v>
      </c>
      <c r="CN17" s="1">
        <v>1</v>
      </c>
      <c r="CO17" s="1">
        <v>1</v>
      </c>
      <c r="CP17" s="1">
        <v>0</v>
      </c>
      <c r="CQ17" s="1">
        <v>1</v>
      </c>
      <c r="CR17" s="1">
        <v>0</v>
      </c>
      <c r="CS17" s="1">
        <v>1</v>
      </c>
      <c r="CT17" s="1">
        <v>1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1</v>
      </c>
      <c r="DA17" s="1">
        <v>0</v>
      </c>
      <c r="DB17" s="1">
        <v>0</v>
      </c>
      <c r="DC17" s="1">
        <v>0</v>
      </c>
      <c r="DD17" s="1">
        <v>1</v>
      </c>
      <c r="DE17" s="1">
        <v>0</v>
      </c>
      <c r="DF17" s="1">
        <v>1</v>
      </c>
      <c r="DG17" s="1">
        <v>1</v>
      </c>
      <c r="DH17" s="1">
        <v>1</v>
      </c>
      <c r="DI17" s="1">
        <v>1</v>
      </c>
      <c r="DJ17" s="1">
        <v>0</v>
      </c>
      <c r="DK17" s="1">
        <v>1</v>
      </c>
      <c r="DL17" s="1">
        <v>0</v>
      </c>
      <c r="DM17" s="1">
        <v>0</v>
      </c>
      <c r="DN17" s="1">
        <v>1</v>
      </c>
      <c r="DO17" s="1">
        <v>0</v>
      </c>
      <c r="DP17" s="1">
        <v>1</v>
      </c>
      <c r="DQ17" s="1">
        <v>0</v>
      </c>
      <c r="DR17" s="1">
        <v>1</v>
      </c>
      <c r="DS17" s="1">
        <v>0</v>
      </c>
      <c r="DT17" s="1">
        <v>0</v>
      </c>
      <c r="DU17" s="1">
        <v>0</v>
      </c>
      <c r="DV17" s="1">
        <v>1</v>
      </c>
      <c r="DW17" s="1">
        <v>0</v>
      </c>
      <c r="DX17" s="1">
        <v>1</v>
      </c>
      <c r="DY17" s="1">
        <v>0</v>
      </c>
      <c r="DZ17" s="1">
        <v>1</v>
      </c>
      <c r="EA17" s="1">
        <v>1</v>
      </c>
      <c r="EB17" s="1">
        <v>1</v>
      </c>
      <c r="EC17" s="1" t="s">
        <v>331</v>
      </c>
      <c r="ED17" s="1" t="s">
        <v>330</v>
      </c>
      <c r="EE17" s="1" t="s">
        <v>332</v>
      </c>
      <c r="EF17" s="1" t="s">
        <v>332</v>
      </c>
      <c r="EG17" s="1" t="s">
        <v>331</v>
      </c>
      <c r="EH17" s="1" t="s">
        <v>330</v>
      </c>
      <c r="EI17" s="1" t="s">
        <v>330</v>
      </c>
      <c r="EJ17" s="1" t="s">
        <v>333</v>
      </c>
      <c r="EK17" s="1" t="s">
        <v>331</v>
      </c>
      <c r="EL17" s="1" t="s">
        <v>330</v>
      </c>
      <c r="EM17" s="1" t="s">
        <v>333</v>
      </c>
      <c r="EN17" s="1" t="s">
        <v>331</v>
      </c>
      <c r="EO17" s="1" t="s">
        <v>331</v>
      </c>
      <c r="EP17" s="1" t="s">
        <v>332</v>
      </c>
      <c r="EQ17" s="1" t="s">
        <v>330</v>
      </c>
      <c r="ER17" s="1" t="s">
        <v>330</v>
      </c>
      <c r="ES17" s="1" t="s">
        <v>330</v>
      </c>
      <c r="ET17" s="1" t="s">
        <v>332</v>
      </c>
      <c r="EU17" s="1" t="s">
        <v>332</v>
      </c>
      <c r="EV17" s="1" t="s">
        <v>330</v>
      </c>
      <c r="EW17" s="1" t="s">
        <v>333</v>
      </c>
      <c r="EX17" s="1" t="s">
        <v>331</v>
      </c>
      <c r="EY17" s="1" t="s">
        <v>333</v>
      </c>
      <c r="EZ17" s="1" t="s">
        <v>332</v>
      </c>
      <c r="FA17" s="1" t="s">
        <v>330</v>
      </c>
      <c r="FB17" s="1" t="s">
        <v>330</v>
      </c>
      <c r="FC17" s="1" t="s">
        <v>330</v>
      </c>
      <c r="FD17" s="1" t="s">
        <v>330</v>
      </c>
      <c r="FE17" s="1" t="s">
        <v>331</v>
      </c>
      <c r="FF17" s="1" t="s">
        <v>330</v>
      </c>
      <c r="FG17" s="1" t="s">
        <v>331</v>
      </c>
      <c r="FH17" s="1" t="s">
        <v>332</v>
      </c>
      <c r="FI17" s="1" t="s">
        <v>333</v>
      </c>
      <c r="FJ17" s="1" t="s">
        <v>331</v>
      </c>
      <c r="FK17" s="1" t="s">
        <v>330</v>
      </c>
      <c r="FL17" s="1" t="s">
        <v>332</v>
      </c>
      <c r="FM17" s="1" t="s">
        <v>330</v>
      </c>
      <c r="FN17" s="1" t="s">
        <v>333</v>
      </c>
      <c r="FO17" s="1" t="s">
        <v>331</v>
      </c>
      <c r="FP17" s="1" t="s">
        <v>332</v>
      </c>
      <c r="FQ17" s="1" t="s">
        <v>330</v>
      </c>
      <c r="FR17" s="1" t="s">
        <v>332</v>
      </c>
      <c r="FS17" s="1" t="s">
        <v>332</v>
      </c>
      <c r="FT17" s="1" t="s">
        <v>331</v>
      </c>
      <c r="FU17" s="1" t="s">
        <v>330</v>
      </c>
      <c r="FV17" s="1" t="s">
        <v>330</v>
      </c>
      <c r="FW17" s="1" t="s">
        <v>333</v>
      </c>
      <c r="FX17" s="1" t="s">
        <v>333</v>
      </c>
      <c r="FY17" s="1" t="s">
        <v>332</v>
      </c>
      <c r="FZ17" s="1" t="s">
        <v>332</v>
      </c>
      <c r="GA17" s="1" t="s">
        <v>330</v>
      </c>
      <c r="GB17" s="1" t="s">
        <v>331</v>
      </c>
      <c r="GC17" s="1" t="s">
        <v>332</v>
      </c>
      <c r="GD17" s="1" t="s">
        <v>331</v>
      </c>
      <c r="GE17" s="1" t="s">
        <v>331</v>
      </c>
      <c r="GF17" s="1" t="s">
        <v>333</v>
      </c>
      <c r="GG17" s="1" t="s">
        <v>333</v>
      </c>
      <c r="GH17" s="1" t="s">
        <v>330</v>
      </c>
      <c r="GI17" s="1" t="s">
        <v>332</v>
      </c>
      <c r="GJ17" s="1" t="s">
        <v>330</v>
      </c>
      <c r="GK17" s="1" t="s">
        <v>333</v>
      </c>
      <c r="GL17" s="1" t="s">
        <v>332</v>
      </c>
      <c r="GM17" s="1" t="s">
        <v>333</v>
      </c>
      <c r="GN17" s="1" t="s">
        <v>331</v>
      </c>
      <c r="GO17" s="1" t="s">
        <v>330</v>
      </c>
      <c r="GP17" s="1" t="s">
        <v>331</v>
      </c>
      <c r="GQ17" s="1" t="s">
        <v>332</v>
      </c>
      <c r="GR17" s="1" t="s">
        <v>330</v>
      </c>
      <c r="GS17" s="1" t="s">
        <v>330</v>
      </c>
      <c r="GT17" s="1" t="s">
        <v>332</v>
      </c>
      <c r="GU17" s="1" t="s">
        <v>332</v>
      </c>
      <c r="GV17" s="1" t="s">
        <v>331</v>
      </c>
      <c r="GW17" s="1" t="s">
        <v>332</v>
      </c>
      <c r="GX17" s="1" t="s">
        <v>333</v>
      </c>
      <c r="GY17" s="1" t="s">
        <v>333</v>
      </c>
      <c r="GZ17" s="1" t="s">
        <v>332</v>
      </c>
      <c r="HA17" s="1" t="s">
        <v>330</v>
      </c>
      <c r="HB17" s="1" t="s">
        <v>332</v>
      </c>
      <c r="HC17" s="1" t="s">
        <v>330</v>
      </c>
      <c r="HD17" s="1" t="s">
        <v>330</v>
      </c>
      <c r="HE17" s="1" t="s">
        <v>330</v>
      </c>
      <c r="HF17" s="1" t="s">
        <v>332</v>
      </c>
      <c r="HG17" s="1" t="s">
        <v>331</v>
      </c>
      <c r="HH17" s="1" t="s">
        <v>332</v>
      </c>
      <c r="HI17" s="1" t="s">
        <v>333</v>
      </c>
      <c r="HJ17" s="1" t="s">
        <v>331</v>
      </c>
      <c r="HK17" s="1" t="s">
        <v>332</v>
      </c>
      <c r="HL17" s="1" t="s">
        <v>331</v>
      </c>
      <c r="HM17" s="1" t="s">
        <v>333</v>
      </c>
      <c r="HN17" s="1" t="s">
        <v>332</v>
      </c>
      <c r="HO17" s="1" t="s">
        <v>332</v>
      </c>
      <c r="HP17" s="1" t="s">
        <v>333</v>
      </c>
      <c r="HQ17" s="1" t="s">
        <v>333</v>
      </c>
      <c r="HR17" s="1" t="s">
        <v>331</v>
      </c>
      <c r="HS17" s="1" t="s">
        <v>333</v>
      </c>
      <c r="HT17" s="1" t="s">
        <v>332</v>
      </c>
      <c r="HU17" s="1" t="s">
        <v>331</v>
      </c>
      <c r="HV17" s="1" t="s">
        <v>330</v>
      </c>
      <c r="HW17" s="1" t="s">
        <v>330</v>
      </c>
      <c r="HX17" s="1" t="s">
        <v>333</v>
      </c>
      <c r="HY17" s="1" t="s">
        <v>331</v>
      </c>
      <c r="HZ17" s="1" t="s">
        <v>332</v>
      </c>
      <c r="IA17" s="1" t="s">
        <v>331</v>
      </c>
      <c r="IB17" s="1" t="s">
        <v>331</v>
      </c>
      <c r="IC17" s="1" t="s">
        <v>332</v>
      </c>
      <c r="ID17" s="1" t="s">
        <v>330</v>
      </c>
      <c r="IE17" s="1" t="s">
        <v>333</v>
      </c>
      <c r="IF17" s="1" t="s">
        <v>333</v>
      </c>
      <c r="IG17" s="1" t="s">
        <v>333</v>
      </c>
      <c r="IH17" s="1" t="s">
        <v>330</v>
      </c>
      <c r="II17" s="1" t="s">
        <v>330</v>
      </c>
      <c r="IJ17" s="1" t="s">
        <v>333</v>
      </c>
      <c r="IK17" s="1" t="s">
        <v>332</v>
      </c>
      <c r="IL17" s="1" t="s">
        <v>333</v>
      </c>
      <c r="IM17" s="1" t="s">
        <v>332</v>
      </c>
      <c r="IN17" s="1" t="s">
        <v>333</v>
      </c>
      <c r="IO17" s="1" t="s">
        <v>333</v>
      </c>
      <c r="IP17" s="1" t="s">
        <v>331</v>
      </c>
      <c r="IQ17" s="1" t="s">
        <v>332</v>
      </c>
      <c r="IR17" s="1" t="s">
        <v>331</v>
      </c>
    </row>
    <row r="18" spans="1:252" s="1" customFormat="1" x14ac:dyDescent="0.35">
      <c r="A18" s="1" t="s">
        <v>1721</v>
      </c>
      <c r="D18" s="1" t="s">
        <v>1755</v>
      </c>
      <c r="E18" s="1">
        <v>5806</v>
      </c>
      <c r="G18" s="1" t="s">
        <v>1685</v>
      </c>
      <c r="H18" s="1" t="s">
        <v>311</v>
      </c>
      <c r="I18" s="1" t="s">
        <v>1686</v>
      </c>
      <c r="J18" s="1" t="s">
        <v>1727</v>
      </c>
      <c r="K18" s="1" t="s">
        <v>1724</v>
      </c>
      <c r="M18" s="1">
        <v>1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1</v>
      </c>
      <c r="U18" s="1">
        <v>1</v>
      </c>
      <c r="V18" s="1">
        <v>1</v>
      </c>
      <c r="W18" s="1">
        <v>1</v>
      </c>
      <c r="X18" s="1">
        <v>0</v>
      </c>
      <c r="Y18" s="1">
        <v>0</v>
      </c>
      <c r="Z18" s="1">
        <v>0</v>
      </c>
      <c r="AA18" s="1">
        <v>0</v>
      </c>
      <c r="AB18" s="1">
        <v>1</v>
      </c>
      <c r="AC18" s="1">
        <v>1</v>
      </c>
      <c r="AD18" s="1">
        <v>0</v>
      </c>
      <c r="AE18" s="1">
        <v>0</v>
      </c>
      <c r="AF18" s="1">
        <v>1</v>
      </c>
      <c r="AG18" s="1">
        <v>0</v>
      </c>
      <c r="AH18" s="1">
        <v>1</v>
      </c>
      <c r="AI18" s="1">
        <v>0</v>
      </c>
      <c r="AJ18" s="1">
        <v>1</v>
      </c>
      <c r="AK18" s="1">
        <v>1</v>
      </c>
      <c r="AL18" s="1">
        <v>0</v>
      </c>
      <c r="AM18" s="1">
        <v>0</v>
      </c>
      <c r="AN18" s="1">
        <v>1</v>
      </c>
      <c r="AO18" s="1">
        <v>1</v>
      </c>
      <c r="AP18" s="1">
        <v>0</v>
      </c>
      <c r="AQ18" s="1">
        <v>1</v>
      </c>
      <c r="AR18" s="1">
        <v>1</v>
      </c>
      <c r="AS18" s="1">
        <v>1</v>
      </c>
      <c r="AT18" s="1">
        <v>0</v>
      </c>
      <c r="AU18" s="1">
        <v>1</v>
      </c>
      <c r="AV18" s="1">
        <v>1</v>
      </c>
      <c r="AW18" s="1">
        <v>0</v>
      </c>
      <c r="AX18" s="1">
        <v>0</v>
      </c>
      <c r="AY18" s="1">
        <v>0</v>
      </c>
      <c r="AZ18" s="1">
        <v>1</v>
      </c>
      <c r="BA18" s="1">
        <v>1</v>
      </c>
      <c r="BB18" s="1">
        <v>0</v>
      </c>
      <c r="BC18" s="1">
        <v>0</v>
      </c>
      <c r="BD18" s="1">
        <v>1</v>
      </c>
      <c r="BE18" s="1">
        <v>1</v>
      </c>
      <c r="BF18" s="1">
        <v>0</v>
      </c>
      <c r="BG18" s="1">
        <v>0</v>
      </c>
      <c r="BH18" s="1">
        <v>1</v>
      </c>
      <c r="BI18" s="1">
        <v>1</v>
      </c>
      <c r="BJ18" s="1">
        <v>0</v>
      </c>
      <c r="BK18" s="1">
        <v>1</v>
      </c>
      <c r="BL18" s="1">
        <v>0</v>
      </c>
      <c r="BM18" s="1">
        <v>0</v>
      </c>
      <c r="BN18" s="1">
        <v>1</v>
      </c>
      <c r="BO18" s="1">
        <v>0</v>
      </c>
      <c r="BP18" s="1">
        <v>0</v>
      </c>
      <c r="BQ18" s="1">
        <v>0</v>
      </c>
      <c r="BR18" s="1">
        <v>1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1</v>
      </c>
      <c r="CC18" s="1">
        <v>0</v>
      </c>
      <c r="CD18" s="1">
        <v>0</v>
      </c>
      <c r="CE18" s="1">
        <v>1</v>
      </c>
      <c r="CF18" s="1">
        <v>1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1</v>
      </c>
      <c r="CU18" s="1">
        <v>0</v>
      </c>
      <c r="CV18" s="1">
        <v>0</v>
      </c>
      <c r="CW18" s="1">
        <v>0</v>
      </c>
      <c r="CX18" s="1">
        <v>0</v>
      </c>
      <c r="CY18" s="1">
        <v>1</v>
      </c>
      <c r="CZ18" s="1">
        <v>1</v>
      </c>
      <c r="DA18" s="1">
        <v>0</v>
      </c>
      <c r="DB18" s="1">
        <v>1</v>
      </c>
      <c r="DC18" s="1">
        <v>0</v>
      </c>
      <c r="DD18" s="1">
        <v>0</v>
      </c>
      <c r="DE18" s="1">
        <v>0</v>
      </c>
      <c r="DF18" s="1">
        <v>1</v>
      </c>
      <c r="DG18" s="1">
        <v>0</v>
      </c>
      <c r="DH18" s="1">
        <v>1</v>
      </c>
      <c r="DI18" s="1">
        <v>0</v>
      </c>
      <c r="DJ18" s="1">
        <v>0</v>
      </c>
      <c r="DK18" s="1">
        <v>0</v>
      </c>
      <c r="DL18" s="1">
        <v>0</v>
      </c>
      <c r="DM18" s="1">
        <v>1</v>
      </c>
      <c r="DN18" s="1">
        <v>0</v>
      </c>
      <c r="DO18" s="1">
        <v>1</v>
      </c>
      <c r="DP18" s="1">
        <v>1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1</v>
      </c>
      <c r="DW18" s="1">
        <v>0</v>
      </c>
      <c r="DX18" s="1">
        <v>0</v>
      </c>
      <c r="DY18" s="1">
        <v>0</v>
      </c>
      <c r="DZ18" s="1">
        <v>0</v>
      </c>
      <c r="EA18" s="1">
        <v>1</v>
      </c>
      <c r="EB18" s="1">
        <v>1</v>
      </c>
      <c r="EC18" s="1" t="s">
        <v>331</v>
      </c>
      <c r="ED18" s="1" t="s">
        <v>331</v>
      </c>
      <c r="EE18" s="1" t="s">
        <v>330</v>
      </c>
      <c r="EF18" s="1" t="s">
        <v>331</v>
      </c>
      <c r="EG18" s="1" t="s">
        <v>332</v>
      </c>
      <c r="EH18" s="1" t="s">
        <v>330</v>
      </c>
      <c r="EI18" s="1" t="s">
        <v>330</v>
      </c>
      <c r="EJ18" s="1" t="s">
        <v>331</v>
      </c>
      <c r="EK18" s="1" t="s">
        <v>333</v>
      </c>
      <c r="EL18" s="1" t="s">
        <v>331</v>
      </c>
      <c r="EM18" s="1" t="s">
        <v>331</v>
      </c>
      <c r="EN18" s="1" t="s">
        <v>332</v>
      </c>
      <c r="EO18" s="1" t="s">
        <v>331</v>
      </c>
      <c r="EP18" s="1" t="s">
        <v>331</v>
      </c>
      <c r="EQ18" s="1" t="s">
        <v>332</v>
      </c>
      <c r="ER18" s="1" t="s">
        <v>331</v>
      </c>
      <c r="ES18" s="1" t="s">
        <v>332</v>
      </c>
      <c r="ET18" s="1" t="s">
        <v>330</v>
      </c>
      <c r="EU18" s="1" t="s">
        <v>333</v>
      </c>
      <c r="EV18" s="1" t="s">
        <v>332</v>
      </c>
      <c r="EW18" s="1" t="s">
        <v>332</v>
      </c>
      <c r="EX18" s="1" t="s">
        <v>331</v>
      </c>
      <c r="EY18" s="1" t="s">
        <v>330</v>
      </c>
      <c r="EZ18" s="1" t="s">
        <v>331</v>
      </c>
      <c r="FA18" s="1" t="s">
        <v>331</v>
      </c>
      <c r="FB18" s="1" t="s">
        <v>333</v>
      </c>
      <c r="FC18" s="1" t="s">
        <v>332</v>
      </c>
      <c r="FD18" s="1" t="s">
        <v>331</v>
      </c>
      <c r="FE18" s="1" t="s">
        <v>331</v>
      </c>
      <c r="FF18" s="1" t="s">
        <v>333</v>
      </c>
      <c r="FG18" s="1" t="s">
        <v>331</v>
      </c>
      <c r="FH18" s="1" t="s">
        <v>332</v>
      </c>
      <c r="FI18" s="1" t="s">
        <v>331</v>
      </c>
      <c r="FJ18" s="1" t="s">
        <v>331</v>
      </c>
      <c r="FK18" s="1" t="s">
        <v>330</v>
      </c>
      <c r="FL18" s="1" t="s">
        <v>332</v>
      </c>
      <c r="FM18" s="1" t="s">
        <v>332</v>
      </c>
      <c r="FN18" s="1" t="s">
        <v>330</v>
      </c>
      <c r="FO18" s="1" t="s">
        <v>330</v>
      </c>
      <c r="FP18" s="1" t="s">
        <v>331</v>
      </c>
      <c r="FQ18" s="1" t="s">
        <v>332</v>
      </c>
      <c r="FR18" s="1" t="s">
        <v>330</v>
      </c>
      <c r="FS18" s="1" t="s">
        <v>331</v>
      </c>
      <c r="FT18" s="1" t="s">
        <v>333</v>
      </c>
      <c r="FU18" s="1" t="s">
        <v>332</v>
      </c>
      <c r="FV18" s="1" t="s">
        <v>332</v>
      </c>
      <c r="FW18" s="1" t="s">
        <v>331</v>
      </c>
      <c r="FX18" s="1" t="s">
        <v>333</v>
      </c>
      <c r="FY18" s="1" t="s">
        <v>332</v>
      </c>
      <c r="FZ18" s="1" t="s">
        <v>333</v>
      </c>
      <c r="GA18" s="1" t="s">
        <v>333</v>
      </c>
      <c r="GB18" s="1" t="s">
        <v>332</v>
      </c>
      <c r="GC18" s="1" t="s">
        <v>330</v>
      </c>
      <c r="GD18" s="1" t="s">
        <v>333</v>
      </c>
      <c r="GE18" s="1" t="s">
        <v>333</v>
      </c>
      <c r="GF18" s="1" t="s">
        <v>331</v>
      </c>
      <c r="GG18" s="1" t="s">
        <v>330</v>
      </c>
      <c r="GH18" s="1" t="s">
        <v>330</v>
      </c>
      <c r="GI18" s="1" t="s">
        <v>333</v>
      </c>
      <c r="GJ18" s="1" t="s">
        <v>330</v>
      </c>
      <c r="GK18" s="1" t="s">
        <v>330</v>
      </c>
      <c r="GL18" s="1" t="s">
        <v>331</v>
      </c>
      <c r="GM18" s="1" t="s">
        <v>330</v>
      </c>
      <c r="GN18" s="1" t="s">
        <v>330</v>
      </c>
      <c r="GO18" s="1" t="s">
        <v>331</v>
      </c>
      <c r="GP18" s="1" t="s">
        <v>333</v>
      </c>
      <c r="GQ18" s="1" t="s">
        <v>331</v>
      </c>
      <c r="GR18" s="1" t="s">
        <v>330</v>
      </c>
      <c r="GS18" s="1" t="s">
        <v>332</v>
      </c>
      <c r="GT18" s="1" t="s">
        <v>330</v>
      </c>
      <c r="GU18" s="1" t="s">
        <v>332</v>
      </c>
      <c r="GV18" s="1" t="s">
        <v>330</v>
      </c>
      <c r="GW18" s="1" t="s">
        <v>330</v>
      </c>
      <c r="GX18" s="1" t="s">
        <v>332</v>
      </c>
      <c r="GY18" s="1" t="s">
        <v>331</v>
      </c>
      <c r="GZ18" s="1" t="s">
        <v>330</v>
      </c>
      <c r="HA18" s="1" t="s">
        <v>331</v>
      </c>
      <c r="HB18" s="1" t="s">
        <v>333</v>
      </c>
      <c r="HC18" s="1" t="s">
        <v>330</v>
      </c>
      <c r="HD18" s="1" t="s">
        <v>331</v>
      </c>
      <c r="HE18" s="1" t="s">
        <v>332</v>
      </c>
      <c r="HF18" s="1" t="s">
        <v>333</v>
      </c>
      <c r="HG18" s="1" t="s">
        <v>330</v>
      </c>
      <c r="HH18" s="1" t="s">
        <v>330</v>
      </c>
      <c r="HI18" s="1" t="s">
        <v>330</v>
      </c>
      <c r="HJ18" s="1" t="s">
        <v>331</v>
      </c>
      <c r="HK18" s="1" t="s">
        <v>331</v>
      </c>
      <c r="HL18" s="1" t="s">
        <v>330</v>
      </c>
      <c r="HM18" s="1" t="s">
        <v>330</v>
      </c>
      <c r="HN18" s="1" t="s">
        <v>331</v>
      </c>
      <c r="HO18" s="1" t="s">
        <v>333</v>
      </c>
      <c r="HP18" s="1" t="s">
        <v>333</v>
      </c>
      <c r="HQ18" s="1" t="s">
        <v>330</v>
      </c>
      <c r="HR18" s="1" t="s">
        <v>330</v>
      </c>
      <c r="HS18" s="1" t="s">
        <v>333</v>
      </c>
      <c r="HT18" s="1" t="s">
        <v>330</v>
      </c>
      <c r="HU18" s="1" t="s">
        <v>332</v>
      </c>
      <c r="HV18" s="1" t="s">
        <v>330</v>
      </c>
      <c r="HW18" s="1" t="s">
        <v>332</v>
      </c>
      <c r="HX18" s="1" t="s">
        <v>333</v>
      </c>
      <c r="HY18" s="1" t="s">
        <v>330</v>
      </c>
      <c r="HZ18" s="1" t="s">
        <v>330</v>
      </c>
      <c r="IA18" s="1" t="s">
        <v>332</v>
      </c>
      <c r="IB18" s="1" t="s">
        <v>330</v>
      </c>
      <c r="IC18" s="1" t="s">
        <v>333</v>
      </c>
      <c r="ID18" s="1" t="s">
        <v>331</v>
      </c>
      <c r="IE18" s="1" t="s">
        <v>330</v>
      </c>
      <c r="IF18" s="1" t="s">
        <v>333</v>
      </c>
      <c r="IG18" s="1" t="s">
        <v>330</v>
      </c>
      <c r="IH18" s="1" t="s">
        <v>331</v>
      </c>
      <c r="II18" s="1" t="s">
        <v>332</v>
      </c>
      <c r="IJ18" s="1" t="s">
        <v>333</v>
      </c>
      <c r="IK18" s="1" t="s">
        <v>330</v>
      </c>
      <c r="IL18" s="1" t="s">
        <v>333</v>
      </c>
      <c r="IM18" s="1" t="s">
        <v>333</v>
      </c>
      <c r="IN18" s="1" t="s">
        <v>332</v>
      </c>
      <c r="IP18" s="1" t="s">
        <v>333</v>
      </c>
      <c r="IQ18" s="1" t="s">
        <v>332</v>
      </c>
      <c r="IR18" s="1" t="s">
        <v>331</v>
      </c>
    </row>
    <row r="19" spans="1:252" s="1" customFormat="1" x14ac:dyDescent="0.35">
      <c r="A19" s="1" t="s">
        <v>1721</v>
      </c>
      <c r="D19" s="1" t="s">
        <v>1756</v>
      </c>
      <c r="E19" s="1">
        <v>5807</v>
      </c>
      <c r="G19" s="1" t="s">
        <v>1685</v>
      </c>
      <c r="H19" s="1" t="s">
        <v>311</v>
      </c>
      <c r="I19" s="1" t="s">
        <v>1686</v>
      </c>
      <c r="J19" s="1" t="s">
        <v>1727</v>
      </c>
      <c r="K19" s="1" t="s">
        <v>1724</v>
      </c>
      <c r="M19" s="1">
        <v>1</v>
      </c>
      <c r="N19" s="1">
        <v>1</v>
      </c>
      <c r="O19" s="1">
        <v>0</v>
      </c>
      <c r="P19" s="1">
        <v>0</v>
      </c>
      <c r="Q19" s="1">
        <v>0</v>
      </c>
      <c r="R19" s="1">
        <v>1</v>
      </c>
      <c r="S19" s="1">
        <v>0</v>
      </c>
      <c r="T19" s="1">
        <v>1</v>
      </c>
      <c r="U19" s="1">
        <v>1</v>
      </c>
      <c r="V19" s="1">
        <v>1</v>
      </c>
      <c r="W19" s="1">
        <v>0</v>
      </c>
      <c r="X19" s="1">
        <v>0</v>
      </c>
      <c r="Y19" s="1">
        <v>0</v>
      </c>
      <c r="Z19" s="1">
        <v>0</v>
      </c>
      <c r="AA19" s="1">
        <v>1</v>
      </c>
      <c r="AB19" s="1">
        <v>0</v>
      </c>
      <c r="AC19" s="1">
        <v>0</v>
      </c>
      <c r="AD19" s="1">
        <v>0</v>
      </c>
      <c r="AE19" s="1">
        <v>1</v>
      </c>
      <c r="AF19" s="1">
        <v>0</v>
      </c>
      <c r="AG19" s="1">
        <v>1</v>
      </c>
      <c r="AH19" s="1">
        <v>0</v>
      </c>
      <c r="AI19" s="1">
        <v>1</v>
      </c>
      <c r="AJ19" s="1">
        <v>1</v>
      </c>
      <c r="AK19" s="1">
        <v>0</v>
      </c>
      <c r="AL19" s="1">
        <v>1</v>
      </c>
      <c r="AM19" s="1">
        <v>1</v>
      </c>
      <c r="AN19" s="1">
        <v>0</v>
      </c>
      <c r="AO19" s="1">
        <v>0</v>
      </c>
      <c r="AP19" s="1">
        <v>0</v>
      </c>
      <c r="AQ19" s="1">
        <v>1</v>
      </c>
      <c r="AR19" s="1">
        <v>0</v>
      </c>
      <c r="AS19" s="1">
        <v>1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1</v>
      </c>
      <c r="BE19" s="1">
        <v>0</v>
      </c>
      <c r="BF19" s="1">
        <v>0</v>
      </c>
      <c r="BG19" s="1">
        <v>0</v>
      </c>
      <c r="BH19" s="1">
        <v>1</v>
      </c>
      <c r="BI19" s="1">
        <v>1</v>
      </c>
      <c r="BJ19" s="1">
        <v>1</v>
      </c>
      <c r="BK19" s="1">
        <v>0</v>
      </c>
      <c r="BL19" s="1">
        <v>1</v>
      </c>
      <c r="BM19" s="1">
        <v>1</v>
      </c>
      <c r="BN19" s="1">
        <v>1</v>
      </c>
      <c r="BO19" s="1">
        <v>0</v>
      </c>
      <c r="BP19" s="1">
        <v>0</v>
      </c>
      <c r="BQ19" s="1">
        <v>1</v>
      </c>
      <c r="BR19" s="1">
        <v>0</v>
      </c>
      <c r="BS19" s="1">
        <v>1</v>
      </c>
      <c r="BT19" s="1">
        <v>0</v>
      </c>
      <c r="BU19" s="1">
        <v>0</v>
      </c>
      <c r="BV19" s="1">
        <v>0</v>
      </c>
      <c r="BW19" s="1">
        <v>1</v>
      </c>
      <c r="BX19" s="1">
        <v>0</v>
      </c>
      <c r="BY19" s="1">
        <v>1</v>
      </c>
      <c r="BZ19" s="1">
        <v>1</v>
      </c>
      <c r="CA19" s="1">
        <v>1</v>
      </c>
      <c r="CB19" s="1">
        <v>0</v>
      </c>
      <c r="CC19" s="1">
        <v>0</v>
      </c>
      <c r="CD19" s="1">
        <v>1</v>
      </c>
      <c r="CE19" s="1">
        <v>0</v>
      </c>
      <c r="CF19" s="1">
        <v>1</v>
      </c>
      <c r="CG19" s="1">
        <v>0</v>
      </c>
      <c r="CH19" s="1">
        <v>0</v>
      </c>
      <c r="CI19" s="1">
        <v>1</v>
      </c>
      <c r="CJ19" s="1">
        <v>0</v>
      </c>
      <c r="CK19" s="1">
        <v>1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1</v>
      </c>
      <c r="CR19" s="1">
        <v>1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1</v>
      </c>
      <c r="DA19" s="1">
        <v>0</v>
      </c>
      <c r="DB19" s="1">
        <v>1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1</v>
      </c>
      <c r="DM19" s="1">
        <v>0</v>
      </c>
      <c r="DN19" s="1">
        <v>0</v>
      </c>
      <c r="DO19" s="1">
        <v>0</v>
      </c>
      <c r="DP19" s="1">
        <v>1</v>
      </c>
      <c r="DQ19" s="1">
        <v>0</v>
      </c>
      <c r="DR19" s="1">
        <v>0</v>
      </c>
      <c r="DS19" s="1">
        <v>0</v>
      </c>
      <c r="DT19" s="1">
        <v>0</v>
      </c>
      <c r="DU19" s="1">
        <v>1</v>
      </c>
      <c r="DV19" s="1">
        <v>0</v>
      </c>
      <c r="DW19" s="1">
        <v>1</v>
      </c>
      <c r="DX19" s="1">
        <v>0</v>
      </c>
      <c r="DY19" s="1">
        <v>0</v>
      </c>
      <c r="DZ19" s="1">
        <v>1</v>
      </c>
      <c r="EA19" s="1">
        <v>0</v>
      </c>
      <c r="EB19" s="1">
        <v>1</v>
      </c>
      <c r="EC19" s="1" t="s">
        <v>331</v>
      </c>
      <c r="ED19" s="1" t="s">
        <v>333</v>
      </c>
      <c r="EE19" s="1" t="s">
        <v>330</v>
      </c>
      <c r="EF19" s="1" t="s">
        <v>331</v>
      </c>
      <c r="EG19" s="1" t="s">
        <v>332</v>
      </c>
      <c r="EH19" s="1" t="s">
        <v>333</v>
      </c>
      <c r="EI19" s="1" t="s">
        <v>333</v>
      </c>
      <c r="EJ19" s="1" t="s">
        <v>331</v>
      </c>
      <c r="EK19" s="1" t="s">
        <v>333</v>
      </c>
      <c r="EL19" s="1" t="s">
        <v>331</v>
      </c>
      <c r="EM19" s="1" t="s">
        <v>333</v>
      </c>
      <c r="EN19" s="1" t="s">
        <v>332</v>
      </c>
      <c r="EO19" s="1" t="s">
        <v>331</v>
      </c>
      <c r="EP19" s="1" t="s">
        <v>331</v>
      </c>
      <c r="EQ19" s="1" t="s">
        <v>333</v>
      </c>
      <c r="ER19" s="1" t="s">
        <v>330</v>
      </c>
      <c r="ES19" s="1" t="s">
        <v>330</v>
      </c>
      <c r="ET19" s="1" t="s">
        <v>332</v>
      </c>
      <c r="EU19" s="1" t="s">
        <v>332</v>
      </c>
      <c r="EV19" s="1" t="s">
        <v>331</v>
      </c>
      <c r="EW19" s="1" t="s">
        <v>333</v>
      </c>
      <c r="EX19" s="1" t="s">
        <v>330</v>
      </c>
      <c r="EY19" s="1" t="s">
        <v>332</v>
      </c>
      <c r="EZ19" s="1" t="s">
        <v>331</v>
      </c>
      <c r="FA19" s="1" t="s">
        <v>333</v>
      </c>
      <c r="FB19" s="1" t="s">
        <v>330</v>
      </c>
      <c r="FC19" s="1" t="s">
        <v>333</v>
      </c>
      <c r="FD19" s="1" t="s">
        <v>332</v>
      </c>
      <c r="FE19" s="1" t="s">
        <v>332</v>
      </c>
      <c r="FF19" s="1" t="s">
        <v>332</v>
      </c>
      <c r="FG19" s="1" t="s">
        <v>331</v>
      </c>
      <c r="FH19" s="1" t="s">
        <v>331</v>
      </c>
      <c r="FI19" s="1" t="s">
        <v>331</v>
      </c>
      <c r="FJ19" s="1" t="s">
        <v>331</v>
      </c>
      <c r="FK19" s="1" t="s">
        <v>332</v>
      </c>
      <c r="FL19" s="1" t="s">
        <v>330</v>
      </c>
      <c r="FM19" s="1" t="s">
        <v>333</v>
      </c>
      <c r="FN19" s="1" t="s">
        <v>331</v>
      </c>
      <c r="FO19" s="1" t="s">
        <v>332</v>
      </c>
      <c r="FP19" s="1" t="s">
        <v>332</v>
      </c>
      <c r="FQ19" s="1" t="s">
        <v>333</v>
      </c>
      <c r="FR19" s="1" t="s">
        <v>331</v>
      </c>
      <c r="FS19" s="1" t="s">
        <v>330</v>
      </c>
      <c r="FT19" s="1" t="s">
        <v>333</v>
      </c>
      <c r="FU19" s="1" t="s">
        <v>331</v>
      </c>
      <c r="FV19" s="1" t="s">
        <v>330</v>
      </c>
      <c r="FW19" s="1" t="s">
        <v>333</v>
      </c>
      <c r="FX19" s="1" t="s">
        <v>333</v>
      </c>
      <c r="FY19" s="1" t="s">
        <v>332</v>
      </c>
      <c r="FZ19" s="1" t="s">
        <v>331</v>
      </c>
      <c r="GA19" s="1" t="s">
        <v>330</v>
      </c>
      <c r="GB19" s="1" t="s">
        <v>331</v>
      </c>
      <c r="GC19" s="1" t="s">
        <v>332</v>
      </c>
      <c r="GD19" s="1" t="s">
        <v>333</v>
      </c>
      <c r="GE19" s="1" t="s">
        <v>333</v>
      </c>
      <c r="GF19" s="1" t="s">
        <v>331</v>
      </c>
      <c r="GG19" s="1" t="s">
        <v>333</v>
      </c>
      <c r="GH19" s="1" t="s">
        <v>331</v>
      </c>
      <c r="GI19" s="1" t="s">
        <v>330</v>
      </c>
      <c r="GJ19" s="1" t="s">
        <v>330</v>
      </c>
      <c r="GK19" s="1" t="s">
        <v>333</v>
      </c>
      <c r="GL19" s="1" t="s">
        <v>331</v>
      </c>
      <c r="GM19" s="1" t="s">
        <v>333</v>
      </c>
      <c r="GN19" s="1" t="s">
        <v>333</v>
      </c>
      <c r="GO19" s="1" t="s">
        <v>332</v>
      </c>
      <c r="GP19" s="1" t="s">
        <v>331</v>
      </c>
      <c r="GQ19" s="1" t="s">
        <v>333</v>
      </c>
      <c r="GR19" s="1" t="s">
        <v>332</v>
      </c>
      <c r="GS19" s="1" t="s">
        <v>333</v>
      </c>
      <c r="GT19" s="1" t="s">
        <v>331</v>
      </c>
      <c r="GU19" s="1" t="s">
        <v>331</v>
      </c>
      <c r="GV19" s="1" t="s">
        <v>330</v>
      </c>
      <c r="GW19" s="1" t="s">
        <v>332</v>
      </c>
      <c r="GX19" s="1" t="s">
        <v>330</v>
      </c>
      <c r="GY19" s="1" t="s">
        <v>333</v>
      </c>
      <c r="GZ19" s="1" t="s">
        <v>332</v>
      </c>
      <c r="HA19" s="1" t="s">
        <v>330</v>
      </c>
      <c r="HB19" s="1" t="s">
        <v>333</v>
      </c>
      <c r="HC19" s="1" t="s">
        <v>330</v>
      </c>
      <c r="HD19" s="1" t="s">
        <v>331</v>
      </c>
      <c r="HE19" s="1" t="s">
        <v>333</v>
      </c>
      <c r="HF19" s="1" t="s">
        <v>330</v>
      </c>
      <c r="HG19" s="1" t="s">
        <v>331</v>
      </c>
      <c r="HH19" s="1" t="s">
        <v>333</v>
      </c>
      <c r="HI19" s="1" t="s">
        <v>332</v>
      </c>
      <c r="HJ19" s="1" t="s">
        <v>332</v>
      </c>
      <c r="HK19" s="1" t="s">
        <v>331</v>
      </c>
      <c r="HL19" s="1" t="s">
        <v>332</v>
      </c>
      <c r="HM19" s="1" t="s">
        <v>333</v>
      </c>
      <c r="HN19" s="1" t="s">
        <v>331</v>
      </c>
      <c r="HO19" s="1" t="s">
        <v>330</v>
      </c>
      <c r="HP19" s="1" t="s">
        <v>333</v>
      </c>
      <c r="HQ19" s="1" t="s">
        <v>333</v>
      </c>
      <c r="HR19" s="1" t="s">
        <v>330</v>
      </c>
      <c r="HS19" s="1" t="s">
        <v>333</v>
      </c>
      <c r="HT19" s="1" t="s">
        <v>331</v>
      </c>
      <c r="HU19" s="1" t="s">
        <v>331</v>
      </c>
      <c r="HV19" s="1" t="s">
        <v>333</v>
      </c>
      <c r="HW19" s="1" t="s">
        <v>332</v>
      </c>
      <c r="HX19" s="1" t="s">
        <v>331</v>
      </c>
      <c r="HY19" s="1" t="s">
        <v>333</v>
      </c>
      <c r="HZ19" s="1" t="s">
        <v>330</v>
      </c>
      <c r="IA19" s="1" t="s">
        <v>333</v>
      </c>
      <c r="IB19" s="1" t="s">
        <v>333</v>
      </c>
      <c r="IC19" s="1" t="s">
        <v>330</v>
      </c>
      <c r="ID19" s="1" t="s">
        <v>332</v>
      </c>
      <c r="IE19" s="1" t="s">
        <v>333</v>
      </c>
      <c r="IF19" s="1" t="s">
        <v>333</v>
      </c>
      <c r="IG19" s="1" t="s">
        <v>330</v>
      </c>
      <c r="IH19" s="1" t="s">
        <v>331</v>
      </c>
      <c r="II19" s="1" t="s">
        <v>330</v>
      </c>
      <c r="IJ19" s="1" t="s">
        <v>332</v>
      </c>
      <c r="IK19" s="1" t="s">
        <v>333</v>
      </c>
      <c r="IL19" s="1" t="s">
        <v>331</v>
      </c>
      <c r="IM19" s="1" t="s">
        <v>331</v>
      </c>
      <c r="IN19" s="1" t="s">
        <v>330</v>
      </c>
      <c r="IO19" s="1" t="s">
        <v>333</v>
      </c>
      <c r="IP19" s="1" t="s">
        <v>331</v>
      </c>
      <c r="IQ19" s="1" t="s">
        <v>331</v>
      </c>
      <c r="IR19" s="1" t="s">
        <v>331</v>
      </c>
    </row>
    <row r="20" spans="1:252" s="1" customFormat="1" x14ac:dyDescent="0.35">
      <c r="A20" s="1" t="s">
        <v>1721</v>
      </c>
      <c r="D20" s="1" t="s">
        <v>1757</v>
      </c>
      <c r="E20" s="1">
        <v>5808</v>
      </c>
      <c r="G20" s="1" t="s">
        <v>1689</v>
      </c>
      <c r="H20" s="1" t="s">
        <v>311</v>
      </c>
      <c r="I20" s="1" t="s">
        <v>1694</v>
      </c>
      <c r="J20" s="1" t="s">
        <v>1727</v>
      </c>
      <c r="K20" s="1" t="s">
        <v>1724</v>
      </c>
      <c r="M20" s="1">
        <v>0</v>
      </c>
      <c r="N20" s="1">
        <v>1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1</v>
      </c>
      <c r="U20" s="1">
        <v>0</v>
      </c>
      <c r="V20" s="1">
        <v>1</v>
      </c>
      <c r="W20" s="1">
        <v>1</v>
      </c>
      <c r="X20" s="1">
        <v>0</v>
      </c>
      <c r="Y20" s="1">
        <v>1</v>
      </c>
      <c r="Z20" s="1">
        <v>1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1</v>
      </c>
      <c r="AG20" s="1">
        <v>1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1</v>
      </c>
      <c r="AN20" s="1">
        <v>0</v>
      </c>
      <c r="AO20" s="1">
        <v>0</v>
      </c>
      <c r="AP20" s="1">
        <v>1</v>
      </c>
      <c r="AQ20" s="1">
        <v>0</v>
      </c>
      <c r="AR20" s="1">
        <v>0</v>
      </c>
      <c r="AS20" s="1">
        <v>0</v>
      </c>
      <c r="AT20" s="1">
        <v>1</v>
      </c>
      <c r="AU20" s="1">
        <v>1</v>
      </c>
      <c r="AV20" s="1">
        <v>1</v>
      </c>
      <c r="AW20" s="1">
        <v>0</v>
      </c>
      <c r="AX20" s="1">
        <v>0</v>
      </c>
      <c r="AY20" s="1">
        <v>1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1</v>
      </c>
      <c r="BI20" s="1">
        <v>1</v>
      </c>
      <c r="BJ20" s="1">
        <v>1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1</v>
      </c>
      <c r="BY20" s="1">
        <v>0</v>
      </c>
      <c r="BZ20" s="1">
        <v>0</v>
      </c>
      <c r="CA20" s="1">
        <v>0</v>
      </c>
      <c r="CB20" s="1">
        <v>0</v>
      </c>
      <c r="CC20" s="1">
        <v>1</v>
      </c>
      <c r="CD20" s="1">
        <v>0</v>
      </c>
      <c r="CE20" s="1">
        <v>0</v>
      </c>
      <c r="CF20" s="1">
        <v>0</v>
      </c>
      <c r="CG20" s="1">
        <v>1</v>
      </c>
      <c r="CH20" s="1">
        <v>1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1</v>
      </c>
      <c r="CS20" s="1">
        <v>0</v>
      </c>
      <c r="CT20" s="1">
        <v>0</v>
      </c>
      <c r="CU20" s="1">
        <v>0</v>
      </c>
      <c r="CV20" s="1">
        <v>1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1</v>
      </c>
      <c r="DC20" s="1">
        <v>1</v>
      </c>
      <c r="DD20" s="1">
        <v>0</v>
      </c>
      <c r="DE20" s="1">
        <v>0</v>
      </c>
      <c r="DF20" s="1">
        <v>0</v>
      </c>
      <c r="DG20" s="1">
        <v>1</v>
      </c>
      <c r="DH20" s="1">
        <v>1</v>
      </c>
      <c r="DI20" s="1">
        <v>0</v>
      </c>
      <c r="DJ20" s="1">
        <v>1</v>
      </c>
      <c r="DK20" s="1">
        <v>1</v>
      </c>
      <c r="DL20" s="1">
        <v>0</v>
      </c>
      <c r="DM20" s="1">
        <v>1</v>
      </c>
      <c r="DN20" s="1">
        <v>0</v>
      </c>
      <c r="DO20" s="1">
        <v>1</v>
      </c>
      <c r="DP20" s="1">
        <v>1</v>
      </c>
      <c r="DQ20" s="1">
        <v>1</v>
      </c>
      <c r="DR20" s="1">
        <v>1</v>
      </c>
      <c r="DS20" s="1">
        <v>0</v>
      </c>
      <c r="DT20" s="1">
        <v>0</v>
      </c>
      <c r="DU20" s="1">
        <v>1</v>
      </c>
      <c r="DV20" s="1">
        <v>1</v>
      </c>
      <c r="DW20" s="1">
        <v>0</v>
      </c>
      <c r="DX20" s="1">
        <v>0</v>
      </c>
      <c r="DY20" s="1">
        <v>0</v>
      </c>
      <c r="DZ20" s="1">
        <v>1</v>
      </c>
      <c r="EA20" s="1">
        <v>0</v>
      </c>
      <c r="EB20" s="1">
        <v>0</v>
      </c>
      <c r="EC20" s="1" t="s">
        <v>330</v>
      </c>
      <c r="ED20" s="1" t="s">
        <v>333</v>
      </c>
      <c r="EE20" s="1" t="s">
        <v>331</v>
      </c>
      <c r="EF20" s="1" t="s">
        <v>330</v>
      </c>
      <c r="EG20" s="1" t="s">
        <v>332</v>
      </c>
      <c r="EH20" s="1" t="s">
        <v>331</v>
      </c>
      <c r="EI20" s="1" t="s">
        <v>330</v>
      </c>
      <c r="EJ20" s="1" t="s">
        <v>331</v>
      </c>
      <c r="EK20" s="1" t="s">
        <v>331</v>
      </c>
      <c r="EL20" s="1" t="s">
        <v>331</v>
      </c>
      <c r="EM20" s="1" t="s">
        <v>331</v>
      </c>
      <c r="EN20" s="1" t="s">
        <v>332</v>
      </c>
      <c r="EO20" s="1" t="s">
        <v>332</v>
      </c>
      <c r="EP20" s="1" t="s">
        <v>330</v>
      </c>
      <c r="EQ20" s="1" t="s">
        <v>331</v>
      </c>
      <c r="ER20" s="1" t="s">
        <v>330</v>
      </c>
      <c r="ES20" s="1" t="s">
        <v>330</v>
      </c>
      <c r="ET20" s="1" t="s">
        <v>330</v>
      </c>
      <c r="EU20" s="1" t="s">
        <v>330</v>
      </c>
      <c r="EV20" s="1" t="s">
        <v>332</v>
      </c>
      <c r="EW20" s="1" t="s">
        <v>333</v>
      </c>
      <c r="EX20" s="1" t="s">
        <v>333</v>
      </c>
      <c r="EY20" s="1" t="s">
        <v>331</v>
      </c>
      <c r="EZ20" s="1" t="s">
        <v>330</v>
      </c>
      <c r="FA20" s="1" t="s">
        <v>330</v>
      </c>
      <c r="FB20" s="1" t="s">
        <v>332</v>
      </c>
      <c r="FC20" s="1" t="s">
        <v>333</v>
      </c>
      <c r="FD20" s="1" t="s">
        <v>333</v>
      </c>
      <c r="FE20" s="1" t="s">
        <v>330</v>
      </c>
      <c r="FF20" s="1" t="s">
        <v>331</v>
      </c>
      <c r="FG20" s="1" t="s">
        <v>332</v>
      </c>
      <c r="FH20" s="1" t="s">
        <v>330</v>
      </c>
      <c r="FI20" s="1" t="s">
        <v>330</v>
      </c>
      <c r="FJ20" s="1" t="s">
        <v>332</v>
      </c>
      <c r="FK20" s="1" t="s">
        <v>330</v>
      </c>
      <c r="FL20" s="1" t="s">
        <v>332</v>
      </c>
      <c r="FM20" s="1" t="s">
        <v>333</v>
      </c>
      <c r="FN20" s="1" t="s">
        <v>333</v>
      </c>
      <c r="FO20" s="1" t="s">
        <v>331</v>
      </c>
      <c r="FP20" s="1" t="s">
        <v>330</v>
      </c>
      <c r="FQ20" s="1" t="s">
        <v>331</v>
      </c>
      <c r="FR20" s="1" t="s">
        <v>331</v>
      </c>
      <c r="FS20" s="1" t="s">
        <v>333</v>
      </c>
      <c r="FT20" s="1" t="s">
        <v>331</v>
      </c>
      <c r="FU20" s="1" t="s">
        <v>330</v>
      </c>
      <c r="FV20" s="1" t="s">
        <v>330</v>
      </c>
      <c r="FW20" s="1" t="s">
        <v>331</v>
      </c>
      <c r="FX20" s="1" t="s">
        <v>333</v>
      </c>
      <c r="FY20" s="1" t="s">
        <v>332</v>
      </c>
      <c r="FZ20" s="1" t="s">
        <v>331</v>
      </c>
      <c r="GA20" s="1" t="s">
        <v>331</v>
      </c>
      <c r="GB20" s="1" t="s">
        <v>333</v>
      </c>
      <c r="GC20" s="1" t="s">
        <v>331</v>
      </c>
      <c r="GD20" s="1" t="s">
        <v>332</v>
      </c>
      <c r="GE20" s="1" t="s">
        <v>330</v>
      </c>
      <c r="GF20" s="1" t="s">
        <v>330</v>
      </c>
      <c r="GG20" s="1" t="s">
        <v>332</v>
      </c>
      <c r="GH20" s="1" t="s">
        <v>332</v>
      </c>
      <c r="GI20" s="1" t="s">
        <v>333</v>
      </c>
      <c r="GJ20" s="1" t="s">
        <v>330</v>
      </c>
      <c r="GK20" s="1" t="s">
        <v>333</v>
      </c>
      <c r="GL20" s="1" t="s">
        <v>331</v>
      </c>
      <c r="GM20" s="1" t="s">
        <v>330</v>
      </c>
      <c r="GN20" s="1" t="s">
        <v>331</v>
      </c>
      <c r="GO20" s="1" t="s">
        <v>333</v>
      </c>
      <c r="GP20" s="1" t="s">
        <v>332</v>
      </c>
      <c r="GQ20" s="1" t="s">
        <v>332</v>
      </c>
      <c r="GR20" s="1" t="s">
        <v>333</v>
      </c>
      <c r="GS20" s="1" t="s">
        <v>330</v>
      </c>
      <c r="GT20" s="1" t="s">
        <v>333</v>
      </c>
      <c r="GU20" s="1" t="s">
        <v>331</v>
      </c>
      <c r="GV20" s="1" t="s">
        <v>333</v>
      </c>
      <c r="GW20" s="1" t="s">
        <v>331</v>
      </c>
      <c r="GX20" s="1" t="s">
        <v>333</v>
      </c>
      <c r="GY20" s="1" t="s">
        <v>330</v>
      </c>
      <c r="GZ20" s="1" t="s">
        <v>332</v>
      </c>
      <c r="HA20" s="1" t="s">
        <v>332</v>
      </c>
      <c r="HB20" s="1" t="s">
        <v>333</v>
      </c>
      <c r="HC20" s="1" t="s">
        <v>331</v>
      </c>
      <c r="HD20" s="1" t="s">
        <v>333</v>
      </c>
      <c r="HE20" s="1" t="s">
        <v>331</v>
      </c>
      <c r="HF20" s="1" t="s">
        <v>332</v>
      </c>
      <c r="HG20" s="1" t="s">
        <v>330</v>
      </c>
      <c r="HH20" s="1" t="s">
        <v>333</v>
      </c>
      <c r="HI20" s="1" t="s">
        <v>331</v>
      </c>
      <c r="HJ20" s="1" t="s">
        <v>332</v>
      </c>
      <c r="HK20" s="1" t="s">
        <v>332</v>
      </c>
      <c r="HL20" s="1" t="s">
        <v>333</v>
      </c>
      <c r="HM20" s="1" t="s">
        <v>333</v>
      </c>
      <c r="HN20" s="1" t="s">
        <v>332</v>
      </c>
      <c r="HO20" s="1" t="s">
        <v>331</v>
      </c>
      <c r="HP20" s="1" t="s">
        <v>331</v>
      </c>
      <c r="HQ20" s="1" t="s">
        <v>332</v>
      </c>
      <c r="HR20" s="1" t="s">
        <v>330</v>
      </c>
      <c r="HS20" s="1" t="s">
        <v>331</v>
      </c>
      <c r="HT20" s="1" t="s">
        <v>331</v>
      </c>
      <c r="HU20" s="1" t="s">
        <v>331</v>
      </c>
      <c r="HV20" s="1" t="s">
        <v>333</v>
      </c>
      <c r="HW20" s="1" t="s">
        <v>330</v>
      </c>
      <c r="HX20" s="1" t="s">
        <v>333</v>
      </c>
      <c r="HY20" s="1" t="s">
        <v>332</v>
      </c>
      <c r="HZ20" s="1" t="s">
        <v>333</v>
      </c>
      <c r="IA20" s="1" t="s">
        <v>331</v>
      </c>
      <c r="IB20" s="1" t="s">
        <v>332</v>
      </c>
      <c r="IC20" s="1" t="s">
        <v>333</v>
      </c>
      <c r="ID20" s="1" t="s">
        <v>331</v>
      </c>
      <c r="IE20" s="1" t="s">
        <v>330</v>
      </c>
      <c r="IF20" s="1" t="s">
        <v>333</v>
      </c>
      <c r="IG20" s="1" t="s">
        <v>331</v>
      </c>
      <c r="IH20" s="1" t="s">
        <v>330</v>
      </c>
      <c r="II20" s="1" t="s">
        <v>333</v>
      </c>
      <c r="IJ20" s="1" t="s">
        <v>331</v>
      </c>
      <c r="IK20" s="1" t="s">
        <v>333</v>
      </c>
      <c r="IL20" s="1" t="s">
        <v>333</v>
      </c>
      <c r="IM20" s="1" t="s">
        <v>330</v>
      </c>
      <c r="IN20" s="1" t="s">
        <v>330</v>
      </c>
      <c r="IO20" s="1" t="s">
        <v>332</v>
      </c>
      <c r="IP20" s="1" t="s">
        <v>331</v>
      </c>
      <c r="IQ20" s="1" t="s">
        <v>333</v>
      </c>
      <c r="IR20" s="1" t="s">
        <v>333</v>
      </c>
    </row>
    <row r="21" spans="1:252" s="1" customFormat="1" x14ac:dyDescent="0.35">
      <c r="A21" s="1" t="s">
        <v>1721</v>
      </c>
      <c r="D21" s="1" t="s">
        <v>1758</v>
      </c>
      <c r="E21" s="1">
        <v>5810</v>
      </c>
      <c r="G21" s="1" t="s">
        <v>1700</v>
      </c>
      <c r="H21" s="1" t="s">
        <v>311</v>
      </c>
      <c r="I21" s="1" t="s">
        <v>1730</v>
      </c>
      <c r="J21" s="1" t="s">
        <v>1731</v>
      </c>
      <c r="K21" s="1" t="s">
        <v>1724</v>
      </c>
      <c r="M21" s="1">
        <v>0</v>
      </c>
      <c r="N21" s="1">
        <v>1</v>
      </c>
      <c r="O21" s="1">
        <v>0</v>
      </c>
      <c r="P21" s="1">
        <v>0</v>
      </c>
      <c r="Q21" s="1">
        <v>0</v>
      </c>
      <c r="R21" s="1">
        <v>1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1</v>
      </c>
      <c r="Y21" s="1">
        <v>1</v>
      </c>
      <c r="Z21" s="1">
        <v>0</v>
      </c>
      <c r="AA21" s="1">
        <v>1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1</v>
      </c>
      <c r="AL21" s="1">
        <v>1</v>
      </c>
      <c r="AM21" s="1">
        <v>0</v>
      </c>
      <c r="AN21" s="1">
        <v>0</v>
      </c>
      <c r="AO21" s="1">
        <v>1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1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1</v>
      </c>
      <c r="BI21" s="1">
        <v>0</v>
      </c>
      <c r="BJ21" s="1">
        <v>0</v>
      </c>
      <c r="BK21" s="1">
        <v>0</v>
      </c>
      <c r="BL21" s="1">
        <v>1</v>
      </c>
      <c r="BM21" s="1">
        <v>0</v>
      </c>
      <c r="BN21" s="1">
        <v>0</v>
      </c>
      <c r="BO21" s="1">
        <v>0</v>
      </c>
      <c r="BP21" s="1">
        <v>1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1</v>
      </c>
      <c r="CA21" s="1">
        <v>1</v>
      </c>
      <c r="CB21" s="1">
        <v>0</v>
      </c>
      <c r="CC21" s="1">
        <v>0</v>
      </c>
      <c r="CD21" s="1">
        <v>1</v>
      </c>
      <c r="CE21" s="1">
        <v>0</v>
      </c>
      <c r="CF21" s="1">
        <v>0</v>
      </c>
      <c r="CG21" s="1">
        <v>1</v>
      </c>
      <c r="CH21" s="1">
        <v>1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1</v>
      </c>
      <c r="CQ21" s="1">
        <v>0</v>
      </c>
      <c r="CR21" s="1">
        <v>0</v>
      </c>
      <c r="CS21" s="1">
        <v>1</v>
      </c>
      <c r="CT21" s="1">
        <v>0</v>
      </c>
      <c r="CU21" s="1">
        <v>1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1</v>
      </c>
      <c r="DK21" s="1">
        <v>1</v>
      </c>
      <c r="DL21" s="1">
        <v>0</v>
      </c>
      <c r="DM21" s="1">
        <v>0</v>
      </c>
      <c r="DN21" s="1">
        <v>0</v>
      </c>
      <c r="DO21" s="1">
        <v>0</v>
      </c>
      <c r="DP21" s="1">
        <v>1</v>
      </c>
      <c r="DQ21" s="1">
        <v>1</v>
      </c>
      <c r="DR21" s="1">
        <v>1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 t="s">
        <v>332</v>
      </c>
      <c r="ED21" s="1" t="s">
        <v>333</v>
      </c>
      <c r="EE21" s="1" t="s">
        <v>330</v>
      </c>
      <c r="EF21" s="1" t="s">
        <v>331</v>
      </c>
      <c r="EG21" s="1" t="s">
        <v>332</v>
      </c>
      <c r="EH21" s="1" t="s">
        <v>333</v>
      </c>
      <c r="EI21" s="1" t="s">
        <v>331</v>
      </c>
      <c r="EJ21" s="1" t="s">
        <v>330</v>
      </c>
      <c r="EK21" s="1" t="s">
        <v>332</v>
      </c>
      <c r="EL21" s="1" t="s">
        <v>333</v>
      </c>
      <c r="EM21" s="1" t="s">
        <v>332</v>
      </c>
      <c r="EN21" s="1" t="s">
        <v>331</v>
      </c>
      <c r="EO21" s="1" t="s">
        <v>332</v>
      </c>
      <c r="EP21" s="1" t="s">
        <v>331</v>
      </c>
      <c r="EQ21" s="1" t="s">
        <v>333</v>
      </c>
      <c r="ER21" s="1" t="s">
        <v>332</v>
      </c>
      <c r="ES21" s="1" t="s">
        <v>333</v>
      </c>
      <c r="ET21" s="1" t="s">
        <v>333</v>
      </c>
      <c r="EU21" s="1" t="s">
        <v>331</v>
      </c>
      <c r="EV21" s="1" t="s">
        <v>330</v>
      </c>
      <c r="EW21" s="1" t="s">
        <v>332</v>
      </c>
      <c r="EX21" s="1" t="s">
        <v>332</v>
      </c>
      <c r="EY21" s="1" t="s">
        <v>333</v>
      </c>
      <c r="EZ21" s="1" t="s">
        <v>333</v>
      </c>
      <c r="FA21" s="1" t="s">
        <v>331</v>
      </c>
      <c r="FB21" s="1" t="s">
        <v>330</v>
      </c>
      <c r="FC21" s="1" t="s">
        <v>330</v>
      </c>
      <c r="FD21" s="1" t="s">
        <v>333</v>
      </c>
      <c r="FE21" s="1" t="s">
        <v>331</v>
      </c>
      <c r="FF21" s="1" t="s">
        <v>330</v>
      </c>
      <c r="FG21" s="1" t="s">
        <v>332</v>
      </c>
      <c r="FH21" s="1" t="s">
        <v>331</v>
      </c>
      <c r="FI21" s="1" t="s">
        <v>332</v>
      </c>
      <c r="FJ21" s="1" t="s">
        <v>331</v>
      </c>
      <c r="FK21" s="1" t="s">
        <v>333</v>
      </c>
      <c r="FL21" s="1" t="s">
        <v>331</v>
      </c>
      <c r="FM21" s="1" t="s">
        <v>333</v>
      </c>
      <c r="FN21" s="1" t="s">
        <v>330</v>
      </c>
      <c r="FO21" s="1" t="s">
        <v>333</v>
      </c>
      <c r="FP21" s="1" t="s">
        <v>331</v>
      </c>
      <c r="FQ21" s="1" t="s">
        <v>333</v>
      </c>
      <c r="FR21" s="1" t="s">
        <v>330</v>
      </c>
      <c r="FS21" s="1" t="s">
        <v>333</v>
      </c>
      <c r="FT21" s="1" t="s">
        <v>331</v>
      </c>
      <c r="FU21" s="1" t="s">
        <v>330</v>
      </c>
      <c r="FV21" s="1" t="s">
        <v>333</v>
      </c>
      <c r="FW21" s="1" t="s">
        <v>331</v>
      </c>
      <c r="FX21" s="1" t="s">
        <v>333</v>
      </c>
      <c r="FY21" s="1" t="s">
        <v>331</v>
      </c>
      <c r="FZ21" s="1" t="s">
        <v>333</v>
      </c>
      <c r="GA21" s="1" t="s">
        <v>330</v>
      </c>
      <c r="GB21" s="1" t="s">
        <v>331</v>
      </c>
      <c r="GC21" s="1" t="s">
        <v>330</v>
      </c>
      <c r="GD21" s="1" t="s">
        <v>332</v>
      </c>
      <c r="GE21" s="1" t="s">
        <v>330</v>
      </c>
      <c r="GF21" s="1" t="s">
        <v>333</v>
      </c>
      <c r="GG21" s="1" t="s">
        <v>331</v>
      </c>
      <c r="GH21" s="1" t="s">
        <v>332</v>
      </c>
      <c r="GI21" s="1" t="s">
        <v>333</v>
      </c>
      <c r="GJ21" s="1" t="s">
        <v>330</v>
      </c>
      <c r="GK21" s="1" t="s">
        <v>331</v>
      </c>
      <c r="GL21" s="1" t="s">
        <v>333</v>
      </c>
      <c r="GM21" s="1" t="s">
        <v>331</v>
      </c>
      <c r="GN21" s="1" t="s">
        <v>332</v>
      </c>
      <c r="GO21" s="1" t="s">
        <v>330</v>
      </c>
      <c r="GP21" s="1" t="s">
        <v>331</v>
      </c>
      <c r="GQ21" s="1" t="s">
        <v>333</v>
      </c>
      <c r="GR21" s="1" t="s">
        <v>333</v>
      </c>
      <c r="GS21" s="1" t="s">
        <v>333</v>
      </c>
      <c r="GT21" s="1" t="s">
        <v>331</v>
      </c>
      <c r="GU21" s="1" t="s">
        <v>330</v>
      </c>
      <c r="GV21" s="1" t="s">
        <v>332</v>
      </c>
      <c r="GW21" s="1" t="s">
        <v>331</v>
      </c>
      <c r="GX21" s="1" t="s">
        <v>333</v>
      </c>
      <c r="GY21" s="1" t="s">
        <v>331</v>
      </c>
      <c r="GZ21" s="1" t="s">
        <v>333</v>
      </c>
      <c r="HA21" s="1" t="s">
        <v>332</v>
      </c>
      <c r="HB21" s="1" t="s">
        <v>330</v>
      </c>
      <c r="HC21" s="1" t="s">
        <v>331</v>
      </c>
      <c r="HD21" s="1" t="s">
        <v>333</v>
      </c>
      <c r="HE21" s="1" t="s">
        <v>332</v>
      </c>
      <c r="HF21" s="1" t="s">
        <v>331</v>
      </c>
      <c r="HG21" s="1" t="s">
        <v>330</v>
      </c>
      <c r="HH21" s="1" t="s">
        <v>331</v>
      </c>
      <c r="HI21" s="1" t="s">
        <v>333</v>
      </c>
      <c r="HJ21" s="1" t="s">
        <v>332</v>
      </c>
      <c r="HK21" s="1" t="s">
        <v>333</v>
      </c>
      <c r="HL21" s="1" t="s">
        <v>331</v>
      </c>
      <c r="HM21" s="1" t="s">
        <v>331</v>
      </c>
      <c r="HN21" s="1" t="s">
        <v>333</v>
      </c>
      <c r="HO21" s="1" t="s">
        <v>332</v>
      </c>
      <c r="HP21" s="1" t="s">
        <v>331</v>
      </c>
      <c r="HQ21" s="1" t="s">
        <v>330</v>
      </c>
      <c r="HR21" s="1" t="s">
        <v>331</v>
      </c>
      <c r="HS21" s="1" t="s">
        <v>332</v>
      </c>
      <c r="HT21" s="1" t="s">
        <v>333</v>
      </c>
      <c r="HU21" s="1" t="s">
        <v>331</v>
      </c>
      <c r="HV21" s="1" t="s">
        <v>333</v>
      </c>
      <c r="HW21" s="1" t="s">
        <v>332</v>
      </c>
      <c r="HX21" s="1" t="s">
        <v>332</v>
      </c>
      <c r="HY21" s="1" t="s">
        <v>332</v>
      </c>
      <c r="HZ21" s="1" t="s">
        <v>333</v>
      </c>
      <c r="IA21" s="1" t="s">
        <v>331</v>
      </c>
      <c r="IB21" s="1" t="s">
        <v>331</v>
      </c>
      <c r="IC21" s="1" t="s">
        <v>332</v>
      </c>
      <c r="ID21" s="1" t="s">
        <v>333</v>
      </c>
      <c r="IE21" s="1" t="s">
        <v>331</v>
      </c>
      <c r="IF21" s="1" t="s">
        <v>333</v>
      </c>
      <c r="IG21" s="1" t="s">
        <v>331</v>
      </c>
      <c r="IH21" s="1" t="s">
        <v>330</v>
      </c>
      <c r="II21" s="1" t="s">
        <v>333</v>
      </c>
      <c r="IJ21" s="1" t="s">
        <v>331</v>
      </c>
      <c r="IK21" s="1" t="s">
        <v>330</v>
      </c>
      <c r="IL21" s="1" t="s">
        <v>331</v>
      </c>
      <c r="IM21" s="1" t="s">
        <v>333</v>
      </c>
      <c r="IN21" s="1" t="s">
        <v>330</v>
      </c>
      <c r="IO21" s="1" t="s">
        <v>333</v>
      </c>
      <c r="IP21" s="1" t="s">
        <v>333</v>
      </c>
      <c r="IQ21" s="1" t="s">
        <v>330</v>
      </c>
      <c r="IR21" s="1" t="s">
        <v>332</v>
      </c>
    </row>
    <row r="22" spans="1:252" s="1" customFormat="1" x14ac:dyDescent="0.35">
      <c r="A22" s="1" t="s">
        <v>1721</v>
      </c>
      <c r="D22" s="1" t="s">
        <v>1759</v>
      </c>
      <c r="E22" s="1">
        <v>5811</v>
      </c>
      <c r="G22" s="1" t="s">
        <v>1698</v>
      </c>
      <c r="H22" s="1" t="s">
        <v>311</v>
      </c>
      <c r="I22" s="1" t="s">
        <v>1699</v>
      </c>
      <c r="J22" s="1" t="s">
        <v>1731</v>
      </c>
      <c r="K22" s="1" t="s">
        <v>1724</v>
      </c>
      <c r="M22" s="1">
        <v>1</v>
      </c>
      <c r="N22" s="1">
        <v>1</v>
      </c>
      <c r="O22" s="1">
        <v>0</v>
      </c>
      <c r="P22" s="1">
        <v>1</v>
      </c>
      <c r="Q22" s="1">
        <v>1</v>
      </c>
      <c r="R22" s="1">
        <v>1</v>
      </c>
      <c r="S22" s="1">
        <v>0</v>
      </c>
      <c r="T22" s="1">
        <v>0</v>
      </c>
      <c r="U22" s="1">
        <v>1</v>
      </c>
      <c r="V22" s="1">
        <v>0</v>
      </c>
      <c r="W22" s="1">
        <v>1</v>
      </c>
      <c r="X22" s="1">
        <v>1</v>
      </c>
      <c r="Y22" s="1">
        <v>0</v>
      </c>
      <c r="Z22" s="1">
        <v>0</v>
      </c>
      <c r="AA22" s="1">
        <v>1</v>
      </c>
      <c r="AB22" s="1">
        <v>0</v>
      </c>
      <c r="AC22" s="1">
        <v>1</v>
      </c>
      <c r="AD22" s="1">
        <v>0</v>
      </c>
      <c r="AE22" s="1">
        <v>1</v>
      </c>
      <c r="AF22" s="1">
        <v>0</v>
      </c>
      <c r="AG22" s="1">
        <v>1</v>
      </c>
      <c r="AH22" s="1">
        <v>0</v>
      </c>
      <c r="AI22" s="1">
        <v>0</v>
      </c>
      <c r="AJ22" s="1">
        <v>0</v>
      </c>
      <c r="AK22" s="1">
        <v>0</v>
      </c>
      <c r="AL22" s="1">
        <v>1</v>
      </c>
      <c r="AM22" s="1">
        <v>0</v>
      </c>
      <c r="AN22" s="1">
        <v>0</v>
      </c>
      <c r="AO22" s="1">
        <v>1</v>
      </c>
      <c r="AP22" s="1">
        <v>0</v>
      </c>
      <c r="AQ22" s="1">
        <v>0</v>
      </c>
      <c r="AR22" s="1">
        <v>0</v>
      </c>
      <c r="AS22" s="1">
        <v>0</v>
      </c>
      <c r="AT22" s="1">
        <v>1</v>
      </c>
      <c r="AU22" s="1">
        <v>0</v>
      </c>
      <c r="AV22" s="1">
        <v>0</v>
      </c>
      <c r="AW22" s="1">
        <v>0</v>
      </c>
      <c r="AX22" s="1">
        <v>0</v>
      </c>
      <c r="AY22" s="1">
        <v>1</v>
      </c>
      <c r="AZ22" s="1">
        <v>0</v>
      </c>
      <c r="BA22" s="1">
        <v>1</v>
      </c>
      <c r="BB22" s="1">
        <v>0</v>
      </c>
      <c r="BC22" s="1">
        <v>0</v>
      </c>
      <c r="BD22" s="1">
        <v>1</v>
      </c>
      <c r="BE22" s="1">
        <v>0</v>
      </c>
      <c r="BF22" s="1">
        <v>0</v>
      </c>
      <c r="BG22" s="1">
        <v>0</v>
      </c>
      <c r="BH22" s="1">
        <v>1</v>
      </c>
      <c r="BI22" s="1">
        <v>0</v>
      </c>
      <c r="BJ22" s="1">
        <v>0</v>
      </c>
      <c r="BK22" s="1">
        <v>1</v>
      </c>
      <c r="BL22" s="1">
        <v>0</v>
      </c>
      <c r="BM22" s="1">
        <v>0</v>
      </c>
      <c r="BN22" s="1">
        <v>0</v>
      </c>
      <c r="BO22" s="1">
        <v>0</v>
      </c>
      <c r="BP22" s="1">
        <v>1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1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1</v>
      </c>
      <c r="CM22" s="1">
        <v>1</v>
      </c>
      <c r="CN22" s="1">
        <v>1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1</v>
      </c>
      <c r="CV22" s="1">
        <v>0</v>
      </c>
      <c r="CW22" s="1">
        <v>1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1</v>
      </c>
      <c r="DG22" s="1">
        <v>0</v>
      </c>
      <c r="DH22" s="1">
        <v>0</v>
      </c>
      <c r="DI22" s="1">
        <v>1</v>
      </c>
      <c r="DJ22" s="1">
        <v>0</v>
      </c>
      <c r="DK22" s="1">
        <v>0</v>
      </c>
      <c r="DL22" s="1">
        <v>0</v>
      </c>
      <c r="DM22" s="1">
        <v>1</v>
      </c>
      <c r="DN22" s="1">
        <v>0</v>
      </c>
      <c r="DO22" s="1">
        <v>0</v>
      </c>
      <c r="DP22" s="1">
        <v>1</v>
      </c>
      <c r="DQ22" s="1">
        <v>1</v>
      </c>
      <c r="DR22" s="1">
        <v>0</v>
      </c>
      <c r="DS22" s="1">
        <v>0</v>
      </c>
      <c r="DT22" s="1">
        <v>0</v>
      </c>
      <c r="DU22" s="1">
        <v>0</v>
      </c>
      <c r="DV22" s="1">
        <v>1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 t="s">
        <v>331</v>
      </c>
      <c r="ED22" s="1" t="s">
        <v>333</v>
      </c>
      <c r="EE22" s="1" t="s">
        <v>332</v>
      </c>
      <c r="EF22" s="1" t="s">
        <v>333</v>
      </c>
      <c r="EG22" s="1" t="s">
        <v>331</v>
      </c>
      <c r="EH22" s="1" t="s">
        <v>333</v>
      </c>
      <c r="EI22" s="1" t="s">
        <v>331</v>
      </c>
      <c r="EJ22" s="1" t="s">
        <v>332</v>
      </c>
      <c r="EK22" s="1" t="s">
        <v>333</v>
      </c>
      <c r="EL22" s="1" t="s">
        <v>333</v>
      </c>
      <c r="EM22" s="1" t="s">
        <v>331</v>
      </c>
      <c r="EN22" s="1" t="s">
        <v>331</v>
      </c>
      <c r="EO22" s="1" t="s">
        <v>330</v>
      </c>
      <c r="EP22" s="1" t="s">
        <v>331</v>
      </c>
      <c r="EQ22" s="1" t="s">
        <v>333</v>
      </c>
      <c r="ER22" s="1" t="s">
        <v>333</v>
      </c>
      <c r="ES22" s="1" t="s">
        <v>332</v>
      </c>
      <c r="ET22" s="1" t="s">
        <v>332</v>
      </c>
      <c r="EU22" s="1" t="s">
        <v>332</v>
      </c>
      <c r="EV22" s="1" t="s">
        <v>330</v>
      </c>
      <c r="EW22" s="1" t="s">
        <v>333</v>
      </c>
      <c r="EX22" s="1" t="s">
        <v>333</v>
      </c>
      <c r="EY22" s="1" t="s">
        <v>331</v>
      </c>
      <c r="EZ22" s="1" t="s">
        <v>333</v>
      </c>
      <c r="FA22" s="1" t="s">
        <v>333</v>
      </c>
      <c r="FB22" s="1" t="s">
        <v>330</v>
      </c>
      <c r="FC22" s="1" t="s">
        <v>332</v>
      </c>
      <c r="FD22" s="1" t="s">
        <v>333</v>
      </c>
      <c r="FE22" s="1" t="s">
        <v>331</v>
      </c>
      <c r="FF22" s="1" t="s">
        <v>333</v>
      </c>
      <c r="FG22" s="1" t="s">
        <v>330</v>
      </c>
      <c r="FH22" s="1" t="s">
        <v>331</v>
      </c>
      <c r="FI22" s="1" t="s">
        <v>332</v>
      </c>
      <c r="FJ22" s="1" t="s">
        <v>332</v>
      </c>
      <c r="FK22" s="1" t="s">
        <v>331</v>
      </c>
      <c r="FL22" s="1" t="s">
        <v>333</v>
      </c>
      <c r="FM22" s="1" t="s">
        <v>333</v>
      </c>
      <c r="FN22" s="1" t="s">
        <v>330</v>
      </c>
      <c r="FO22" s="1" t="s">
        <v>331</v>
      </c>
      <c r="FP22" s="1" t="s">
        <v>332</v>
      </c>
      <c r="FQ22" s="1" t="s">
        <v>332</v>
      </c>
      <c r="FR22" s="1" t="s">
        <v>331</v>
      </c>
      <c r="FS22" s="1" t="s">
        <v>330</v>
      </c>
      <c r="FT22" s="1" t="s">
        <v>333</v>
      </c>
      <c r="FU22" s="1" t="s">
        <v>331</v>
      </c>
      <c r="FV22" s="1" t="s">
        <v>332</v>
      </c>
      <c r="FW22" s="1" t="s">
        <v>330</v>
      </c>
      <c r="FX22" s="1" t="s">
        <v>333</v>
      </c>
      <c r="FY22" s="1" t="s">
        <v>331</v>
      </c>
      <c r="FZ22" s="1" t="s">
        <v>333</v>
      </c>
      <c r="GA22" s="1" t="s">
        <v>333</v>
      </c>
      <c r="GB22" s="1" t="s">
        <v>332</v>
      </c>
      <c r="GC22" s="1" t="s">
        <v>331</v>
      </c>
      <c r="GD22" s="1" t="s">
        <v>331</v>
      </c>
      <c r="GE22" s="1" t="s">
        <v>333</v>
      </c>
      <c r="GF22" s="1" t="s">
        <v>333</v>
      </c>
      <c r="GG22" s="1" t="s">
        <v>332</v>
      </c>
      <c r="GH22" s="1" t="s">
        <v>331</v>
      </c>
      <c r="GI22" s="1" t="s">
        <v>333</v>
      </c>
      <c r="GJ22" s="1" t="s">
        <v>330</v>
      </c>
      <c r="GK22" s="1" t="s">
        <v>333</v>
      </c>
      <c r="GL22" s="1" t="s">
        <v>333</v>
      </c>
      <c r="GM22" s="1" t="s">
        <v>331</v>
      </c>
      <c r="GN22" s="1" t="s">
        <v>332</v>
      </c>
      <c r="GO22" s="1" t="s">
        <v>333</v>
      </c>
      <c r="GP22" s="1" t="s">
        <v>332</v>
      </c>
      <c r="GQ22" s="1" t="s">
        <v>331</v>
      </c>
      <c r="GR22" s="1" t="s">
        <v>331</v>
      </c>
      <c r="GS22" s="1" t="s">
        <v>330</v>
      </c>
      <c r="GT22" s="1" t="s">
        <v>330</v>
      </c>
      <c r="GU22" s="1" t="s">
        <v>330</v>
      </c>
      <c r="GV22" s="1" t="s">
        <v>331</v>
      </c>
      <c r="GW22" s="1" t="s">
        <v>332</v>
      </c>
      <c r="GX22" s="1" t="s">
        <v>331</v>
      </c>
      <c r="GY22" s="1" t="s">
        <v>330</v>
      </c>
      <c r="GZ22" s="1" t="s">
        <v>330</v>
      </c>
      <c r="HA22" s="1" t="s">
        <v>333</v>
      </c>
      <c r="HB22" s="1" t="s">
        <v>332</v>
      </c>
      <c r="HC22" s="1" t="s">
        <v>332</v>
      </c>
      <c r="HD22" s="1" t="s">
        <v>330</v>
      </c>
      <c r="HE22" s="1" t="s">
        <v>331</v>
      </c>
      <c r="HF22" s="1" t="s">
        <v>333</v>
      </c>
      <c r="HG22" s="1" t="s">
        <v>333</v>
      </c>
      <c r="HH22" s="1" t="s">
        <v>331</v>
      </c>
      <c r="HI22" s="1" t="s">
        <v>332</v>
      </c>
      <c r="HJ22" s="1" t="s">
        <v>330</v>
      </c>
      <c r="HK22" s="1" t="s">
        <v>333</v>
      </c>
      <c r="HL22" s="1" t="s">
        <v>331</v>
      </c>
      <c r="HM22" s="1" t="s">
        <v>332</v>
      </c>
      <c r="HN22" s="1" t="s">
        <v>332</v>
      </c>
      <c r="HO22" s="1" t="s">
        <v>330</v>
      </c>
      <c r="HP22" s="1" t="s">
        <v>331</v>
      </c>
      <c r="HQ22" s="1" t="s">
        <v>332</v>
      </c>
      <c r="HR22" s="1" t="s">
        <v>332</v>
      </c>
      <c r="HS22" s="1" t="s">
        <v>333</v>
      </c>
      <c r="HT22" s="1" t="s">
        <v>330</v>
      </c>
      <c r="HU22" s="1" t="s">
        <v>332</v>
      </c>
      <c r="HV22" s="1" t="s">
        <v>330</v>
      </c>
      <c r="HW22" s="1" t="s">
        <v>333</v>
      </c>
      <c r="HX22" s="1" t="s">
        <v>330</v>
      </c>
      <c r="HY22" s="1" t="s">
        <v>331</v>
      </c>
      <c r="HZ22" s="1" t="s">
        <v>332</v>
      </c>
      <c r="IA22" s="1" t="s">
        <v>330</v>
      </c>
      <c r="IB22" s="1" t="s">
        <v>330</v>
      </c>
      <c r="IC22" s="1" t="s">
        <v>333</v>
      </c>
      <c r="ID22" s="1" t="s">
        <v>333</v>
      </c>
      <c r="IE22" s="1" t="s">
        <v>331</v>
      </c>
      <c r="IF22" s="1" t="s">
        <v>333</v>
      </c>
      <c r="IG22" s="1" t="s">
        <v>331</v>
      </c>
      <c r="IH22" s="1" t="s">
        <v>331</v>
      </c>
      <c r="II22" s="1" t="s">
        <v>333</v>
      </c>
      <c r="IJ22" s="1" t="s">
        <v>333</v>
      </c>
      <c r="IK22" s="1" t="s">
        <v>332</v>
      </c>
      <c r="IL22" s="1" t="s">
        <v>333</v>
      </c>
      <c r="IM22" s="1" t="s">
        <v>330</v>
      </c>
      <c r="IN22" s="1" t="s">
        <v>330</v>
      </c>
      <c r="IO22" s="1" t="s">
        <v>332</v>
      </c>
      <c r="IP22" s="1" t="s">
        <v>330</v>
      </c>
      <c r="IQ22" s="1" t="s">
        <v>331</v>
      </c>
      <c r="IR22" s="1" t="s">
        <v>330</v>
      </c>
    </row>
    <row r="23" spans="1:252" s="1" customFormat="1" x14ac:dyDescent="0.35">
      <c r="A23" s="1" t="s">
        <v>1721</v>
      </c>
      <c r="D23" s="1" t="s">
        <v>1760</v>
      </c>
      <c r="E23" s="1">
        <v>5812</v>
      </c>
      <c r="G23" s="1" t="s">
        <v>1728</v>
      </c>
      <c r="H23" s="1" t="s">
        <v>311</v>
      </c>
      <c r="I23" s="1" t="s">
        <v>1729</v>
      </c>
      <c r="J23" s="1" t="s">
        <v>1731</v>
      </c>
      <c r="K23" s="1" t="s">
        <v>1724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1</v>
      </c>
      <c r="U23" s="1">
        <v>1</v>
      </c>
      <c r="V23" s="1">
        <v>0</v>
      </c>
      <c r="W23" s="1">
        <v>0</v>
      </c>
      <c r="X23" s="1">
        <v>1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1</v>
      </c>
      <c r="AE23" s="1">
        <v>0</v>
      </c>
      <c r="AF23" s="1">
        <v>1</v>
      </c>
      <c r="AG23" s="1">
        <v>1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1</v>
      </c>
      <c r="AV23" s="1">
        <v>0</v>
      </c>
      <c r="AW23" s="1">
        <v>1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1</v>
      </c>
      <c r="BI23" s="1">
        <v>0</v>
      </c>
      <c r="BJ23" s="1">
        <v>0</v>
      </c>
      <c r="BK23" s="1">
        <v>0</v>
      </c>
      <c r="BL23" s="1">
        <v>0</v>
      </c>
      <c r="BM23" s="1">
        <v>1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1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1</v>
      </c>
      <c r="CA23" s="1">
        <v>0</v>
      </c>
      <c r="CB23" s="1">
        <v>1</v>
      </c>
      <c r="CC23" s="1">
        <v>0</v>
      </c>
      <c r="CD23" s="1">
        <v>1</v>
      </c>
      <c r="CE23" s="1">
        <v>1</v>
      </c>
      <c r="CF23" s="1">
        <v>1</v>
      </c>
      <c r="CG23" s="1">
        <v>0</v>
      </c>
      <c r="CH23" s="1">
        <v>1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1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1</v>
      </c>
      <c r="CZ23" s="1">
        <v>0</v>
      </c>
      <c r="DA23" s="1">
        <v>0</v>
      </c>
      <c r="DB23" s="1">
        <v>1</v>
      </c>
      <c r="DC23" s="1">
        <v>0</v>
      </c>
      <c r="DD23" s="1">
        <v>0</v>
      </c>
      <c r="DE23" s="1">
        <v>0</v>
      </c>
      <c r="DF23" s="1">
        <v>1</v>
      </c>
      <c r="DG23" s="1">
        <v>1</v>
      </c>
      <c r="DH23" s="1">
        <v>0</v>
      </c>
      <c r="DI23" s="1">
        <v>0</v>
      </c>
      <c r="DJ23" s="1">
        <v>0</v>
      </c>
      <c r="DK23" s="1">
        <v>1</v>
      </c>
      <c r="DL23" s="1">
        <v>0</v>
      </c>
      <c r="DM23" s="1">
        <v>0</v>
      </c>
      <c r="DN23" s="1">
        <v>1</v>
      </c>
      <c r="DO23" s="1">
        <v>0</v>
      </c>
      <c r="DP23" s="1">
        <v>1</v>
      </c>
      <c r="DQ23" s="1">
        <v>1</v>
      </c>
      <c r="DR23" s="1">
        <v>0</v>
      </c>
      <c r="DS23" s="1">
        <v>0</v>
      </c>
      <c r="DT23" s="1">
        <v>1</v>
      </c>
      <c r="DU23" s="1">
        <v>0</v>
      </c>
      <c r="DV23" s="1">
        <v>1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1</v>
      </c>
      <c r="EC23" s="1" t="s">
        <v>330</v>
      </c>
      <c r="ED23" s="1" t="s">
        <v>331</v>
      </c>
      <c r="EE23" s="1" t="s">
        <v>332</v>
      </c>
      <c r="EF23" s="1" t="s">
        <v>331</v>
      </c>
      <c r="EG23" s="1" t="s">
        <v>332</v>
      </c>
      <c r="EH23" s="1" t="s">
        <v>330</v>
      </c>
      <c r="EI23" s="1" t="s">
        <v>331</v>
      </c>
      <c r="EJ23" s="1" t="s">
        <v>331</v>
      </c>
      <c r="EK23" s="1" t="s">
        <v>333</v>
      </c>
      <c r="EL23" s="1" t="s">
        <v>330</v>
      </c>
      <c r="EM23" s="1" t="s">
        <v>330</v>
      </c>
      <c r="EN23" s="1" t="s">
        <v>331</v>
      </c>
      <c r="EO23" s="1" t="s">
        <v>330</v>
      </c>
      <c r="EP23" s="1" t="s">
        <v>332</v>
      </c>
      <c r="EQ23" s="1" t="s">
        <v>330</v>
      </c>
      <c r="ER23" s="1" t="s">
        <v>332</v>
      </c>
      <c r="ES23" s="1" t="s">
        <v>330</v>
      </c>
      <c r="ET23" s="1" t="s">
        <v>331</v>
      </c>
      <c r="EU23" s="1" t="s">
        <v>331</v>
      </c>
      <c r="EV23" s="1" t="s">
        <v>332</v>
      </c>
      <c r="EW23" s="1" t="s">
        <v>333</v>
      </c>
      <c r="EX23" s="1" t="s">
        <v>333</v>
      </c>
      <c r="EY23" s="1" t="s">
        <v>330</v>
      </c>
      <c r="EZ23" s="1" t="s">
        <v>332</v>
      </c>
      <c r="FA23" s="1" t="s">
        <v>332</v>
      </c>
      <c r="FB23" s="1" t="s">
        <v>333</v>
      </c>
      <c r="FC23" s="1" t="s">
        <v>331</v>
      </c>
      <c r="FD23" s="1" t="s">
        <v>330</v>
      </c>
      <c r="FE23" s="1" t="s">
        <v>332</v>
      </c>
      <c r="FF23" s="1" t="s">
        <v>330</v>
      </c>
      <c r="FG23" s="1" t="s">
        <v>333</v>
      </c>
      <c r="FH23" s="1" t="s">
        <v>330</v>
      </c>
      <c r="FI23" s="1" t="s">
        <v>330</v>
      </c>
      <c r="FJ23" s="1" t="s">
        <v>331</v>
      </c>
      <c r="FK23" s="1" t="s">
        <v>330</v>
      </c>
      <c r="FL23" s="1" t="s">
        <v>331</v>
      </c>
      <c r="FM23" s="1" t="s">
        <v>330</v>
      </c>
      <c r="FN23" s="1" t="s">
        <v>331</v>
      </c>
      <c r="FO23" s="1" t="s">
        <v>333</v>
      </c>
      <c r="FP23" s="1" t="s">
        <v>332</v>
      </c>
      <c r="FQ23" s="1" t="s">
        <v>333</v>
      </c>
      <c r="FR23" s="1" t="s">
        <v>333</v>
      </c>
      <c r="FS23" s="1" t="s">
        <v>331</v>
      </c>
      <c r="FT23" s="1" t="s">
        <v>332</v>
      </c>
      <c r="FU23" s="1" t="s">
        <v>331</v>
      </c>
      <c r="FV23" s="1" t="s">
        <v>330</v>
      </c>
      <c r="FW23" s="1" t="s">
        <v>331</v>
      </c>
      <c r="FX23" s="1" t="s">
        <v>333</v>
      </c>
      <c r="FY23" s="1" t="s">
        <v>330</v>
      </c>
      <c r="FZ23" s="1" t="s">
        <v>333</v>
      </c>
      <c r="GA23" s="1" t="s">
        <v>330</v>
      </c>
      <c r="GB23" s="1" t="s">
        <v>333</v>
      </c>
      <c r="GC23" s="1" t="s">
        <v>332</v>
      </c>
      <c r="GD23" s="1" t="s">
        <v>330</v>
      </c>
      <c r="GE23" s="1" t="s">
        <v>332</v>
      </c>
      <c r="GF23" s="1" t="s">
        <v>331</v>
      </c>
      <c r="GG23" s="1" t="s">
        <v>331</v>
      </c>
      <c r="GH23" s="1" t="s">
        <v>332</v>
      </c>
      <c r="GI23" s="1" t="s">
        <v>330</v>
      </c>
      <c r="GJ23" s="1" t="s">
        <v>330</v>
      </c>
      <c r="GK23" s="1" t="s">
        <v>333</v>
      </c>
      <c r="GL23" s="1" t="s">
        <v>331</v>
      </c>
      <c r="GM23" s="1" t="s">
        <v>330</v>
      </c>
      <c r="GN23" s="1" t="s">
        <v>333</v>
      </c>
      <c r="GO23" s="1" t="s">
        <v>333</v>
      </c>
      <c r="GP23" s="1" t="s">
        <v>331</v>
      </c>
      <c r="GQ23" s="1" t="s">
        <v>332</v>
      </c>
      <c r="GR23" s="1" t="s">
        <v>330</v>
      </c>
      <c r="GS23" s="1" t="s">
        <v>333</v>
      </c>
      <c r="GT23" s="1" t="s">
        <v>331</v>
      </c>
      <c r="GU23" s="1" t="s">
        <v>332</v>
      </c>
      <c r="GV23" s="1" t="s">
        <v>330</v>
      </c>
      <c r="GW23" s="1" t="s">
        <v>333</v>
      </c>
      <c r="GX23" s="1" t="s">
        <v>333</v>
      </c>
      <c r="GY23" s="1" t="s">
        <v>332</v>
      </c>
      <c r="GZ23" s="1" t="s">
        <v>333</v>
      </c>
      <c r="HA23" s="1" t="s">
        <v>331</v>
      </c>
      <c r="HB23" s="1" t="s">
        <v>331</v>
      </c>
      <c r="HC23" s="1" t="s">
        <v>330</v>
      </c>
      <c r="HD23" s="1" t="s">
        <v>333</v>
      </c>
      <c r="HE23" s="1" t="s">
        <v>333</v>
      </c>
      <c r="HF23" s="1" t="s">
        <v>333</v>
      </c>
      <c r="HG23" s="1" t="s">
        <v>331</v>
      </c>
      <c r="HH23" s="1" t="s">
        <v>332</v>
      </c>
      <c r="HI23" s="1" t="s">
        <v>331</v>
      </c>
      <c r="HJ23" s="1" t="s">
        <v>330</v>
      </c>
      <c r="HK23" s="1" t="s">
        <v>330</v>
      </c>
      <c r="HL23" s="1" t="s">
        <v>332</v>
      </c>
      <c r="HM23" s="1" t="s">
        <v>331</v>
      </c>
      <c r="HN23" s="1" t="s">
        <v>333</v>
      </c>
      <c r="HO23" s="1" t="s">
        <v>333</v>
      </c>
      <c r="HP23" s="1" t="s">
        <v>331</v>
      </c>
      <c r="HQ23" s="1" t="s">
        <v>333</v>
      </c>
      <c r="HR23" s="1" t="s">
        <v>330</v>
      </c>
      <c r="HS23" s="1" t="s">
        <v>333</v>
      </c>
      <c r="HT23" s="1" t="s">
        <v>331</v>
      </c>
      <c r="HU23" s="1" t="s">
        <v>331</v>
      </c>
      <c r="HV23" s="1" t="s">
        <v>330</v>
      </c>
      <c r="HW23" s="1" t="s">
        <v>330</v>
      </c>
      <c r="HX23" s="1" t="s">
        <v>332</v>
      </c>
      <c r="HY23" s="1" t="s">
        <v>332</v>
      </c>
      <c r="HZ23" s="1" t="s">
        <v>330</v>
      </c>
      <c r="IA23" s="1" t="s">
        <v>331</v>
      </c>
      <c r="IB23" s="1" t="s">
        <v>331</v>
      </c>
      <c r="IC23" s="1" t="s">
        <v>330</v>
      </c>
      <c r="ID23" s="1" t="s">
        <v>330</v>
      </c>
      <c r="IE23" s="1" t="s">
        <v>331</v>
      </c>
      <c r="IF23" s="1" t="s">
        <v>333</v>
      </c>
      <c r="IG23" s="1" t="s">
        <v>331</v>
      </c>
      <c r="IH23" s="1" t="s">
        <v>333</v>
      </c>
      <c r="II23" s="1" t="s">
        <v>330</v>
      </c>
      <c r="IJ23" s="1" t="s">
        <v>330</v>
      </c>
      <c r="IK23" s="1" t="s">
        <v>331</v>
      </c>
      <c r="IL23" s="1" t="s">
        <v>333</v>
      </c>
      <c r="IM23" s="1" t="s">
        <v>332</v>
      </c>
      <c r="IN23" s="1" t="s">
        <v>331</v>
      </c>
      <c r="IO23" s="1" t="s">
        <v>332</v>
      </c>
      <c r="IP23" s="1" t="s">
        <v>330</v>
      </c>
      <c r="IQ23" s="1" t="s">
        <v>333</v>
      </c>
      <c r="IR23" s="1" t="s">
        <v>331</v>
      </c>
    </row>
    <row r="24" spans="1:252" s="1" customFormat="1" x14ac:dyDescent="0.35">
      <c r="A24" s="1" t="s">
        <v>1721</v>
      </c>
      <c r="D24" s="1" t="s">
        <v>1761</v>
      </c>
      <c r="E24" s="1">
        <v>6201</v>
      </c>
      <c r="G24" s="1" t="s">
        <v>316</v>
      </c>
      <c r="H24" s="1" t="s">
        <v>311</v>
      </c>
      <c r="I24" s="1" t="s">
        <v>317</v>
      </c>
      <c r="J24" s="1" t="s">
        <v>1732</v>
      </c>
      <c r="K24" s="1" t="s">
        <v>1724</v>
      </c>
      <c r="M24" s="1">
        <v>1</v>
      </c>
      <c r="N24" s="1">
        <v>0</v>
      </c>
      <c r="O24" s="1">
        <v>0</v>
      </c>
      <c r="P24" s="1">
        <v>0</v>
      </c>
      <c r="Q24" s="1">
        <v>0</v>
      </c>
      <c r="R24" s="1">
        <v>1</v>
      </c>
      <c r="S24" s="1">
        <v>0</v>
      </c>
      <c r="T24" s="1">
        <v>1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1</v>
      </c>
      <c r="AB24" s="1">
        <v>1</v>
      </c>
      <c r="AC24" s="1">
        <v>0</v>
      </c>
      <c r="AD24" s="1">
        <v>0</v>
      </c>
      <c r="AE24" s="1">
        <v>1</v>
      </c>
      <c r="AF24" s="1">
        <v>1</v>
      </c>
      <c r="AG24" s="1">
        <v>1</v>
      </c>
      <c r="AH24" s="1">
        <v>0</v>
      </c>
      <c r="AI24" s="1">
        <v>0</v>
      </c>
      <c r="AJ24" s="1">
        <v>0</v>
      </c>
      <c r="AK24" s="1">
        <v>0</v>
      </c>
      <c r="AL24" s="1">
        <v>1</v>
      </c>
      <c r="AM24" s="1">
        <v>1</v>
      </c>
      <c r="AN24" s="1">
        <v>1</v>
      </c>
      <c r="AO24" s="1">
        <v>0</v>
      </c>
      <c r="AP24" s="1">
        <v>1</v>
      </c>
      <c r="AQ24" s="1">
        <v>0</v>
      </c>
      <c r="AR24" s="1">
        <v>0</v>
      </c>
      <c r="AS24" s="1">
        <v>1</v>
      </c>
      <c r="AT24" s="1">
        <v>0</v>
      </c>
      <c r="AU24" s="1">
        <v>1</v>
      </c>
      <c r="AV24" s="1">
        <v>1</v>
      </c>
      <c r="AW24" s="1">
        <v>0</v>
      </c>
      <c r="AX24" s="1">
        <v>0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0</v>
      </c>
      <c r="BE24" s="1">
        <v>0</v>
      </c>
      <c r="BF24" s="1">
        <v>0</v>
      </c>
      <c r="BG24" s="1">
        <v>1</v>
      </c>
      <c r="BH24" s="1">
        <v>1</v>
      </c>
      <c r="BI24" s="1">
        <v>1</v>
      </c>
      <c r="BJ24" s="1">
        <v>1</v>
      </c>
      <c r="BK24" s="1">
        <v>0</v>
      </c>
      <c r="BL24" s="1">
        <v>1</v>
      </c>
      <c r="BM24" s="1">
        <v>0</v>
      </c>
      <c r="BN24" s="1">
        <v>1</v>
      </c>
      <c r="BO24" s="1">
        <v>1</v>
      </c>
      <c r="BP24" s="1">
        <v>1</v>
      </c>
      <c r="BQ24" s="1">
        <v>0</v>
      </c>
      <c r="BR24" s="1">
        <v>1</v>
      </c>
      <c r="BS24" s="1">
        <v>1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1</v>
      </c>
      <c r="CA24" s="1">
        <v>1</v>
      </c>
      <c r="CB24" s="1">
        <v>0</v>
      </c>
      <c r="CC24" s="1">
        <v>0</v>
      </c>
      <c r="CD24" s="1">
        <v>0</v>
      </c>
      <c r="CE24" s="1">
        <v>1</v>
      </c>
      <c r="CF24" s="1">
        <v>0</v>
      </c>
      <c r="CG24" s="1">
        <v>0</v>
      </c>
      <c r="CH24" s="1">
        <v>1</v>
      </c>
      <c r="CI24" s="1">
        <v>0</v>
      </c>
      <c r="CJ24" s="1">
        <v>0</v>
      </c>
      <c r="CK24" s="1">
        <v>1</v>
      </c>
      <c r="CL24" s="1">
        <v>1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1</v>
      </c>
      <c r="CS24" s="1">
        <v>1</v>
      </c>
      <c r="CT24" s="1">
        <v>0</v>
      </c>
      <c r="CU24" s="1">
        <v>1</v>
      </c>
      <c r="CV24" s="1">
        <v>1</v>
      </c>
      <c r="CW24" s="1">
        <v>0</v>
      </c>
      <c r="CX24" s="1">
        <v>1</v>
      </c>
      <c r="CY24" s="1">
        <v>1</v>
      </c>
      <c r="CZ24" s="1">
        <v>1</v>
      </c>
      <c r="DA24" s="1">
        <v>1</v>
      </c>
      <c r="DB24" s="1">
        <v>1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1</v>
      </c>
      <c r="DN24" s="1">
        <v>0</v>
      </c>
      <c r="DO24" s="1">
        <v>1</v>
      </c>
      <c r="DP24" s="1">
        <v>1</v>
      </c>
      <c r="DQ24" s="1">
        <v>1</v>
      </c>
      <c r="DR24" s="1">
        <v>0</v>
      </c>
      <c r="DS24" s="1">
        <v>0</v>
      </c>
      <c r="DT24" s="1">
        <v>0</v>
      </c>
      <c r="DU24" s="1">
        <v>1</v>
      </c>
      <c r="DV24" s="1">
        <v>0</v>
      </c>
      <c r="DW24" s="1">
        <v>1</v>
      </c>
      <c r="DX24" s="1">
        <v>0</v>
      </c>
      <c r="DY24" s="1">
        <v>0</v>
      </c>
      <c r="DZ24" s="1">
        <v>1</v>
      </c>
      <c r="EA24" s="1">
        <v>0</v>
      </c>
      <c r="EB24" s="1">
        <v>0</v>
      </c>
      <c r="EC24" s="1" t="s">
        <v>331</v>
      </c>
      <c r="ED24" s="1" t="s">
        <v>331</v>
      </c>
      <c r="EE24" s="1" t="s">
        <v>332</v>
      </c>
      <c r="EF24" s="1" t="s">
        <v>330</v>
      </c>
      <c r="EG24" s="1" t="s">
        <v>332</v>
      </c>
      <c r="EH24" s="1" t="s">
        <v>333</v>
      </c>
      <c r="EI24" s="1" t="s">
        <v>330</v>
      </c>
      <c r="EJ24" s="1" t="s">
        <v>331</v>
      </c>
      <c r="EK24" s="1" t="s">
        <v>330</v>
      </c>
      <c r="EL24" s="1" t="s">
        <v>330</v>
      </c>
      <c r="EM24" s="1" t="s">
        <v>332</v>
      </c>
      <c r="EN24" s="1" t="s">
        <v>332</v>
      </c>
      <c r="EO24" s="1" t="s">
        <v>330</v>
      </c>
      <c r="EP24" s="1" t="s">
        <v>331</v>
      </c>
      <c r="EQ24" s="1" t="s">
        <v>333</v>
      </c>
      <c r="ER24" s="1" t="s">
        <v>331</v>
      </c>
      <c r="ES24" s="1" t="s">
        <v>330</v>
      </c>
      <c r="ET24" s="1" t="s">
        <v>332</v>
      </c>
      <c r="EU24" s="1" t="s">
        <v>332</v>
      </c>
      <c r="EV24" s="1" t="s">
        <v>332</v>
      </c>
      <c r="EW24" s="1" t="s">
        <v>333</v>
      </c>
      <c r="EX24" s="1" t="s">
        <v>333</v>
      </c>
      <c r="EY24" s="1" t="s">
        <v>333</v>
      </c>
      <c r="EZ24" s="1" t="s">
        <v>333</v>
      </c>
      <c r="FA24" s="1" t="s">
        <v>332</v>
      </c>
      <c r="FB24" s="1" t="s">
        <v>330</v>
      </c>
      <c r="FC24" s="1" t="s">
        <v>333</v>
      </c>
      <c r="FD24" s="1" t="s">
        <v>331</v>
      </c>
      <c r="FE24" s="1" t="s">
        <v>332</v>
      </c>
      <c r="FF24" s="1" t="s">
        <v>331</v>
      </c>
      <c r="FG24" s="1" t="s">
        <v>330</v>
      </c>
      <c r="FH24" s="1" t="s">
        <v>330</v>
      </c>
      <c r="FI24" s="1" t="s">
        <v>331</v>
      </c>
      <c r="FJ24" s="1" t="s">
        <v>330</v>
      </c>
      <c r="FK24" s="1" t="s">
        <v>330</v>
      </c>
      <c r="FL24" s="1" t="s">
        <v>332</v>
      </c>
      <c r="FM24" s="1" t="s">
        <v>333</v>
      </c>
      <c r="FN24" s="1" t="s">
        <v>330</v>
      </c>
      <c r="FO24" s="1" t="s">
        <v>331</v>
      </c>
      <c r="FP24" s="1" t="s">
        <v>331</v>
      </c>
      <c r="FQ24" s="1" t="s">
        <v>332</v>
      </c>
      <c r="FR24" s="1" t="s">
        <v>332</v>
      </c>
      <c r="FS24" s="1" t="s">
        <v>332</v>
      </c>
      <c r="FT24" s="1" t="s">
        <v>330</v>
      </c>
      <c r="FU24" s="1" t="s">
        <v>331</v>
      </c>
      <c r="FV24" s="1" t="s">
        <v>330</v>
      </c>
      <c r="FW24" s="1" t="s">
        <v>332</v>
      </c>
      <c r="FX24" s="1" t="s">
        <v>333</v>
      </c>
      <c r="FY24" s="1" t="s">
        <v>332</v>
      </c>
      <c r="FZ24" s="1" t="s">
        <v>331</v>
      </c>
      <c r="GA24" s="1" t="s">
        <v>330</v>
      </c>
      <c r="GB24" s="1" t="s">
        <v>331</v>
      </c>
      <c r="GC24" s="1" t="s">
        <v>330</v>
      </c>
      <c r="GD24" s="1" t="s">
        <v>333</v>
      </c>
      <c r="GE24" s="1" t="s">
        <v>331</v>
      </c>
      <c r="GF24" s="1" t="s">
        <v>333</v>
      </c>
      <c r="GG24" s="1" t="s">
        <v>330</v>
      </c>
      <c r="GH24" s="1" t="s">
        <v>330</v>
      </c>
      <c r="GI24" s="1" t="s">
        <v>330</v>
      </c>
      <c r="GJ24" s="1" t="s">
        <v>330</v>
      </c>
      <c r="GK24" s="1" t="s">
        <v>330</v>
      </c>
      <c r="GL24" s="1" t="s">
        <v>331</v>
      </c>
      <c r="GM24" s="1" t="s">
        <v>331</v>
      </c>
      <c r="GN24" s="1" t="s">
        <v>333</v>
      </c>
      <c r="GO24" s="1" t="s">
        <v>333</v>
      </c>
      <c r="GP24" s="1" t="s">
        <v>331</v>
      </c>
      <c r="GQ24" s="1" t="s">
        <v>333</v>
      </c>
      <c r="GR24" s="1" t="s">
        <v>331</v>
      </c>
      <c r="GS24" s="1" t="s">
        <v>332</v>
      </c>
      <c r="GT24" s="1" t="s">
        <v>330</v>
      </c>
      <c r="GU24" s="1" t="s">
        <v>332</v>
      </c>
      <c r="GV24" s="1" t="s">
        <v>331</v>
      </c>
      <c r="GW24" s="1" t="s">
        <v>330</v>
      </c>
      <c r="GX24" s="1" t="s">
        <v>333</v>
      </c>
      <c r="GY24" s="1" t="s">
        <v>330</v>
      </c>
      <c r="GZ24" s="1" t="s">
        <v>330</v>
      </c>
      <c r="HA24" s="1" t="s">
        <v>330</v>
      </c>
      <c r="HB24" s="1" t="s">
        <v>332</v>
      </c>
      <c r="HC24" s="1" t="s">
        <v>333</v>
      </c>
      <c r="HD24" s="1" t="s">
        <v>332</v>
      </c>
      <c r="HE24" s="1" t="s">
        <v>333</v>
      </c>
      <c r="HF24" s="1" t="s">
        <v>332</v>
      </c>
      <c r="HG24" s="1" t="s">
        <v>330</v>
      </c>
      <c r="HH24" s="1" t="s">
        <v>333</v>
      </c>
      <c r="HI24" s="1" t="s">
        <v>333</v>
      </c>
      <c r="HJ24" s="1" t="s">
        <v>330</v>
      </c>
      <c r="HK24" s="1" t="s">
        <v>333</v>
      </c>
      <c r="HL24" s="1" t="s">
        <v>333</v>
      </c>
      <c r="HM24" s="1" t="s">
        <v>331</v>
      </c>
      <c r="HN24" s="1" t="s">
        <v>330</v>
      </c>
      <c r="HO24" s="1" t="s">
        <v>333</v>
      </c>
      <c r="HP24" s="1" t="s">
        <v>333</v>
      </c>
      <c r="HQ24" s="1" t="s">
        <v>331</v>
      </c>
      <c r="HR24" s="1" t="s">
        <v>330</v>
      </c>
      <c r="HS24" s="1" t="s">
        <v>333</v>
      </c>
      <c r="HT24" s="1" t="s">
        <v>333</v>
      </c>
      <c r="HU24" s="1" t="s">
        <v>331</v>
      </c>
      <c r="HV24" s="1" t="s">
        <v>333</v>
      </c>
      <c r="HW24" s="1" t="s">
        <v>331</v>
      </c>
      <c r="HX24" s="1" t="s">
        <v>331</v>
      </c>
      <c r="HY24" s="1" t="s">
        <v>330</v>
      </c>
      <c r="HZ24" s="1" t="s">
        <v>331</v>
      </c>
      <c r="IA24" s="1" t="s">
        <v>333</v>
      </c>
      <c r="IB24" s="1" t="s">
        <v>331</v>
      </c>
      <c r="IC24" s="1" t="s">
        <v>333</v>
      </c>
      <c r="ID24" s="1" t="s">
        <v>332</v>
      </c>
      <c r="IE24" s="1" t="s">
        <v>330</v>
      </c>
      <c r="IF24" s="1" t="s">
        <v>333</v>
      </c>
      <c r="IG24" s="1" t="s">
        <v>331</v>
      </c>
      <c r="IH24" s="1" t="s">
        <v>333</v>
      </c>
      <c r="II24" s="1" t="s">
        <v>333</v>
      </c>
      <c r="IJ24" s="1" t="s">
        <v>333</v>
      </c>
      <c r="IK24" s="1" t="s">
        <v>333</v>
      </c>
      <c r="IL24" s="1" t="s">
        <v>331</v>
      </c>
      <c r="IM24" s="1" t="s">
        <v>331</v>
      </c>
      <c r="IN24" s="1" t="s">
        <v>330</v>
      </c>
      <c r="IO24" s="1" t="s">
        <v>330</v>
      </c>
      <c r="IP24" s="1" t="s">
        <v>331</v>
      </c>
      <c r="IQ24" s="1" t="s">
        <v>331</v>
      </c>
      <c r="IR24" s="1" t="s">
        <v>332</v>
      </c>
    </row>
    <row r="25" spans="1:252" s="1" customFormat="1" x14ac:dyDescent="0.35">
      <c r="A25" s="1" t="s">
        <v>1721</v>
      </c>
      <c r="D25" s="1" t="s">
        <v>1762</v>
      </c>
      <c r="E25" s="1">
        <v>6203</v>
      </c>
      <c r="G25" s="1" t="s">
        <v>1695</v>
      </c>
      <c r="H25" s="1" t="s">
        <v>311</v>
      </c>
      <c r="I25" s="1" t="s">
        <v>326</v>
      </c>
      <c r="J25" s="1" t="s">
        <v>1732</v>
      </c>
      <c r="K25" s="1" t="s">
        <v>1724</v>
      </c>
      <c r="M25" s="1">
        <v>1</v>
      </c>
      <c r="N25" s="1">
        <v>0</v>
      </c>
      <c r="O25" s="1">
        <v>1</v>
      </c>
      <c r="P25" s="1">
        <v>1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1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1</v>
      </c>
      <c r="AF25" s="1">
        <v>0</v>
      </c>
      <c r="AG25" s="1">
        <v>1</v>
      </c>
      <c r="AH25" s="1">
        <v>0</v>
      </c>
      <c r="AI25" s="1">
        <v>0</v>
      </c>
      <c r="AJ25" s="1">
        <v>0</v>
      </c>
      <c r="AK25" s="1">
        <v>0</v>
      </c>
      <c r="AL25" s="1">
        <v>1</v>
      </c>
      <c r="AM25" s="1">
        <v>0</v>
      </c>
      <c r="AN25" s="1">
        <v>0</v>
      </c>
      <c r="AO25" s="1">
        <v>0</v>
      </c>
      <c r="AP25" s="1">
        <v>1</v>
      </c>
      <c r="AQ25" s="1">
        <v>0</v>
      </c>
      <c r="AR25" s="1">
        <v>1</v>
      </c>
      <c r="AS25" s="1">
        <v>0</v>
      </c>
      <c r="AT25" s="1">
        <v>0</v>
      </c>
      <c r="AU25" s="1">
        <v>1</v>
      </c>
      <c r="AV25" s="1">
        <v>1</v>
      </c>
      <c r="AW25" s="1">
        <v>0</v>
      </c>
      <c r="AX25" s="1">
        <v>0</v>
      </c>
      <c r="AY25" s="1">
        <v>0</v>
      </c>
      <c r="AZ25" s="1">
        <v>1</v>
      </c>
      <c r="BA25" s="1">
        <v>0</v>
      </c>
      <c r="BB25" s="1">
        <v>1</v>
      </c>
      <c r="BC25" s="1">
        <v>0</v>
      </c>
      <c r="BD25" s="1">
        <v>1</v>
      </c>
      <c r="BE25" s="1">
        <v>0</v>
      </c>
      <c r="BF25" s="1">
        <v>0</v>
      </c>
      <c r="BG25" s="1">
        <v>0</v>
      </c>
      <c r="BH25" s="1">
        <v>1</v>
      </c>
      <c r="BI25" s="1">
        <v>1</v>
      </c>
      <c r="BJ25" s="1">
        <v>0</v>
      </c>
      <c r="BK25" s="1">
        <v>1</v>
      </c>
      <c r="BL25" s="1">
        <v>1</v>
      </c>
      <c r="BM25" s="1">
        <v>0</v>
      </c>
      <c r="BN25" s="1">
        <v>1</v>
      </c>
      <c r="BO25" s="1">
        <v>0</v>
      </c>
      <c r="BP25" s="1">
        <v>1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1</v>
      </c>
      <c r="BY25" s="1">
        <v>0</v>
      </c>
      <c r="BZ25" s="1">
        <v>0</v>
      </c>
      <c r="CA25" s="1">
        <v>0</v>
      </c>
      <c r="CB25" s="1">
        <v>0</v>
      </c>
      <c r="CC25" s="1">
        <v>1</v>
      </c>
      <c r="CD25" s="1">
        <v>0</v>
      </c>
      <c r="CE25" s="1">
        <v>0</v>
      </c>
      <c r="CF25" s="1">
        <v>1</v>
      </c>
      <c r="CG25" s="1">
        <v>0</v>
      </c>
      <c r="CH25" s="1">
        <v>1</v>
      </c>
      <c r="CI25" s="1">
        <v>1</v>
      </c>
      <c r="CJ25" s="1">
        <v>0</v>
      </c>
      <c r="CK25" s="1">
        <v>1</v>
      </c>
      <c r="CL25" s="1">
        <v>0</v>
      </c>
      <c r="CM25" s="1">
        <v>0</v>
      </c>
      <c r="CN25" s="1">
        <v>1</v>
      </c>
      <c r="CO25" s="1">
        <v>1</v>
      </c>
      <c r="CP25" s="1">
        <v>0</v>
      </c>
      <c r="CQ25" s="1">
        <v>0</v>
      </c>
      <c r="CR25" s="1">
        <v>0</v>
      </c>
      <c r="CS25" s="1">
        <v>1</v>
      </c>
      <c r="CT25" s="1">
        <v>0</v>
      </c>
      <c r="CU25" s="1">
        <v>0</v>
      </c>
      <c r="CV25" s="1">
        <v>0</v>
      </c>
      <c r="CW25" s="1">
        <v>1</v>
      </c>
      <c r="CX25" s="1">
        <v>1</v>
      </c>
      <c r="CY25" s="1">
        <v>0</v>
      </c>
      <c r="CZ25" s="1">
        <v>0</v>
      </c>
      <c r="DA25" s="1">
        <v>0</v>
      </c>
      <c r="DB25" s="1">
        <v>1</v>
      </c>
      <c r="DC25" s="1">
        <v>0</v>
      </c>
      <c r="DD25" s="1">
        <v>0</v>
      </c>
      <c r="DE25" s="1">
        <v>0</v>
      </c>
      <c r="DF25" s="1">
        <v>0</v>
      </c>
      <c r="DG25" s="1">
        <v>1</v>
      </c>
      <c r="DH25" s="1">
        <v>0</v>
      </c>
      <c r="DI25" s="1">
        <v>1</v>
      </c>
      <c r="DJ25" s="1">
        <v>0</v>
      </c>
      <c r="DK25" s="1">
        <v>0</v>
      </c>
      <c r="DL25" s="1">
        <v>0</v>
      </c>
      <c r="DM25" s="1">
        <v>1</v>
      </c>
      <c r="DN25" s="1">
        <v>0</v>
      </c>
      <c r="DO25" s="1">
        <v>0</v>
      </c>
      <c r="DP25" s="1">
        <v>1</v>
      </c>
      <c r="DQ25" s="1">
        <v>1</v>
      </c>
      <c r="DR25" s="1">
        <v>0</v>
      </c>
      <c r="DS25" s="1">
        <v>1</v>
      </c>
      <c r="DT25" s="1">
        <v>1</v>
      </c>
      <c r="DU25" s="1">
        <v>0</v>
      </c>
      <c r="DV25" s="1">
        <v>1</v>
      </c>
      <c r="DW25" s="1">
        <v>0</v>
      </c>
      <c r="DX25" s="1">
        <v>0</v>
      </c>
      <c r="DY25" s="1">
        <v>1</v>
      </c>
      <c r="DZ25" s="1">
        <v>0</v>
      </c>
      <c r="EA25" s="1">
        <v>1</v>
      </c>
      <c r="EB25" s="1">
        <v>1</v>
      </c>
      <c r="EC25" s="1" t="s">
        <v>331</v>
      </c>
      <c r="ED25" s="1" t="s">
        <v>330</v>
      </c>
      <c r="EE25" s="1" t="s">
        <v>333</v>
      </c>
      <c r="EF25" s="1" t="s">
        <v>333</v>
      </c>
      <c r="EG25" s="1" t="s">
        <v>332</v>
      </c>
      <c r="EH25" s="1" t="s">
        <v>330</v>
      </c>
      <c r="EI25" s="1" t="s">
        <v>330</v>
      </c>
      <c r="EJ25" s="1" t="s">
        <v>333</v>
      </c>
      <c r="EK25" s="1" t="s">
        <v>330</v>
      </c>
      <c r="EL25" s="1" t="s">
        <v>330</v>
      </c>
      <c r="EM25" s="1" t="s">
        <v>330</v>
      </c>
      <c r="EN25" s="1" t="s">
        <v>332</v>
      </c>
      <c r="EO25" s="1" t="s">
        <v>332</v>
      </c>
      <c r="EP25" s="1" t="s">
        <v>331</v>
      </c>
      <c r="EQ25" s="1" t="s">
        <v>332</v>
      </c>
      <c r="ER25" s="1" t="s">
        <v>330</v>
      </c>
      <c r="ES25" s="1" t="s">
        <v>330</v>
      </c>
      <c r="ET25" s="1" t="s">
        <v>332</v>
      </c>
      <c r="EU25" s="1" t="s">
        <v>332</v>
      </c>
      <c r="EV25" s="1" t="s">
        <v>330</v>
      </c>
      <c r="EW25" s="1" t="s">
        <v>333</v>
      </c>
      <c r="EX25" s="1" t="s">
        <v>332</v>
      </c>
      <c r="EY25" s="1" t="s">
        <v>330</v>
      </c>
      <c r="EZ25" s="1" t="s">
        <v>330</v>
      </c>
      <c r="FA25" s="1" t="s">
        <v>330</v>
      </c>
      <c r="FB25" s="1" t="s">
        <v>330</v>
      </c>
      <c r="FC25" s="1" t="s">
        <v>332</v>
      </c>
      <c r="FD25" s="1" t="s">
        <v>330</v>
      </c>
      <c r="FE25" s="1" t="s">
        <v>330</v>
      </c>
      <c r="FF25" s="1" t="s">
        <v>331</v>
      </c>
      <c r="FG25" s="1" t="s">
        <v>330</v>
      </c>
      <c r="FH25" s="1" t="s">
        <v>332</v>
      </c>
      <c r="FI25" s="1" t="s">
        <v>333</v>
      </c>
      <c r="FJ25" s="1" t="s">
        <v>330</v>
      </c>
      <c r="FK25" s="1" t="s">
        <v>330</v>
      </c>
      <c r="FL25" s="1" t="s">
        <v>332</v>
      </c>
      <c r="FM25" s="1" t="s">
        <v>333</v>
      </c>
      <c r="FN25" s="1" t="s">
        <v>331</v>
      </c>
      <c r="FO25" s="1" t="s">
        <v>333</v>
      </c>
      <c r="FP25" s="1" t="s">
        <v>331</v>
      </c>
      <c r="FQ25" s="1" t="s">
        <v>330</v>
      </c>
      <c r="FR25" s="1" t="s">
        <v>332</v>
      </c>
      <c r="FS25" s="1" t="s">
        <v>331</v>
      </c>
      <c r="FT25" s="1" t="s">
        <v>333</v>
      </c>
      <c r="FU25" s="1" t="s">
        <v>331</v>
      </c>
      <c r="FV25" s="1" t="s">
        <v>330</v>
      </c>
      <c r="FW25" s="1" t="s">
        <v>330</v>
      </c>
      <c r="FX25" s="1" t="s">
        <v>333</v>
      </c>
      <c r="FY25" s="1" t="s">
        <v>332</v>
      </c>
      <c r="FZ25" s="1" t="s">
        <v>333</v>
      </c>
      <c r="GA25" s="1" t="s">
        <v>333</v>
      </c>
      <c r="GB25" s="1" t="s">
        <v>331</v>
      </c>
      <c r="GC25" s="1" t="s">
        <v>330</v>
      </c>
      <c r="GD25" s="1" t="s">
        <v>333</v>
      </c>
      <c r="GE25" s="1" t="s">
        <v>332</v>
      </c>
      <c r="GF25" s="1" t="s">
        <v>333</v>
      </c>
      <c r="GG25" s="1" t="s">
        <v>330</v>
      </c>
      <c r="GH25" s="1" t="s">
        <v>332</v>
      </c>
      <c r="GI25" s="1" t="s">
        <v>332</v>
      </c>
      <c r="GJ25" s="1" t="s">
        <v>330</v>
      </c>
      <c r="GK25" s="1" t="s">
        <v>330</v>
      </c>
      <c r="GL25" s="1" t="s">
        <v>331</v>
      </c>
      <c r="GM25" s="1" t="s">
        <v>332</v>
      </c>
      <c r="GN25" s="1" t="s">
        <v>331</v>
      </c>
      <c r="GO25" s="1" t="s">
        <v>330</v>
      </c>
      <c r="GP25" s="1" t="s">
        <v>333</v>
      </c>
      <c r="GQ25" s="1" t="s">
        <v>330</v>
      </c>
      <c r="GR25" s="1" t="s">
        <v>333</v>
      </c>
      <c r="GS25" s="1" t="s">
        <v>330</v>
      </c>
      <c r="GT25" s="1" t="s">
        <v>330</v>
      </c>
      <c r="GU25" s="1" t="s">
        <v>331</v>
      </c>
      <c r="GV25" s="1" t="s">
        <v>330</v>
      </c>
      <c r="GW25" s="1" t="s">
        <v>330</v>
      </c>
      <c r="GX25" s="1" t="s">
        <v>333</v>
      </c>
      <c r="GY25" s="1" t="s">
        <v>333</v>
      </c>
      <c r="GZ25" s="1" t="s">
        <v>330</v>
      </c>
      <c r="HA25" s="1" t="s">
        <v>330</v>
      </c>
      <c r="HB25" s="1" t="s">
        <v>333</v>
      </c>
      <c r="HC25" s="1" t="s">
        <v>330</v>
      </c>
      <c r="HD25" s="1" t="s">
        <v>330</v>
      </c>
      <c r="HE25" s="1" t="s">
        <v>330</v>
      </c>
      <c r="HF25" s="1" t="s">
        <v>330</v>
      </c>
      <c r="HG25" s="1" t="s">
        <v>333</v>
      </c>
      <c r="HH25" s="1" t="s">
        <v>330</v>
      </c>
      <c r="HI25" s="1" t="s">
        <v>333</v>
      </c>
      <c r="HJ25" s="1" t="s">
        <v>330</v>
      </c>
      <c r="HK25" s="1" t="s">
        <v>330</v>
      </c>
      <c r="HL25" s="1" t="s">
        <v>330</v>
      </c>
      <c r="HM25" s="1" t="s">
        <v>332</v>
      </c>
      <c r="HN25" s="1" t="s">
        <v>330</v>
      </c>
      <c r="HO25" s="1" t="s">
        <v>330</v>
      </c>
      <c r="HP25" s="1" t="s">
        <v>330</v>
      </c>
      <c r="HQ25" s="1" t="s">
        <v>330</v>
      </c>
      <c r="HR25" s="1" t="s">
        <v>330</v>
      </c>
      <c r="HS25" s="1" t="s">
        <v>330</v>
      </c>
      <c r="HT25" s="1" t="s">
        <v>333</v>
      </c>
      <c r="HU25" s="1" t="s">
        <v>331</v>
      </c>
      <c r="HV25" s="1" t="s">
        <v>331</v>
      </c>
      <c r="HW25" s="1" t="s">
        <v>330</v>
      </c>
      <c r="HX25" s="1" t="s">
        <v>330</v>
      </c>
      <c r="HY25" s="1" t="s">
        <v>331</v>
      </c>
      <c r="HZ25" s="1" t="s">
        <v>330</v>
      </c>
      <c r="IA25" s="1" t="s">
        <v>330</v>
      </c>
      <c r="IB25" s="1" t="s">
        <v>330</v>
      </c>
      <c r="IC25" s="1" t="s">
        <v>333</v>
      </c>
      <c r="ID25" s="1" t="s">
        <v>332</v>
      </c>
      <c r="IE25" s="1" t="s">
        <v>331</v>
      </c>
      <c r="IF25" s="1" t="s">
        <v>333</v>
      </c>
      <c r="IG25" s="1" t="s">
        <v>331</v>
      </c>
      <c r="IH25" s="1" t="s">
        <v>331</v>
      </c>
      <c r="II25" s="1" t="s">
        <v>331</v>
      </c>
      <c r="IJ25" s="1" t="s">
        <v>330</v>
      </c>
      <c r="IK25" s="1" t="s">
        <v>330</v>
      </c>
      <c r="IL25" s="1" t="s">
        <v>333</v>
      </c>
      <c r="IM25" s="1" t="s">
        <v>330</v>
      </c>
      <c r="IN25" s="1" t="s">
        <v>330</v>
      </c>
      <c r="IO25" s="1" t="s">
        <v>331</v>
      </c>
      <c r="IP25" s="1" t="s">
        <v>332</v>
      </c>
      <c r="IQ25" s="1" t="s">
        <v>332</v>
      </c>
      <c r="IR25" s="1" t="s">
        <v>331</v>
      </c>
    </row>
    <row r="26" spans="1:252" s="1" customFormat="1" x14ac:dyDescent="0.35">
      <c r="A26" s="1" t="s">
        <v>1721</v>
      </c>
      <c r="D26" s="1" t="s">
        <v>1763</v>
      </c>
      <c r="E26" s="1">
        <v>6204</v>
      </c>
      <c r="G26" s="1" t="s">
        <v>313</v>
      </c>
      <c r="H26" s="1" t="s">
        <v>311</v>
      </c>
      <c r="I26" s="1" t="s">
        <v>1683</v>
      </c>
      <c r="J26" s="1" t="s">
        <v>1732</v>
      </c>
      <c r="K26" s="1" t="s">
        <v>1724</v>
      </c>
      <c r="M26" s="1">
        <v>1</v>
      </c>
      <c r="N26" s="1">
        <v>0</v>
      </c>
      <c r="O26" s="1">
        <v>1</v>
      </c>
      <c r="P26" s="1">
        <v>1</v>
      </c>
      <c r="Q26" s="1">
        <v>0</v>
      </c>
      <c r="R26" s="1">
        <v>1</v>
      </c>
      <c r="S26" s="1">
        <v>0</v>
      </c>
      <c r="T26" s="1">
        <v>1</v>
      </c>
      <c r="U26" s="1">
        <v>1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1</v>
      </c>
      <c r="AC26" s="1">
        <v>0</v>
      </c>
      <c r="AD26" s="1">
        <v>1</v>
      </c>
      <c r="AE26" s="1">
        <v>1</v>
      </c>
      <c r="AF26" s="1">
        <v>0</v>
      </c>
      <c r="AG26" s="1">
        <v>1</v>
      </c>
      <c r="AH26" s="1">
        <v>1</v>
      </c>
      <c r="AI26" s="1">
        <v>0</v>
      </c>
      <c r="AJ26" s="1">
        <v>1</v>
      </c>
      <c r="AK26" s="1">
        <v>0</v>
      </c>
      <c r="AL26" s="1">
        <v>1</v>
      </c>
      <c r="AM26" s="1">
        <v>0</v>
      </c>
      <c r="AN26" s="1">
        <v>0</v>
      </c>
      <c r="AO26" s="1">
        <v>1</v>
      </c>
      <c r="AP26" s="1">
        <v>0</v>
      </c>
      <c r="AQ26" s="1">
        <v>1</v>
      </c>
      <c r="AR26" s="1">
        <v>0</v>
      </c>
      <c r="AS26" s="1">
        <v>1</v>
      </c>
      <c r="AT26" s="1">
        <v>0</v>
      </c>
      <c r="AU26" s="1">
        <v>1</v>
      </c>
      <c r="AV26" s="1">
        <v>1</v>
      </c>
      <c r="AW26" s="1">
        <v>1</v>
      </c>
      <c r="AX26" s="1">
        <v>0</v>
      </c>
      <c r="AY26" s="1">
        <v>1</v>
      </c>
      <c r="AZ26" s="1">
        <v>1</v>
      </c>
      <c r="BA26" s="1">
        <v>1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1</v>
      </c>
      <c r="BI26" s="1">
        <v>0</v>
      </c>
      <c r="BJ26" s="1">
        <v>0</v>
      </c>
      <c r="BK26" s="1">
        <v>0</v>
      </c>
      <c r="BL26" s="1">
        <v>1</v>
      </c>
      <c r="BM26" s="1">
        <v>1</v>
      </c>
      <c r="BN26" s="1">
        <v>0</v>
      </c>
      <c r="BO26" s="1">
        <v>1</v>
      </c>
      <c r="BP26" s="1">
        <v>0</v>
      </c>
      <c r="BQ26" s="1">
        <v>0</v>
      </c>
      <c r="BR26" s="1">
        <v>0</v>
      </c>
      <c r="BS26" s="1">
        <v>1</v>
      </c>
      <c r="BT26" s="1">
        <v>1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1</v>
      </c>
      <c r="CB26" s="1">
        <v>0</v>
      </c>
      <c r="CC26" s="1">
        <v>1</v>
      </c>
      <c r="CD26" s="1">
        <v>0</v>
      </c>
      <c r="CE26" s="1">
        <v>0</v>
      </c>
      <c r="CF26" s="1">
        <v>0</v>
      </c>
      <c r="CG26" s="1">
        <v>1</v>
      </c>
      <c r="CH26" s="1">
        <v>1</v>
      </c>
      <c r="CI26" s="1">
        <v>0</v>
      </c>
      <c r="CJ26" s="1">
        <v>1</v>
      </c>
      <c r="CK26" s="1">
        <v>1</v>
      </c>
      <c r="CL26" s="1">
        <v>0</v>
      </c>
      <c r="CM26" s="1">
        <v>0</v>
      </c>
      <c r="CN26" s="1">
        <v>1</v>
      </c>
      <c r="CO26" s="1">
        <v>1</v>
      </c>
      <c r="CP26" s="1">
        <v>0</v>
      </c>
      <c r="CQ26" s="1">
        <v>1</v>
      </c>
      <c r="CR26" s="1">
        <v>0</v>
      </c>
      <c r="CS26" s="1">
        <v>0</v>
      </c>
      <c r="CT26" s="1">
        <v>1</v>
      </c>
      <c r="CU26" s="1">
        <v>0</v>
      </c>
      <c r="CV26" s="1">
        <v>1</v>
      </c>
      <c r="CW26" s="1">
        <v>0</v>
      </c>
      <c r="CX26" s="1">
        <v>0</v>
      </c>
      <c r="CY26" s="1">
        <v>0</v>
      </c>
      <c r="CZ26" s="1">
        <v>1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1</v>
      </c>
      <c r="DG26" s="1">
        <v>0</v>
      </c>
      <c r="DH26" s="1">
        <v>1</v>
      </c>
      <c r="DI26" s="1">
        <v>1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1</v>
      </c>
      <c r="DU26" s="1">
        <v>1</v>
      </c>
      <c r="DV26" s="1">
        <v>0</v>
      </c>
      <c r="DW26" s="1">
        <v>0</v>
      </c>
      <c r="DX26" s="1">
        <v>1</v>
      </c>
      <c r="DY26" s="1">
        <v>1</v>
      </c>
      <c r="DZ26" s="1">
        <v>1</v>
      </c>
      <c r="EA26" s="1">
        <v>0</v>
      </c>
      <c r="EB26" s="1">
        <v>1</v>
      </c>
      <c r="EC26" s="1" t="s">
        <v>331</v>
      </c>
      <c r="ED26" s="1" t="s">
        <v>331</v>
      </c>
      <c r="EE26" s="1" t="s">
        <v>333</v>
      </c>
      <c r="EF26" s="1" t="s">
        <v>333</v>
      </c>
      <c r="EG26" s="1" t="s">
        <v>332</v>
      </c>
      <c r="EH26" s="1" t="s">
        <v>333</v>
      </c>
      <c r="EI26" s="1" t="s">
        <v>330</v>
      </c>
      <c r="EJ26" s="1" t="s">
        <v>331</v>
      </c>
      <c r="EK26" s="1" t="s">
        <v>333</v>
      </c>
      <c r="EL26" s="1" t="s">
        <v>333</v>
      </c>
      <c r="EM26" s="1" t="s">
        <v>333</v>
      </c>
      <c r="EN26" s="1" t="s">
        <v>332</v>
      </c>
      <c r="EO26" s="1" t="s">
        <v>333</v>
      </c>
      <c r="EP26" s="1" t="s">
        <v>332</v>
      </c>
      <c r="EQ26" s="1" t="s">
        <v>330</v>
      </c>
      <c r="ER26" s="1" t="s">
        <v>331</v>
      </c>
      <c r="ES26" s="1" t="s">
        <v>330</v>
      </c>
      <c r="ET26" s="1" t="s">
        <v>331</v>
      </c>
      <c r="EU26" s="1" t="s">
        <v>332</v>
      </c>
      <c r="EV26" s="1" t="s">
        <v>330</v>
      </c>
      <c r="EW26" s="1" t="s">
        <v>333</v>
      </c>
      <c r="EX26" s="1" t="s">
        <v>331</v>
      </c>
      <c r="EY26" s="1" t="s">
        <v>333</v>
      </c>
      <c r="EZ26" s="1" t="s">
        <v>331</v>
      </c>
      <c r="FA26" s="1" t="s">
        <v>332</v>
      </c>
      <c r="FB26" s="1" t="s">
        <v>330</v>
      </c>
      <c r="FC26" s="1" t="s">
        <v>332</v>
      </c>
      <c r="FD26" s="1" t="s">
        <v>330</v>
      </c>
      <c r="FE26" s="1" t="s">
        <v>331</v>
      </c>
      <c r="FF26" s="1" t="s">
        <v>330</v>
      </c>
      <c r="FG26" s="1" t="s">
        <v>331</v>
      </c>
      <c r="FH26" s="1" t="s">
        <v>330</v>
      </c>
      <c r="FI26" s="1" t="s">
        <v>331</v>
      </c>
      <c r="FJ26" s="1" t="s">
        <v>331</v>
      </c>
      <c r="FK26" s="1" t="s">
        <v>330</v>
      </c>
      <c r="FL26" s="1" t="s">
        <v>332</v>
      </c>
      <c r="FM26" s="1" t="s">
        <v>330</v>
      </c>
      <c r="FN26" s="1" t="s">
        <v>330</v>
      </c>
      <c r="FO26" s="1" t="s">
        <v>331</v>
      </c>
      <c r="FP26" s="1" t="s">
        <v>331</v>
      </c>
      <c r="FQ26" s="1" t="s">
        <v>332</v>
      </c>
      <c r="FR26" s="1" t="s">
        <v>331</v>
      </c>
      <c r="FS26" s="1" t="s">
        <v>331</v>
      </c>
      <c r="FT26" s="1" t="s">
        <v>331</v>
      </c>
      <c r="FU26" s="1" t="s">
        <v>333</v>
      </c>
      <c r="FV26" s="1" t="s">
        <v>330</v>
      </c>
      <c r="FW26" s="1" t="s">
        <v>330</v>
      </c>
      <c r="FX26" s="1" t="s">
        <v>333</v>
      </c>
      <c r="FY26" s="1" t="s">
        <v>330</v>
      </c>
      <c r="FZ26" s="1" t="s">
        <v>330</v>
      </c>
      <c r="GA26" s="1" t="s">
        <v>332</v>
      </c>
      <c r="GB26" s="1" t="s">
        <v>331</v>
      </c>
      <c r="GC26" s="1" t="s">
        <v>332</v>
      </c>
      <c r="GD26" s="1" t="s">
        <v>332</v>
      </c>
      <c r="GE26" s="1" t="s">
        <v>331</v>
      </c>
      <c r="GF26" s="1" t="s">
        <v>330</v>
      </c>
      <c r="GG26" s="1" t="s">
        <v>330</v>
      </c>
      <c r="GH26" s="1" t="s">
        <v>332</v>
      </c>
      <c r="GI26" s="1" t="s">
        <v>330</v>
      </c>
      <c r="GJ26" s="1" t="s">
        <v>332</v>
      </c>
      <c r="GK26" s="1" t="s">
        <v>331</v>
      </c>
      <c r="GL26" s="1" t="s">
        <v>330</v>
      </c>
      <c r="GM26" s="1" t="s">
        <v>331</v>
      </c>
      <c r="GN26" s="1" t="s">
        <v>333</v>
      </c>
      <c r="GO26" s="1" t="s">
        <v>330</v>
      </c>
      <c r="GP26" s="1" t="s">
        <v>332</v>
      </c>
      <c r="GQ26" s="1" t="s">
        <v>333</v>
      </c>
      <c r="GR26" s="1" t="s">
        <v>331</v>
      </c>
      <c r="GS26" s="1" t="s">
        <v>330</v>
      </c>
      <c r="GT26" s="1" t="s">
        <v>330</v>
      </c>
      <c r="GU26" s="1" t="s">
        <v>331</v>
      </c>
      <c r="GV26" s="1" t="s">
        <v>331</v>
      </c>
      <c r="GW26" s="1" t="s">
        <v>331</v>
      </c>
      <c r="GX26" s="1" t="s">
        <v>333</v>
      </c>
      <c r="GY26" s="1" t="s">
        <v>332</v>
      </c>
      <c r="GZ26" s="1" t="s">
        <v>331</v>
      </c>
      <c r="HA26" s="1" t="s">
        <v>330</v>
      </c>
      <c r="HB26" s="1" t="s">
        <v>333</v>
      </c>
      <c r="HC26" s="1" t="s">
        <v>333</v>
      </c>
      <c r="HD26" s="1" t="s">
        <v>330</v>
      </c>
      <c r="HE26" s="1" t="s">
        <v>330</v>
      </c>
      <c r="HF26" s="1" t="s">
        <v>330</v>
      </c>
      <c r="HG26" s="1" t="s">
        <v>331</v>
      </c>
      <c r="HH26" s="1" t="s">
        <v>331</v>
      </c>
      <c r="HI26" s="1" t="s">
        <v>330</v>
      </c>
      <c r="HJ26" s="1" t="s">
        <v>331</v>
      </c>
      <c r="HK26" s="1" t="s">
        <v>332</v>
      </c>
      <c r="HL26" s="1" t="s">
        <v>333</v>
      </c>
      <c r="HM26" s="1" t="s">
        <v>331</v>
      </c>
      <c r="HN26" s="1" t="s">
        <v>332</v>
      </c>
      <c r="HO26" s="1" t="s">
        <v>330</v>
      </c>
      <c r="HP26" s="1" t="s">
        <v>333</v>
      </c>
      <c r="HQ26" s="1" t="s">
        <v>330</v>
      </c>
      <c r="HR26" s="1" t="s">
        <v>331</v>
      </c>
      <c r="HS26" s="1" t="s">
        <v>330</v>
      </c>
      <c r="HT26" s="1" t="s">
        <v>330</v>
      </c>
      <c r="HU26" s="1" t="s">
        <v>331</v>
      </c>
      <c r="HV26" s="1" t="s">
        <v>330</v>
      </c>
      <c r="HW26" s="1" t="s">
        <v>332</v>
      </c>
      <c r="HX26" s="1" t="s">
        <v>333</v>
      </c>
      <c r="HY26" s="1" t="s">
        <v>331</v>
      </c>
      <c r="HZ26" s="1" t="s">
        <v>332</v>
      </c>
      <c r="IA26" s="1" t="s">
        <v>330</v>
      </c>
      <c r="IB26" s="1" t="s">
        <v>331</v>
      </c>
      <c r="IC26" s="1" t="s">
        <v>331</v>
      </c>
      <c r="ID26" s="1" t="s">
        <v>332</v>
      </c>
      <c r="IE26" s="1" t="s">
        <v>333</v>
      </c>
      <c r="IF26" s="1" t="s">
        <v>332</v>
      </c>
      <c r="IG26" s="1" t="s">
        <v>330</v>
      </c>
      <c r="IH26" s="1" t="s">
        <v>331</v>
      </c>
      <c r="II26" s="1" t="s">
        <v>330</v>
      </c>
      <c r="IJ26" s="1" t="s">
        <v>330</v>
      </c>
      <c r="IK26" s="1" t="s">
        <v>333</v>
      </c>
      <c r="IL26" s="1" t="s">
        <v>331</v>
      </c>
      <c r="IM26" s="1" t="s">
        <v>332</v>
      </c>
      <c r="IN26" s="1" t="s">
        <v>333</v>
      </c>
      <c r="IO26" s="1" t="s">
        <v>331</v>
      </c>
      <c r="IP26" s="1" t="s">
        <v>331</v>
      </c>
      <c r="IQ26" s="1" t="s">
        <v>331</v>
      </c>
      <c r="IR26" s="1" t="s">
        <v>331</v>
      </c>
    </row>
    <row r="27" spans="1:252" s="1" customFormat="1" x14ac:dyDescent="0.35">
      <c r="A27" s="1" t="s">
        <v>1721</v>
      </c>
      <c r="D27" s="1" t="s">
        <v>1764</v>
      </c>
      <c r="E27" s="1">
        <v>6207</v>
      </c>
      <c r="G27" s="1" t="s">
        <v>321</v>
      </c>
      <c r="H27" s="1" t="s">
        <v>311</v>
      </c>
      <c r="I27" s="1" t="s">
        <v>1701</v>
      </c>
      <c r="J27" s="1" t="s">
        <v>1732</v>
      </c>
      <c r="K27" s="1" t="s">
        <v>1724</v>
      </c>
      <c r="M27" s="1">
        <v>1</v>
      </c>
      <c r="N27" s="1">
        <v>0</v>
      </c>
      <c r="O27" s="1">
        <v>1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1</v>
      </c>
      <c r="V27" s="1">
        <v>1</v>
      </c>
      <c r="W27" s="1">
        <v>1</v>
      </c>
      <c r="X27" s="1">
        <v>0</v>
      </c>
      <c r="Y27" s="1">
        <v>0</v>
      </c>
      <c r="Z27" s="1">
        <v>0</v>
      </c>
      <c r="AA27" s="1">
        <v>0</v>
      </c>
      <c r="AB27" s="1">
        <v>1</v>
      </c>
      <c r="AC27" s="1">
        <v>0</v>
      </c>
      <c r="AD27" s="1">
        <v>0</v>
      </c>
      <c r="AE27" s="1">
        <v>1</v>
      </c>
      <c r="AF27" s="1">
        <v>0</v>
      </c>
      <c r="AG27" s="1">
        <v>0</v>
      </c>
      <c r="AH27" s="1">
        <v>1</v>
      </c>
      <c r="AI27" s="1">
        <v>0</v>
      </c>
      <c r="AJ27" s="1">
        <v>1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1</v>
      </c>
      <c r="AQ27" s="1">
        <v>1</v>
      </c>
      <c r="AR27" s="1">
        <v>0</v>
      </c>
      <c r="AS27" s="1">
        <v>0</v>
      </c>
      <c r="AT27" s="1">
        <v>0</v>
      </c>
      <c r="AU27" s="1">
        <v>1</v>
      </c>
      <c r="AV27" s="1">
        <v>1</v>
      </c>
      <c r="AW27" s="1">
        <v>1</v>
      </c>
      <c r="AX27" s="1">
        <v>0</v>
      </c>
      <c r="AY27" s="1">
        <v>1</v>
      </c>
      <c r="AZ27" s="1">
        <v>0</v>
      </c>
      <c r="BA27" s="1">
        <v>0</v>
      </c>
      <c r="BB27" s="1">
        <v>1</v>
      </c>
      <c r="BC27" s="1">
        <v>1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1</v>
      </c>
      <c r="BL27" s="1">
        <v>1</v>
      </c>
      <c r="BM27" s="1">
        <v>1</v>
      </c>
      <c r="BN27" s="1">
        <v>0</v>
      </c>
      <c r="BO27" s="1">
        <v>0</v>
      </c>
      <c r="BP27" s="1">
        <v>1</v>
      </c>
      <c r="BQ27" s="1">
        <v>1</v>
      </c>
      <c r="BR27" s="1">
        <v>1</v>
      </c>
      <c r="BS27" s="1">
        <v>0</v>
      </c>
      <c r="BT27" s="1">
        <v>0</v>
      </c>
      <c r="BU27" s="1">
        <v>1</v>
      </c>
      <c r="BV27" s="1">
        <v>0</v>
      </c>
      <c r="BW27" s="1">
        <v>0</v>
      </c>
      <c r="BX27" s="1">
        <v>1</v>
      </c>
      <c r="BY27" s="1">
        <v>0</v>
      </c>
      <c r="BZ27" s="1">
        <v>1</v>
      </c>
      <c r="CA27" s="1">
        <v>0</v>
      </c>
      <c r="CB27" s="1">
        <v>1</v>
      </c>
      <c r="CC27" s="1">
        <v>1</v>
      </c>
      <c r="CD27" s="1">
        <v>1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1</v>
      </c>
      <c r="CO27" s="1">
        <v>0</v>
      </c>
      <c r="CP27" s="1">
        <v>0</v>
      </c>
      <c r="CQ27" s="1">
        <v>0</v>
      </c>
      <c r="CR27" s="1">
        <v>1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1</v>
      </c>
      <c r="DB27" s="1">
        <v>0</v>
      </c>
      <c r="DC27" s="1">
        <v>1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1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1</v>
      </c>
      <c r="DP27" s="1">
        <v>1</v>
      </c>
      <c r="DQ27" s="1">
        <v>0</v>
      </c>
      <c r="DR27" s="1">
        <v>1</v>
      </c>
      <c r="DS27" s="1">
        <v>0</v>
      </c>
      <c r="DT27" s="1">
        <v>0</v>
      </c>
      <c r="DU27" s="1">
        <v>0</v>
      </c>
      <c r="DV27" s="1">
        <v>1</v>
      </c>
      <c r="DW27" s="1">
        <v>1</v>
      </c>
      <c r="DX27" s="1">
        <v>1</v>
      </c>
      <c r="DY27" s="1">
        <v>0</v>
      </c>
      <c r="DZ27" s="1">
        <v>0</v>
      </c>
      <c r="EA27" s="1">
        <v>0</v>
      </c>
      <c r="EB27" s="1">
        <v>1</v>
      </c>
      <c r="EC27" s="1" t="s">
        <v>331</v>
      </c>
      <c r="ED27" s="1" t="s">
        <v>330</v>
      </c>
      <c r="EE27" s="1" t="s">
        <v>333</v>
      </c>
      <c r="EF27" s="1" t="s">
        <v>332</v>
      </c>
      <c r="EG27" s="1" t="s">
        <v>332</v>
      </c>
      <c r="EH27" s="1" t="s">
        <v>330</v>
      </c>
      <c r="EI27" s="1" t="s">
        <v>331</v>
      </c>
      <c r="EJ27" s="1" t="s">
        <v>332</v>
      </c>
      <c r="EK27" s="1" t="s">
        <v>333</v>
      </c>
      <c r="EL27" s="1" t="s">
        <v>331</v>
      </c>
      <c r="EM27" s="1" t="s">
        <v>331</v>
      </c>
      <c r="EN27" s="1" t="s">
        <v>332</v>
      </c>
      <c r="EO27" s="1" t="s">
        <v>330</v>
      </c>
      <c r="EP27" s="1" t="s">
        <v>332</v>
      </c>
      <c r="EQ27" s="1" t="s">
        <v>332</v>
      </c>
      <c r="ER27" s="1" t="s">
        <v>331</v>
      </c>
      <c r="ES27" s="1" t="s">
        <v>330</v>
      </c>
      <c r="ET27" s="1" t="s">
        <v>333</v>
      </c>
      <c r="EU27" s="1" t="s">
        <v>332</v>
      </c>
      <c r="EV27" s="1" t="s">
        <v>330</v>
      </c>
      <c r="EW27" s="1" t="s">
        <v>332</v>
      </c>
      <c r="EX27" s="1" t="s">
        <v>331</v>
      </c>
      <c r="EY27" s="1" t="s">
        <v>330</v>
      </c>
      <c r="EZ27" s="1" t="s">
        <v>331</v>
      </c>
      <c r="FA27" s="1" t="s">
        <v>333</v>
      </c>
      <c r="FB27" s="1" t="s">
        <v>331</v>
      </c>
      <c r="FC27" s="1" t="s">
        <v>330</v>
      </c>
      <c r="FD27" s="1" t="s">
        <v>330</v>
      </c>
      <c r="FE27" s="1" t="s">
        <v>330</v>
      </c>
      <c r="FF27" s="1" t="s">
        <v>331</v>
      </c>
      <c r="FG27" s="1" t="s">
        <v>331</v>
      </c>
      <c r="FH27" s="1" t="s">
        <v>330</v>
      </c>
      <c r="FI27" s="1" t="s">
        <v>332</v>
      </c>
      <c r="FJ27" s="1" t="s">
        <v>330</v>
      </c>
      <c r="FK27" s="1" t="s">
        <v>330</v>
      </c>
      <c r="FL27" s="1" t="s">
        <v>332</v>
      </c>
      <c r="FM27" s="1" t="s">
        <v>330</v>
      </c>
      <c r="FN27" s="1" t="s">
        <v>333</v>
      </c>
      <c r="FO27" s="1" t="s">
        <v>331</v>
      </c>
      <c r="FP27" s="1" t="s">
        <v>332</v>
      </c>
      <c r="FQ27" s="1" t="s">
        <v>330</v>
      </c>
      <c r="FR27" s="1" t="s">
        <v>332</v>
      </c>
      <c r="FS27" s="1" t="s">
        <v>332</v>
      </c>
      <c r="FT27" s="1" t="s">
        <v>330</v>
      </c>
      <c r="FU27" s="1" t="s">
        <v>333</v>
      </c>
      <c r="FV27" s="1" t="s">
        <v>332</v>
      </c>
      <c r="FW27" s="1" t="s">
        <v>331</v>
      </c>
      <c r="FX27" s="1" t="s">
        <v>332</v>
      </c>
      <c r="FY27" s="1" t="s">
        <v>330</v>
      </c>
      <c r="FZ27" s="1" t="s">
        <v>330</v>
      </c>
      <c r="GA27" s="1" t="s">
        <v>333</v>
      </c>
      <c r="GB27" s="1" t="s">
        <v>331</v>
      </c>
      <c r="GC27" s="1" t="s">
        <v>332</v>
      </c>
      <c r="GD27" s="1" t="s">
        <v>332</v>
      </c>
      <c r="GE27" s="1" t="s">
        <v>330</v>
      </c>
      <c r="GF27" s="1" t="s">
        <v>333</v>
      </c>
      <c r="GG27" s="1" t="s">
        <v>333</v>
      </c>
      <c r="GH27" s="1" t="s">
        <v>330</v>
      </c>
      <c r="GI27" s="1" t="s">
        <v>331</v>
      </c>
      <c r="GJ27" s="1" t="s">
        <v>333</v>
      </c>
      <c r="GK27" s="1" t="s">
        <v>332</v>
      </c>
      <c r="GL27" s="1" t="s">
        <v>331</v>
      </c>
      <c r="GM27" s="1" t="s">
        <v>330</v>
      </c>
      <c r="GN27" s="1" t="s">
        <v>331</v>
      </c>
      <c r="GO27" s="1" t="s">
        <v>330</v>
      </c>
      <c r="GP27" s="1" t="s">
        <v>331</v>
      </c>
      <c r="GQ27" s="1" t="s">
        <v>331</v>
      </c>
      <c r="GR27" s="1" t="s">
        <v>330</v>
      </c>
      <c r="GS27" s="1" t="s">
        <v>330</v>
      </c>
      <c r="GT27" s="1" t="s">
        <v>331</v>
      </c>
      <c r="GU27" s="1" t="s">
        <v>331</v>
      </c>
      <c r="GV27" s="1" t="s">
        <v>333</v>
      </c>
      <c r="GW27" s="1" t="s">
        <v>330</v>
      </c>
      <c r="GX27" s="1" t="s">
        <v>331</v>
      </c>
      <c r="GY27" s="1" t="s">
        <v>330</v>
      </c>
      <c r="GZ27" s="1" t="s">
        <v>333</v>
      </c>
      <c r="HA27" s="1" t="s">
        <v>332</v>
      </c>
      <c r="HB27" s="1" t="s">
        <v>333</v>
      </c>
      <c r="HC27" s="1" t="s">
        <v>331</v>
      </c>
      <c r="HD27" s="1" t="s">
        <v>330</v>
      </c>
      <c r="HE27" s="1" t="s">
        <v>331</v>
      </c>
      <c r="HF27" s="1" t="s">
        <v>330</v>
      </c>
      <c r="HG27" s="1" t="s">
        <v>332</v>
      </c>
      <c r="HH27" s="1" t="s">
        <v>333</v>
      </c>
      <c r="HI27" s="1" t="s">
        <v>331</v>
      </c>
      <c r="HJ27" s="1" t="s">
        <v>333</v>
      </c>
      <c r="HK27" s="1" t="s">
        <v>331</v>
      </c>
      <c r="HL27" s="1" t="s">
        <v>330</v>
      </c>
      <c r="HM27" s="1" t="s">
        <v>333</v>
      </c>
      <c r="HN27" s="1" t="s">
        <v>331</v>
      </c>
      <c r="HO27" s="1" t="s">
        <v>331</v>
      </c>
      <c r="HP27" s="1" t="s">
        <v>332</v>
      </c>
      <c r="HQ27" s="1" t="s">
        <v>331</v>
      </c>
      <c r="HR27" s="1" t="s">
        <v>332</v>
      </c>
      <c r="HS27" s="1" t="s">
        <v>331</v>
      </c>
      <c r="HT27" s="1" t="s">
        <v>331</v>
      </c>
      <c r="HU27" s="1" t="s">
        <v>330</v>
      </c>
      <c r="HV27" s="1" t="s">
        <v>332</v>
      </c>
      <c r="HW27" s="1" t="s">
        <v>333</v>
      </c>
      <c r="HX27" s="1" t="s">
        <v>330</v>
      </c>
      <c r="HY27" s="1" t="s">
        <v>331</v>
      </c>
      <c r="HZ27" s="1" t="s">
        <v>330</v>
      </c>
      <c r="IA27" s="1" t="s">
        <v>334</v>
      </c>
      <c r="IB27" s="1" t="s">
        <v>331</v>
      </c>
      <c r="IC27" s="1" t="s">
        <v>331</v>
      </c>
      <c r="ID27" s="1" t="s">
        <v>333</v>
      </c>
      <c r="IE27" s="1" t="s">
        <v>330</v>
      </c>
      <c r="IF27" s="1" t="s">
        <v>333</v>
      </c>
      <c r="IG27" s="1" t="s">
        <v>332</v>
      </c>
      <c r="IH27" s="1" t="s">
        <v>330</v>
      </c>
      <c r="II27" s="1" t="s">
        <v>333</v>
      </c>
      <c r="IJ27" s="1" t="s">
        <v>333</v>
      </c>
      <c r="IK27" s="1" t="s">
        <v>332</v>
      </c>
      <c r="IL27" s="1" t="s">
        <v>333</v>
      </c>
      <c r="IM27" s="1" t="s">
        <v>331</v>
      </c>
      <c r="IN27" s="1" t="s">
        <v>333</v>
      </c>
      <c r="IO27" s="1" t="s">
        <v>330</v>
      </c>
      <c r="IP27" s="1" t="s">
        <v>333</v>
      </c>
      <c r="IR27" s="1" t="s">
        <v>331</v>
      </c>
    </row>
    <row r="28" spans="1:252" s="1" customFormat="1" x14ac:dyDescent="0.35">
      <c r="A28" s="1" t="s">
        <v>1721</v>
      </c>
      <c r="D28" s="1" t="s">
        <v>1765</v>
      </c>
      <c r="E28" s="1">
        <v>6208</v>
      </c>
      <c r="G28" s="1" t="s">
        <v>1689</v>
      </c>
      <c r="H28" s="1" t="s">
        <v>311</v>
      </c>
      <c r="I28" s="1" t="s">
        <v>1694</v>
      </c>
      <c r="J28" s="1" t="s">
        <v>1733</v>
      </c>
      <c r="K28" s="1" t="s">
        <v>1724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1</v>
      </c>
      <c r="V28" s="1">
        <v>1</v>
      </c>
      <c r="W28" s="1">
        <v>0</v>
      </c>
      <c r="X28" s="1">
        <v>1</v>
      </c>
      <c r="Y28" s="1">
        <v>0</v>
      </c>
      <c r="Z28" s="1">
        <v>0</v>
      </c>
      <c r="AA28" s="1">
        <v>1</v>
      </c>
      <c r="AB28" s="1">
        <v>0</v>
      </c>
      <c r="AC28" s="1">
        <v>0</v>
      </c>
      <c r="AD28" s="1">
        <v>1</v>
      </c>
      <c r="AE28" s="1">
        <v>0</v>
      </c>
      <c r="AF28" s="1">
        <v>0</v>
      </c>
      <c r="AG28" s="1">
        <v>1</v>
      </c>
      <c r="AH28" s="1">
        <v>1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1</v>
      </c>
      <c r="AQ28" s="1">
        <v>0</v>
      </c>
      <c r="AR28" s="1">
        <v>0</v>
      </c>
      <c r="AS28" s="1">
        <v>1</v>
      </c>
      <c r="AT28" s="1">
        <v>0</v>
      </c>
      <c r="AU28" s="1">
        <v>1</v>
      </c>
      <c r="AV28" s="1">
        <v>1</v>
      </c>
      <c r="AW28" s="1">
        <v>0</v>
      </c>
      <c r="AX28" s="1">
        <v>1</v>
      </c>
      <c r="AY28" s="1">
        <v>0</v>
      </c>
      <c r="AZ28" s="1">
        <v>1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1</v>
      </c>
      <c r="BI28" s="1">
        <v>0</v>
      </c>
      <c r="BJ28" s="1">
        <v>1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1</v>
      </c>
      <c r="BY28" s="1">
        <v>0</v>
      </c>
      <c r="BZ28" s="1">
        <v>0</v>
      </c>
      <c r="CA28" s="1">
        <v>1</v>
      </c>
      <c r="CB28" s="1">
        <v>0</v>
      </c>
      <c r="CC28" s="1">
        <v>1</v>
      </c>
      <c r="CD28" s="1">
        <v>0</v>
      </c>
      <c r="CE28" s="1">
        <v>1</v>
      </c>
      <c r="CF28" s="1">
        <v>0</v>
      </c>
      <c r="CG28" s="1">
        <v>0</v>
      </c>
      <c r="CH28" s="1">
        <v>1</v>
      </c>
      <c r="CI28" s="1">
        <v>0</v>
      </c>
      <c r="CJ28" s="1">
        <v>0</v>
      </c>
      <c r="CK28" s="1">
        <v>0</v>
      </c>
      <c r="CL28" s="1">
        <v>1</v>
      </c>
      <c r="CM28" s="1">
        <v>1</v>
      </c>
      <c r="CN28" s="1">
        <v>1</v>
      </c>
      <c r="CO28" s="1">
        <v>0</v>
      </c>
      <c r="CP28" s="1">
        <v>0</v>
      </c>
      <c r="CQ28" s="1">
        <v>0</v>
      </c>
      <c r="CR28" s="1">
        <v>0</v>
      </c>
      <c r="CS28" s="1">
        <v>1</v>
      </c>
      <c r="CT28" s="1">
        <v>1</v>
      </c>
      <c r="CU28" s="1">
        <v>1</v>
      </c>
      <c r="CV28" s="1">
        <v>0</v>
      </c>
      <c r="CW28" s="1">
        <v>1</v>
      </c>
      <c r="CX28" s="1">
        <v>0</v>
      </c>
      <c r="CY28" s="1">
        <v>0</v>
      </c>
      <c r="CZ28" s="1">
        <v>1</v>
      </c>
      <c r="DA28" s="1">
        <v>1</v>
      </c>
      <c r="DB28" s="1">
        <v>0</v>
      </c>
      <c r="DC28" s="1">
        <v>0</v>
      </c>
      <c r="DD28" s="1">
        <v>0</v>
      </c>
      <c r="DE28" s="1">
        <v>1</v>
      </c>
      <c r="DF28" s="1">
        <v>1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1</v>
      </c>
      <c r="DN28" s="1">
        <v>0</v>
      </c>
      <c r="DO28" s="1">
        <v>1</v>
      </c>
      <c r="DP28" s="1">
        <v>0</v>
      </c>
      <c r="DQ28" s="1">
        <v>0</v>
      </c>
      <c r="DR28" s="1">
        <v>0</v>
      </c>
      <c r="DS28" s="1">
        <v>1</v>
      </c>
      <c r="DT28" s="1">
        <v>1</v>
      </c>
      <c r="DU28" s="1">
        <v>0</v>
      </c>
      <c r="DV28" s="1">
        <v>1</v>
      </c>
      <c r="DW28" s="1">
        <v>0</v>
      </c>
      <c r="DX28" s="1">
        <v>1</v>
      </c>
      <c r="DY28" s="1">
        <v>0</v>
      </c>
      <c r="DZ28" s="1">
        <v>0</v>
      </c>
      <c r="EA28" s="1">
        <v>0</v>
      </c>
      <c r="EB28" s="1">
        <v>0</v>
      </c>
      <c r="EC28" s="1" t="s">
        <v>333</v>
      </c>
      <c r="ED28" s="1" t="s">
        <v>330</v>
      </c>
      <c r="EE28" s="1" t="s">
        <v>331</v>
      </c>
      <c r="EF28" s="1" t="s">
        <v>330</v>
      </c>
      <c r="EG28" s="1" t="s">
        <v>333</v>
      </c>
      <c r="EH28" s="1" t="s">
        <v>330</v>
      </c>
      <c r="EI28" s="1" t="s">
        <v>331</v>
      </c>
      <c r="EJ28" s="1" t="s">
        <v>332</v>
      </c>
      <c r="EK28" s="1" t="s">
        <v>333</v>
      </c>
      <c r="EL28" s="1" t="s">
        <v>331</v>
      </c>
      <c r="EM28" s="1" t="s">
        <v>332</v>
      </c>
      <c r="EN28" s="1" t="s">
        <v>331</v>
      </c>
      <c r="EO28" s="1" t="s">
        <v>330</v>
      </c>
      <c r="EP28" s="1" t="s">
        <v>331</v>
      </c>
      <c r="EQ28" s="1" t="s">
        <v>333</v>
      </c>
      <c r="ER28" s="1" t="s">
        <v>332</v>
      </c>
      <c r="ES28" s="1" t="s">
        <v>331</v>
      </c>
      <c r="ET28" s="1" t="s">
        <v>331</v>
      </c>
      <c r="EU28" s="1" t="s">
        <v>330</v>
      </c>
      <c r="EV28" s="1" t="s">
        <v>330</v>
      </c>
      <c r="EW28" s="1" t="s">
        <v>333</v>
      </c>
      <c r="EX28" s="1" t="s">
        <v>331</v>
      </c>
      <c r="EY28" s="1" t="s">
        <v>333</v>
      </c>
      <c r="EZ28" s="1" t="s">
        <v>333</v>
      </c>
      <c r="FA28" s="1" t="s">
        <v>330</v>
      </c>
      <c r="FB28" s="1" t="s">
        <v>331</v>
      </c>
      <c r="FC28" s="1" t="s">
        <v>332</v>
      </c>
      <c r="FD28" s="1" t="s">
        <v>330</v>
      </c>
      <c r="FE28" s="1" t="s">
        <v>330</v>
      </c>
      <c r="FF28" s="1" t="s">
        <v>331</v>
      </c>
      <c r="FG28" s="1" t="s">
        <v>332</v>
      </c>
      <c r="FH28" s="1" t="s">
        <v>333</v>
      </c>
      <c r="FI28" s="1" t="s">
        <v>331</v>
      </c>
      <c r="FJ28" s="1" t="s">
        <v>330</v>
      </c>
      <c r="FK28" s="1" t="s">
        <v>330</v>
      </c>
      <c r="FL28" s="1" t="s">
        <v>332</v>
      </c>
      <c r="FM28" s="1" t="s">
        <v>333</v>
      </c>
      <c r="FN28" s="1" t="s">
        <v>332</v>
      </c>
      <c r="FO28" s="1" t="s">
        <v>330</v>
      </c>
      <c r="FP28" s="1" t="s">
        <v>331</v>
      </c>
      <c r="FQ28" s="1" t="s">
        <v>330</v>
      </c>
      <c r="FR28" s="1" t="s">
        <v>331</v>
      </c>
      <c r="FS28" s="1" t="s">
        <v>331</v>
      </c>
      <c r="FT28" s="1" t="s">
        <v>331</v>
      </c>
      <c r="FU28" s="1" t="s">
        <v>333</v>
      </c>
      <c r="FV28" s="1" t="s">
        <v>332</v>
      </c>
      <c r="FW28" s="1" t="s">
        <v>330</v>
      </c>
      <c r="FX28" s="1" t="s">
        <v>333</v>
      </c>
      <c r="FY28" s="1" t="s">
        <v>330</v>
      </c>
      <c r="FZ28" s="1" t="s">
        <v>331</v>
      </c>
      <c r="GA28" s="1" t="s">
        <v>332</v>
      </c>
      <c r="GB28" s="1" t="s">
        <v>333</v>
      </c>
      <c r="GC28" s="1" t="s">
        <v>331</v>
      </c>
      <c r="GD28" s="1" t="s">
        <v>332</v>
      </c>
      <c r="GE28" s="1" t="s">
        <v>333</v>
      </c>
      <c r="GF28" s="1" t="s">
        <v>332</v>
      </c>
      <c r="GG28" s="1" t="s">
        <v>330</v>
      </c>
      <c r="GH28" s="1" t="s">
        <v>332</v>
      </c>
      <c r="GI28" s="1" t="s">
        <v>331</v>
      </c>
      <c r="GJ28" s="1" t="s">
        <v>330</v>
      </c>
      <c r="GK28" s="1" t="s">
        <v>330</v>
      </c>
      <c r="GL28" s="1" t="s">
        <v>333</v>
      </c>
      <c r="GM28" s="1" t="s">
        <v>332</v>
      </c>
      <c r="GN28" s="1" t="s">
        <v>331</v>
      </c>
      <c r="GO28" s="1" t="s">
        <v>331</v>
      </c>
      <c r="GP28" s="1" t="s">
        <v>333</v>
      </c>
      <c r="GQ28" s="1" t="s">
        <v>333</v>
      </c>
      <c r="GR28" s="1" t="s">
        <v>332</v>
      </c>
      <c r="GS28" s="1" t="s">
        <v>330</v>
      </c>
      <c r="GT28" s="1" t="s">
        <v>330</v>
      </c>
      <c r="GU28" s="1" t="s">
        <v>332</v>
      </c>
      <c r="GV28" s="1" t="s">
        <v>331</v>
      </c>
      <c r="GW28" s="1" t="s">
        <v>333</v>
      </c>
      <c r="GX28" s="1" t="s">
        <v>333</v>
      </c>
      <c r="GY28" s="1" t="s">
        <v>330</v>
      </c>
      <c r="GZ28" s="1" t="s">
        <v>330</v>
      </c>
      <c r="HA28" s="1" t="s">
        <v>333</v>
      </c>
      <c r="HB28" s="1" t="s">
        <v>332</v>
      </c>
      <c r="HC28" s="1" t="s">
        <v>332</v>
      </c>
      <c r="HD28" s="1" t="s">
        <v>330</v>
      </c>
      <c r="HE28" s="1" t="s">
        <v>333</v>
      </c>
      <c r="HF28" s="1" t="s">
        <v>330</v>
      </c>
      <c r="HG28" s="1" t="s">
        <v>332</v>
      </c>
      <c r="HH28" s="1" t="s">
        <v>331</v>
      </c>
      <c r="HI28" s="1" t="s">
        <v>333</v>
      </c>
      <c r="HJ28" s="1" t="s">
        <v>331</v>
      </c>
      <c r="HK28" s="1" t="s">
        <v>333</v>
      </c>
      <c r="HL28" s="1" t="s">
        <v>331</v>
      </c>
      <c r="HM28" s="1" t="s">
        <v>332</v>
      </c>
      <c r="HN28" s="1" t="s">
        <v>333</v>
      </c>
      <c r="HO28" s="1" t="s">
        <v>332</v>
      </c>
      <c r="HP28" s="1" t="s">
        <v>333</v>
      </c>
      <c r="HQ28" s="1" t="s">
        <v>331</v>
      </c>
      <c r="HR28" s="1" t="s">
        <v>331</v>
      </c>
      <c r="HS28" s="1" t="s">
        <v>330</v>
      </c>
      <c r="HT28" s="1" t="s">
        <v>330</v>
      </c>
      <c r="HU28" s="1" t="s">
        <v>333</v>
      </c>
      <c r="HV28" s="1" t="s">
        <v>330</v>
      </c>
      <c r="HW28" s="1" t="s">
        <v>331</v>
      </c>
      <c r="HX28" s="1" t="s">
        <v>331</v>
      </c>
      <c r="HY28" s="1" t="s">
        <v>330</v>
      </c>
      <c r="HZ28" s="1" t="s">
        <v>332</v>
      </c>
      <c r="IA28" s="1" t="s">
        <v>332</v>
      </c>
      <c r="IB28" s="1" t="s">
        <v>330</v>
      </c>
      <c r="IC28" s="1" t="s">
        <v>333</v>
      </c>
      <c r="ID28" s="1" t="s">
        <v>331</v>
      </c>
      <c r="IE28" s="1" t="s">
        <v>330</v>
      </c>
      <c r="IF28" s="1" t="s">
        <v>331</v>
      </c>
      <c r="IG28" s="1" t="s">
        <v>333</v>
      </c>
      <c r="IH28" s="1" t="s">
        <v>331</v>
      </c>
      <c r="II28" s="1" t="s">
        <v>331</v>
      </c>
      <c r="IJ28" s="1" t="s">
        <v>330</v>
      </c>
      <c r="IK28" s="1" t="s">
        <v>332</v>
      </c>
      <c r="IL28" s="1" t="s">
        <v>333</v>
      </c>
      <c r="IM28" s="1" t="s">
        <v>330</v>
      </c>
      <c r="IN28" s="1" t="s">
        <v>333</v>
      </c>
      <c r="IO28" s="1" t="s">
        <v>330</v>
      </c>
      <c r="IP28" s="1" t="s">
        <v>330</v>
      </c>
      <c r="IQ28" s="1" t="s">
        <v>331</v>
      </c>
      <c r="IR28" s="1" t="s">
        <v>333</v>
      </c>
    </row>
    <row r="29" spans="1:252" s="1" customFormat="1" x14ac:dyDescent="0.35">
      <c r="A29" s="1" t="s">
        <v>1721</v>
      </c>
      <c r="D29" s="1" t="s">
        <v>1766</v>
      </c>
      <c r="E29" s="1">
        <v>6211</v>
      </c>
      <c r="G29" s="1" t="s">
        <v>184</v>
      </c>
      <c r="H29" s="1" t="s">
        <v>311</v>
      </c>
      <c r="I29" s="1" t="s">
        <v>1650</v>
      </c>
      <c r="J29" s="1" t="s">
        <v>1733</v>
      </c>
      <c r="K29" s="1" t="s">
        <v>1724</v>
      </c>
      <c r="M29" s="1">
        <v>1</v>
      </c>
      <c r="N29" s="1">
        <v>1</v>
      </c>
      <c r="O29" s="1">
        <v>0</v>
      </c>
      <c r="P29" s="1">
        <v>1</v>
      </c>
      <c r="Q29" s="1">
        <v>0</v>
      </c>
      <c r="R29" s="1">
        <v>0</v>
      </c>
      <c r="S29" s="1">
        <v>0</v>
      </c>
      <c r="T29" s="1">
        <v>1</v>
      </c>
      <c r="U29" s="1">
        <v>1</v>
      </c>
      <c r="V29" s="1">
        <v>1</v>
      </c>
      <c r="W29" s="1">
        <v>0</v>
      </c>
      <c r="X29" s="1">
        <v>0</v>
      </c>
      <c r="Y29" s="1">
        <v>1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1</v>
      </c>
      <c r="AG29" s="1">
        <v>1</v>
      </c>
      <c r="AH29" s="1">
        <v>1</v>
      </c>
      <c r="AI29" s="1">
        <v>0</v>
      </c>
      <c r="AJ29" s="1">
        <v>0</v>
      </c>
      <c r="AK29" s="1">
        <v>1</v>
      </c>
      <c r="AL29" s="1">
        <v>1</v>
      </c>
      <c r="AM29" s="1">
        <v>1</v>
      </c>
      <c r="AN29" s="1">
        <v>0</v>
      </c>
      <c r="AO29" s="1">
        <v>1</v>
      </c>
      <c r="AP29" s="1">
        <v>1</v>
      </c>
      <c r="AQ29" s="1">
        <v>1</v>
      </c>
      <c r="AR29" s="1">
        <v>1</v>
      </c>
      <c r="AS29" s="1">
        <v>1</v>
      </c>
      <c r="AT29" s="1">
        <v>0</v>
      </c>
      <c r="AU29" s="1">
        <v>1</v>
      </c>
      <c r="AV29" s="1">
        <v>1</v>
      </c>
      <c r="AW29" s="1">
        <v>1</v>
      </c>
      <c r="AX29" s="1">
        <v>0</v>
      </c>
      <c r="AY29" s="1">
        <v>1</v>
      </c>
      <c r="AZ29" s="1">
        <v>1</v>
      </c>
      <c r="BA29" s="1">
        <v>1</v>
      </c>
      <c r="BB29" s="1">
        <v>1</v>
      </c>
      <c r="BC29" s="1">
        <v>0</v>
      </c>
      <c r="BD29" s="1">
        <v>1</v>
      </c>
      <c r="BE29" s="1">
        <v>1</v>
      </c>
      <c r="BF29" s="1">
        <v>0</v>
      </c>
      <c r="BG29" s="1">
        <v>0</v>
      </c>
      <c r="BH29" s="1">
        <v>1</v>
      </c>
      <c r="BI29" s="1">
        <v>1</v>
      </c>
      <c r="BJ29" s="1">
        <v>1</v>
      </c>
      <c r="BK29" s="1">
        <v>0</v>
      </c>
      <c r="BL29" s="1">
        <v>1</v>
      </c>
      <c r="BM29" s="1">
        <v>1</v>
      </c>
      <c r="BN29" s="1">
        <v>0</v>
      </c>
      <c r="BO29" s="1">
        <v>1</v>
      </c>
      <c r="BP29" s="1">
        <v>0</v>
      </c>
      <c r="BQ29" s="1">
        <v>0</v>
      </c>
      <c r="BR29" s="1">
        <v>1</v>
      </c>
      <c r="BS29" s="1">
        <v>1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1</v>
      </c>
      <c r="CA29" s="1">
        <v>0</v>
      </c>
      <c r="CB29" s="1">
        <v>0</v>
      </c>
      <c r="CC29" s="1">
        <v>1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1</v>
      </c>
      <c r="CL29" s="1">
        <v>0</v>
      </c>
      <c r="CM29" s="1">
        <v>1</v>
      </c>
      <c r="CN29" s="1">
        <v>0</v>
      </c>
      <c r="CO29" s="1">
        <v>0</v>
      </c>
      <c r="CP29" s="1">
        <v>0</v>
      </c>
      <c r="CQ29" s="1">
        <v>1</v>
      </c>
      <c r="CR29" s="1">
        <v>1</v>
      </c>
      <c r="CS29" s="1">
        <v>0</v>
      </c>
      <c r="CT29" s="1">
        <v>1</v>
      </c>
      <c r="CU29" s="1">
        <v>0</v>
      </c>
      <c r="CV29" s="1">
        <v>1</v>
      </c>
      <c r="CW29" s="1">
        <v>1</v>
      </c>
      <c r="CX29" s="1">
        <v>1</v>
      </c>
      <c r="CY29" s="1">
        <v>1</v>
      </c>
      <c r="CZ29" s="1">
        <v>0</v>
      </c>
      <c r="DA29" s="1">
        <v>0</v>
      </c>
      <c r="DB29" s="1">
        <v>0</v>
      </c>
      <c r="DC29" s="1">
        <v>1</v>
      </c>
      <c r="DD29" s="1">
        <v>1</v>
      </c>
      <c r="DE29" s="1">
        <v>0</v>
      </c>
      <c r="DF29" s="1">
        <v>0</v>
      </c>
      <c r="DG29" s="1">
        <v>0</v>
      </c>
      <c r="DH29" s="1">
        <v>1</v>
      </c>
      <c r="DI29" s="1">
        <v>1</v>
      </c>
      <c r="DJ29" s="1">
        <v>0</v>
      </c>
      <c r="DK29" s="1">
        <v>0</v>
      </c>
      <c r="DL29" s="1">
        <v>0</v>
      </c>
      <c r="DM29" s="1">
        <v>0</v>
      </c>
      <c r="DN29" s="1">
        <v>1</v>
      </c>
      <c r="DO29" s="1">
        <v>0</v>
      </c>
      <c r="DP29" s="1">
        <v>1</v>
      </c>
      <c r="DQ29" s="1">
        <v>0</v>
      </c>
      <c r="DR29" s="1">
        <v>0</v>
      </c>
      <c r="DS29" s="1">
        <v>1</v>
      </c>
      <c r="DT29" s="1">
        <v>1</v>
      </c>
      <c r="DU29" s="1">
        <v>0</v>
      </c>
      <c r="DV29" s="1">
        <v>1</v>
      </c>
      <c r="DW29" s="1">
        <v>0</v>
      </c>
      <c r="DX29" s="1">
        <v>0</v>
      </c>
      <c r="DY29" s="1">
        <v>1</v>
      </c>
      <c r="DZ29" s="1">
        <v>1</v>
      </c>
      <c r="EA29" s="1">
        <v>1</v>
      </c>
      <c r="EB29" s="1">
        <v>1</v>
      </c>
      <c r="EC29" s="1" t="s">
        <v>331</v>
      </c>
      <c r="ED29" s="1" t="s">
        <v>333</v>
      </c>
      <c r="EE29" s="1" t="s">
        <v>332</v>
      </c>
      <c r="EF29" s="1" t="s">
        <v>333</v>
      </c>
      <c r="EG29" s="1" t="s">
        <v>332</v>
      </c>
      <c r="EH29" s="1" t="s">
        <v>330</v>
      </c>
      <c r="EI29" s="1" t="s">
        <v>330</v>
      </c>
      <c r="EJ29" s="1" t="s">
        <v>331</v>
      </c>
      <c r="EK29" s="1" t="s">
        <v>333</v>
      </c>
      <c r="EL29" s="1" t="s">
        <v>331</v>
      </c>
      <c r="EM29" s="1" t="s">
        <v>332</v>
      </c>
      <c r="EN29" s="1" t="s">
        <v>332</v>
      </c>
      <c r="EO29" s="1" t="s">
        <v>332</v>
      </c>
      <c r="EP29" s="1" t="s">
        <v>331</v>
      </c>
      <c r="EQ29" s="1" t="s">
        <v>332</v>
      </c>
      <c r="ER29" s="1" t="s">
        <v>332</v>
      </c>
      <c r="ES29" s="1" t="s">
        <v>330</v>
      </c>
      <c r="ET29" s="1" t="s">
        <v>332</v>
      </c>
      <c r="EU29" s="1" t="s">
        <v>333</v>
      </c>
      <c r="EV29" s="1" t="s">
        <v>332</v>
      </c>
      <c r="EW29" s="1" t="s">
        <v>333</v>
      </c>
      <c r="EX29" s="1" t="s">
        <v>331</v>
      </c>
      <c r="EY29" s="1" t="s">
        <v>330</v>
      </c>
      <c r="EZ29" s="1" t="s">
        <v>332</v>
      </c>
      <c r="FA29" s="1" t="s">
        <v>331</v>
      </c>
      <c r="FB29" s="1" t="s">
        <v>330</v>
      </c>
      <c r="FC29" s="1" t="s">
        <v>333</v>
      </c>
      <c r="FD29" s="1" t="s">
        <v>330</v>
      </c>
      <c r="FE29" s="1" t="s">
        <v>331</v>
      </c>
      <c r="FF29" s="1" t="s">
        <v>331</v>
      </c>
      <c r="FG29" s="1" t="s">
        <v>331</v>
      </c>
      <c r="FH29" s="1" t="s">
        <v>332</v>
      </c>
      <c r="FI29" s="1" t="s">
        <v>331</v>
      </c>
      <c r="FJ29" s="1" t="s">
        <v>333</v>
      </c>
      <c r="FK29" s="1" t="s">
        <v>330</v>
      </c>
      <c r="FL29" s="1" t="s">
        <v>332</v>
      </c>
      <c r="FM29" s="1" t="s">
        <v>330</v>
      </c>
      <c r="FN29" s="1" t="s">
        <v>331</v>
      </c>
      <c r="FO29" s="1" t="s">
        <v>331</v>
      </c>
      <c r="FP29" s="1" t="s">
        <v>331</v>
      </c>
      <c r="FQ29" s="1" t="s">
        <v>332</v>
      </c>
      <c r="FR29" s="1" t="s">
        <v>332</v>
      </c>
      <c r="FS29" s="1" t="s">
        <v>331</v>
      </c>
      <c r="FT29" s="1" t="s">
        <v>333</v>
      </c>
      <c r="FU29" s="1" t="s">
        <v>332</v>
      </c>
      <c r="FV29" s="1" t="s">
        <v>330</v>
      </c>
      <c r="FW29" s="1" t="s">
        <v>333</v>
      </c>
      <c r="FX29" s="1" t="s">
        <v>333</v>
      </c>
      <c r="FY29" s="1" t="s">
        <v>332</v>
      </c>
      <c r="FZ29" s="1" t="s">
        <v>331</v>
      </c>
      <c r="GA29" s="1" t="s">
        <v>330</v>
      </c>
      <c r="GB29" s="1" t="s">
        <v>331</v>
      </c>
      <c r="GC29" s="1" t="s">
        <v>332</v>
      </c>
      <c r="GD29" s="1" t="s">
        <v>331</v>
      </c>
      <c r="GE29" s="1" t="s">
        <v>331</v>
      </c>
      <c r="GF29" s="1" t="s">
        <v>332</v>
      </c>
      <c r="GG29" s="1" t="s">
        <v>332</v>
      </c>
      <c r="GH29" s="1" t="s">
        <v>330</v>
      </c>
      <c r="GI29" s="1" t="s">
        <v>330</v>
      </c>
      <c r="GJ29" s="1" t="s">
        <v>330</v>
      </c>
      <c r="GK29" s="1" t="s">
        <v>333</v>
      </c>
      <c r="GL29" s="1" t="s">
        <v>330</v>
      </c>
      <c r="GM29" s="1" t="s">
        <v>330</v>
      </c>
      <c r="GN29" s="1" t="s">
        <v>333</v>
      </c>
      <c r="GO29" s="1" t="s">
        <v>331</v>
      </c>
      <c r="GP29" s="1" t="s">
        <v>331</v>
      </c>
      <c r="GQ29" s="1" t="s">
        <v>332</v>
      </c>
      <c r="GR29" s="1" t="s">
        <v>333</v>
      </c>
      <c r="GS29" s="1" t="s">
        <v>330</v>
      </c>
      <c r="GT29" s="1" t="s">
        <v>330</v>
      </c>
      <c r="GU29" s="1" t="s">
        <v>331</v>
      </c>
      <c r="GV29" s="1" t="s">
        <v>331</v>
      </c>
      <c r="GW29" s="1" t="s">
        <v>333</v>
      </c>
      <c r="GX29" s="1" t="s">
        <v>331</v>
      </c>
      <c r="GY29" s="1" t="s">
        <v>332</v>
      </c>
      <c r="GZ29" s="1" t="s">
        <v>330</v>
      </c>
      <c r="HA29" s="1" t="s">
        <v>330</v>
      </c>
      <c r="HB29" s="1" t="s">
        <v>330</v>
      </c>
      <c r="HC29" s="1" t="s">
        <v>332</v>
      </c>
      <c r="HD29" s="1" t="s">
        <v>332</v>
      </c>
      <c r="HE29" s="1" t="s">
        <v>331</v>
      </c>
      <c r="HF29" s="1" t="s">
        <v>332</v>
      </c>
      <c r="HG29" s="1" t="s">
        <v>331</v>
      </c>
      <c r="HH29" s="1" t="s">
        <v>333</v>
      </c>
      <c r="HI29" s="1" t="s">
        <v>331</v>
      </c>
      <c r="HJ29" s="1" t="s">
        <v>331</v>
      </c>
      <c r="HK29" s="1" t="s">
        <v>332</v>
      </c>
      <c r="HL29" s="1" t="s">
        <v>333</v>
      </c>
      <c r="HM29" s="1" t="s">
        <v>332</v>
      </c>
      <c r="HN29" s="1" t="s">
        <v>330</v>
      </c>
      <c r="HO29" s="1" t="s">
        <v>333</v>
      </c>
      <c r="HP29" s="1" t="s">
        <v>332</v>
      </c>
      <c r="HQ29" s="1" t="s">
        <v>333</v>
      </c>
      <c r="HR29" s="1" t="s">
        <v>331</v>
      </c>
      <c r="HS29" s="1" t="s">
        <v>331</v>
      </c>
      <c r="HT29" s="1" t="s">
        <v>332</v>
      </c>
      <c r="HU29" s="1" t="s">
        <v>331</v>
      </c>
      <c r="HV29" s="1" t="s">
        <v>333</v>
      </c>
      <c r="HW29" s="1" t="s">
        <v>333</v>
      </c>
      <c r="HX29" s="1" t="s">
        <v>333</v>
      </c>
      <c r="HY29" s="1" t="s">
        <v>331</v>
      </c>
      <c r="HZ29" s="1" t="s">
        <v>330</v>
      </c>
      <c r="IA29" s="1" t="s">
        <v>330</v>
      </c>
      <c r="IB29" s="1" t="s">
        <v>330</v>
      </c>
      <c r="IC29" s="1" t="s">
        <v>332</v>
      </c>
      <c r="ID29" s="1" t="s">
        <v>330</v>
      </c>
      <c r="IE29" s="1" t="s">
        <v>331</v>
      </c>
      <c r="IF29" s="1" t="s">
        <v>333</v>
      </c>
      <c r="IG29" s="1" t="s">
        <v>333</v>
      </c>
      <c r="IH29" s="1" t="s">
        <v>331</v>
      </c>
      <c r="II29" s="1" t="s">
        <v>331</v>
      </c>
      <c r="IJ29" s="1" t="s">
        <v>330</v>
      </c>
      <c r="IK29" s="1" t="s">
        <v>332</v>
      </c>
      <c r="IL29" s="1" t="s">
        <v>333</v>
      </c>
      <c r="IM29" s="1" t="s">
        <v>332</v>
      </c>
      <c r="IN29" s="1" t="s">
        <v>331</v>
      </c>
      <c r="IO29" s="1" t="s">
        <v>331</v>
      </c>
      <c r="IP29" s="1" t="s">
        <v>331</v>
      </c>
      <c r="IQ29" s="1" t="s">
        <v>332</v>
      </c>
      <c r="IR29" s="1" t="s">
        <v>331</v>
      </c>
    </row>
    <row r="30" spans="1:252" s="1" customFormat="1" x14ac:dyDescent="0.35">
      <c r="A30" s="1" t="s">
        <v>1721</v>
      </c>
      <c r="D30" s="1" t="s">
        <v>1767</v>
      </c>
      <c r="E30" s="1">
        <v>6212</v>
      </c>
      <c r="G30" s="1" t="s">
        <v>1685</v>
      </c>
      <c r="H30" s="1" t="s">
        <v>311</v>
      </c>
      <c r="I30" s="1" t="s">
        <v>1686</v>
      </c>
      <c r="J30" s="1" t="s">
        <v>1733</v>
      </c>
      <c r="K30" s="1" t="s">
        <v>1724</v>
      </c>
      <c r="M30" s="1">
        <v>1</v>
      </c>
      <c r="N30" s="1">
        <v>1</v>
      </c>
      <c r="O30" s="1">
        <v>0</v>
      </c>
      <c r="P30" s="1">
        <v>1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1</v>
      </c>
      <c r="AB30" s="1">
        <v>1</v>
      </c>
      <c r="AC30" s="1">
        <v>0</v>
      </c>
      <c r="AD30" s="1">
        <v>0</v>
      </c>
      <c r="AE30" s="1">
        <v>1</v>
      </c>
      <c r="AF30" s="1">
        <v>1</v>
      </c>
      <c r="AG30" s="1">
        <v>1</v>
      </c>
      <c r="AH30" s="1">
        <v>1</v>
      </c>
      <c r="AI30" s="1">
        <v>0</v>
      </c>
      <c r="AJ30" s="1">
        <v>0</v>
      </c>
      <c r="AK30" s="1">
        <v>0</v>
      </c>
      <c r="AL30" s="1">
        <v>1</v>
      </c>
      <c r="AM30" s="1">
        <v>0</v>
      </c>
      <c r="AN30" s="1">
        <v>1</v>
      </c>
      <c r="AO30" s="1">
        <v>1</v>
      </c>
      <c r="AP30" s="1">
        <v>0</v>
      </c>
      <c r="AQ30" s="1">
        <v>1</v>
      </c>
      <c r="AR30" s="1">
        <v>1</v>
      </c>
      <c r="AS30" s="1">
        <v>0</v>
      </c>
      <c r="AT30" s="1">
        <v>1</v>
      </c>
      <c r="AU30" s="1">
        <v>0</v>
      </c>
      <c r="AV30" s="1">
        <v>0</v>
      </c>
      <c r="AW30" s="1">
        <v>0</v>
      </c>
      <c r="AX30" s="1">
        <v>1</v>
      </c>
      <c r="AY30" s="1">
        <v>1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1</v>
      </c>
      <c r="BH30" s="1">
        <v>0</v>
      </c>
      <c r="BI30" s="1">
        <v>1</v>
      </c>
      <c r="BJ30" s="1">
        <v>1</v>
      </c>
      <c r="BK30" s="1">
        <v>1</v>
      </c>
      <c r="BL30" s="1">
        <v>0</v>
      </c>
      <c r="BM30" s="1">
        <v>0</v>
      </c>
      <c r="BN30" s="1">
        <v>0</v>
      </c>
      <c r="BO30" s="1">
        <v>1</v>
      </c>
      <c r="BP30" s="1">
        <v>0</v>
      </c>
      <c r="BQ30" s="1">
        <v>0</v>
      </c>
      <c r="BR30" s="1">
        <v>0</v>
      </c>
      <c r="BS30" s="1">
        <v>1</v>
      </c>
      <c r="BT30" s="1">
        <v>0</v>
      </c>
      <c r="BU30" s="1">
        <v>0</v>
      </c>
      <c r="BV30" s="1">
        <v>1</v>
      </c>
      <c r="BW30" s="1">
        <v>1</v>
      </c>
      <c r="BX30" s="1">
        <v>0</v>
      </c>
      <c r="BY30" s="1">
        <v>1</v>
      </c>
      <c r="BZ30" s="1">
        <v>1</v>
      </c>
      <c r="CA30" s="1">
        <v>0</v>
      </c>
      <c r="CB30" s="1">
        <v>0</v>
      </c>
      <c r="CC30" s="1">
        <v>1</v>
      </c>
      <c r="CD30" s="1">
        <v>1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1</v>
      </c>
      <c r="CM30" s="1">
        <v>0</v>
      </c>
      <c r="CN30" s="1">
        <v>1</v>
      </c>
      <c r="CO30" s="1">
        <v>1</v>
      </c>
      <c r="CP30" s="1">
        <v>1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1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1</v>
      </c>
      <c r="DF30" s="1">
        <v>1</v>
      </c>
      <c r="DG30" s="1">
        <v>0</v>
      </c>
      <c r="DH30" s="1">
        <v>0</v>
      </c>
      <c r="DI30" s="1">
        <v>0</v>
      </c>
      <c r="DJ30" s="1">
        <v>0</v>
      </c>
      <c r="DK30" s="1">
        <v>1</v>
      </c>
      <c r="DL30" s="1">
        <v>1</v>
      </c>
      <c r="DM30" s="1">
        <v>1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1</v>
      </c>
      <c r="DY30" s="1">
        <v>1</v>
      </c>
      <c r="DZ30" s="1">
        <v>1</v>
      </c>
      <c r="EA30" s="1">
        <v>0</v>
      </c>
      <c r="EB30" s="1">
        <v>0</v>
      </c>
      <c r="EC30" s="1" t="s">
        <v>331</v>
      </c>
      <c r="ED30" s="1" t="s">
        <v>333</v>
      </c>
      <c r="EE30" s="1" t="s">
        <v>332</v>
      </c>
      <c r="EF30" s="1" t="s">
        <v>333</v>
      </c>
      <c r="EG30" s="1" t="s">
        <v>332</v>
      </c>
      <c r="EH30" s="1" t="s">
        <v>332</v>
      </c>
      <c r="EI30" s="1" t="s">
        <v>331</v>
      </c>
      <c r="EJ30" s="1" t="s">
        <v>332</v>
      </c>
      <c r="EK30" s="1" t="s">
        <v>332</v>
      </c>
      <c r="EL30" s="1" t="s">
        <v>330</v>
      </c>
      <c r="EM30" s="1" t="s">
        <v>333</v>
      </c>
      <c r="EN30" s="1" t="s">
        <v>332</v>
      </c>
      <c r="EO30" s="1" t="s">
        <v>330</v>
      </c>
      <c r="EP30" s="1" t="s">
        <v>331</v>
      </c>
      <c r="EQ30" s="1" t="s">
        <v>333</v>
      </c>
      <c r="ER30" s="1" t="s">
        <v>331</v>
      </c>
      <c r="ES30" s="1" t="s">
        <v>331</v>
      </c>
      <c r="ET30" s="1" t="s">
        <v>332</v>
      </c>
      <c r="EU30" s="1" t="s">
        <v>332</v>
      </c>
      <c r="EV30" s="1" t="s">
        <v>332</v>
      </c>
      <c r="EW30" s="1" t="s">
        <v>333</v>
      </c>
      <c r="EX30" s="1" t="s">
        <v>331</v>
      </c>
      <c r="EY30" s="1" t="s">
        <v>330</v>
      </c>
      <c r="EZ30" s="1" t="s">
        <v>332</v>
      </c>
      <c r="FA30" s="1" t="s">
        <v>330</v>
      </c>
      <c r="FB30" s="1" t="s">
        <v>330</v>
      </c>
      <c r="FC30" s="1" t="s">
        <v>331</v>
      </c>
      <c r="FD30" s="1" t="s">
        <v>331</v>
      </c>
      <c r="FE30" s="1" t="s">
        <v>331</v>
      </c>
      <c r="FF30" s="1" t="s">
        <v>333</v>
      </c>
      <c r="FG30" s="1" t="s">
        <v>331</v>
      </c>
      <c r="FH30" s="1" t="s">
        <v>332</v>
      </c>
      <c r="FI30" s="1" t="s">
        <v>333</v>
      </c>
      <c r="FJ30" s="1" t="s">
        <v>332</v>
      </c>
      <c r="FK30" s="1" t="s">
        <v>333</v>
      </c>
      <c r="FL30" s="1" t="s">
        <v>330</v>
      </c>
      <c r="FM30" s="1" t="s">
        <v>331</v>
      </c>
      <c r="FN30" s="1" t="s">
        <v>332</v>
      </c>
      <c r="FO30" s="1" t="s">
        <v>331</v>
      </c>
      <c r="FP30" s="1" t="s">
        <v>332</v>
      </c>
      <c r="FQ30" s="1" t="s">
        <v>330</v>
      </c>
      <c r="FR30" s="1" t="s">
        <v>330</v>
      </c>
      <c r="FS30" s="1" t="s">
        <v>333</v>
      </c>
      <c r="FT30" s="1" t="s">
        <v>331</v>
      </c>
      <c r="FU30" s="1" t="s">
        <v>333</v>
      </c>
      <c r="FV30" s="1" t="s">
        <v>330</v>
      </c>
      <c r="FW30" s="1" t="s">
        <v>332</v>
      </c>
      <c r="FX30" s="1" t="s">
        <v>332</v>
      </c>
      <c r="FY30" s="1" t="s">
        <v>332</v>
      </c>
      <c r="FZ30" s="1" t="s">
        <v>331</v>
      </c>
      <c r="GA30" s="1" t="s">
        <v>333</v>
      </c>
      <c r="GB30" s="1" t="s">
        <v>332</v>
      </c>
      <c r="GC30" s="1" t="s">
        <v>330</v>
      </c>
      <c r="GD30" s="1" t="s">
        <v>331</v>
      </c>
      <c r="GE30" s="1" t="s">
        <v>331</v>
      </c>
      <c r="GF30" s="1" t="s">
        <v>330</v>
      </c>
      <c r="GG30" s="1" t="s">
        <v>332</v>
      </c>
      <c r="GH30" s="1" t="s">
        <v>332</v>
      </c>
      <c r="GI30" s="1" t="s">
        <v>330</v>
      </c>
      <c r="GJ30" s="1" t="s">
        <v>330</v>
      </c>
      <c r="GK30" s="1" t="s">
        <v>333</v>
      </c>
      <c r="GL30" s="1" t="s">
        <v>332</v>
      </c>
      <c r="GM30" s="1" t="s">
        <v>333</v>
      </c>
      <c r="GN30" s="1" t="s">
        <v>330</v>
      </c>
      <c r="GO30" s="1" t="s">
        <v>332</v>
      </c>
      <c r="GP30" s="1" t="s">
        <v>331</v>
      </c>
      <c r="GQ30" s="1" t="s">
        <v>331</v>
      </c>
      <c r="GR30" s="1" t="s">
        <v>333</v>
      </c>
      <c r="GS30" s="1" t="s">
        <v>330</v>
      </c>
      <c r="GT30" s="1" t="s">
        <v>331</v>
      </c>
      <c r="GU30" s="1" t="s">
        <v>331</v>
      </c>
      <c r="GV30" s="1" t="s">
        <v>331</v>
      </c>
      <c r="GW30" s="1" t="s">
        <v>333</v>
      </c>
      <c r="GX30" s="1" t="s">
        <v>332</v>
      </c>
      <c r="GY30" s="1" t="s">
        <v>331</v>
      </c>
      <c r="GZ30" s="1" t="s">
        <v>332</v>
      </c>
      <c r="HA30" s="1" t="s">
        <v>333</v>
      </c>
      <c r="HB30" s="1" t="s">
        <v>332</v>
      </c>
      <c r="HC30" s="1" t="s">
        <v>333</v>
      </c>
      <c r="HD30" s="1" t="s">
        <v>330</v>
      </c>
      <c r="HE30" s="1" t="s">
        <v>330</v>
      </c>
      <c r="HF30" s="1" t="s">
        <v>331</v>
      </c>
      <c r="HG30" s="1" t="s">
        <v>330</v>
      </c>
      <c r="HH30" s="1" t="s">
        <v>331</v>
      </c>
      <c r="HI30" s="1" t="s">
        <v>331</v>
      </c>
      <c r="HJ30" s="1" t="s">
        <v>333</v>
      </c>
      <c r="HK30" s="1" t="s">
        <v>330</v>
      </c>
      <c r="HL30" s="1" t="s">
        <v>333</v>
      </c>
      <c r="HM30" s="1" t="s">
        <v>331</v>
      </c>
      <c r="HN30" s="1" t="s">
        <v>333</v>
      </c>
      <c r="HO30" s="1" t="s">
        <v>332</v>
      </c>
      <c r="HP30" s="1" t="s">
        <v>331</v>
      </c>
      <c r="HQ30" s="1" t="s">
        <v>332</v>
      </c>
      <c r="HR30" s="1" t="s">
        <v>332</v>
      </c>
      <c r="HS30" s="1" t="s">
        <v>333</v>
      </c>
      <c r="HT30" s="1" t="s">
        <v>331</v>
      </c>
      <c r="HU30" s="1" t="s">
        <v>333</v>
      </c>
      <c r="HV30" s="1" t="s">
        <v>330</v>
      </c>
      <c r="HW30" s="1" t="s">
        <v>332</v>
      </c>
      <c r="HX30" s="1" t="s">
        <v>332</v>
      </c>
      <c r="HY30" s="1" t="s">
        <v>330</v>
      </c>
      <c r="HZ30" s="1" t="s">
        <v>330</v>
      </c>
      <c r="IA30" s="1" t="s">
        <v>331</v>
      </c>
      <c r="IB30" s="1" t="s">
        <v>333</v>
      </c>
      <c r="IC30" s="1" t="s">
        <v>333</v>
      </c>
      <c r="ID30" s="1" t="s">
        <v>331</v>
      </c>
      <c r="IE30" s="1" t="s">
        <v>333</v>
      </c>
      <c r="IF30" s="1" t="s">
        <v>331</v>
      </c>
      <c r="IG30" s="1" t="s">
        <v>333</v>
      </c>
      <c r="IH30" s="1" t="s">
        <v>331</v>
      </c>
      <c r="II30" s="1" t="s">
        <v>332</v>
      </c>
      <c r="IJ30" s="1" t="s">
        <v>333</v>
      </c>
      <c r="IK30" s="1" t="s">
        <v>331</v>
      </c>
      <c r="IL30" s="1" t="s">
        <v>331</v>
      </c>
      <c r="IM30" s="1" t="s">
        <v>332</v>
      </c>
      <c r="IN30" s="1" t="s">
        <v>333</v>
      </c>
      <c r="IO30" s="1" t="s">
        <v>331</v>
      </c>
      <c r="IP30" s="1" t="s">
        <v>331</v>
      </c>
      <c r="IQ30" s="1" t="s">
        <v>333</v>
      </c>
      <c r="IR30" s="1" t="s">
        <v>332</v>
      </c>
    </row>
    <row r="31" spans="1:252" s="1" customFormat="1" x14ac:dyDescent="0.35">
      <c r="A31" s="1" t="s">
        <v>1721</v>
      </c>
      <c r="D31" s="1" t="s">
        <v>1768</v>
      </c>
      <c r="E31" s="1">
        <v>6213</v>
      </c>
      <c r="G31" s="1" t="s">
        <v>1689</v>
      </c>
      <c r="H31" s="1" t="s">
        <v>311</v>
      </c>
      <c r="I31" s="1" t="s">
        <v>1694</v>
      </c>
      <c r="J31" s="1" t="s">
        <v>1733</v>
      </c>
      <c r="K31" s="1" t="s">
        <v>1724</v>
      </c>
      <c r="M31" s="1">
        <v>1</v>
      </c>
      <c r="N31" s="1">
        <v>1</v>
      </c>
      <c r="O31" s="1">
        <v>0</v>
      </c>
      <c r="P31" s="1">
        <v>0</v>
      </c>
      <c r="Q31" s="1">
        <v>1</v>
      </c>
      <c r="R31" s="1">
        <v>1</v>
      </c>
      <c r="S31" s="1">
        <v>0</v>
      </c>
      <c r="T31" s="1">
        <v>1</v>
      </c>
      <c r="U31" s="1">
        <v>1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1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1</v>
      </c>
      <c r="AM31" s="1">
        <v>0</v>
      </c>
      <c r="AN31" s="1">
        <v>0</v>
      </c>
      <c r="AO31" s="1">
        <v>1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1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1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1</v>
      </c>
      <c r="BQ31" s="1">
        <v>0</v>
      </c>
      <c r="BR31" s="1">
        <v>0</v>
      </c>
      <c r="BS31" s="1">
        <v>1</v>
      </c>
      <c r="BT31" s="1">
        <v>0</v>
      </c>
      <c r="BU31" s="1">
        <v>0</v>
      </c>
      <c r="BV31" s="1">
        <v>0</v>
      </c>
      <c r="BW31" s="1">
        <v>1</v>
      </c>
      <c r="BX31" s="1">
        <v>1</v>
      </c>
      <c r="BY31" s="1">
        <v>0</v>
      </c>
      <c r="BZ31" s="1">
        <v>0</v>
      </c>
      <c r="CA31" s="1">
        <v>1</v>
      </c>
      <c r="CB31" s="1">
        <v>0</v>
      </c>
      <c r="CC31" s="1">
        <v>1</v>
      </c>
      <c r="CD31" s="1">
        <v>0</v>
      </c>
      <c r="CE31" s="1">
        <v>0</v>
      </c>
      <c r="CF31" s="1">
        <v>1</v>
      </c>
      <c r="CG31" s="1">
        <v>0</v>
      </c>
      <c r="CH31" s="1">
        <v>1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1</v>
      </c>
      <c r="CP31" s="1">
        <v>0</v>
      </c>
      <c r="CQ31" s="1">
        <v>1</v>
      </c>
      <c r="CR31" s="1">
        <v>1</v>
      </c>
      <c r="CS31" s="1">
        <v>0</v>
      </c>
      <c r="CT31" s="1">
        <v>0</v>
      </c>
      <c r="CU31" s="1">
        <v>0</v>
      </c>
      <c r="CV31" s="1">
        <v>1</v>
      </c>
      <c r="CW31" s="1">
        <v>0</v>
      </c>
      <c r="CX31" s="1">
        <v>0</v>
      </c>
      <c r="CY31" s="1">
        <v>0</v>
      </c>
      <c r="CZ31" s="1">
        <v>0</v>
      </c>
      <c r="DA31" s="1">
        <v>1</v>
      </c>
      <c r="DB31" s="1">
        <v>1</v>
      </c>
      <c r="DC31" s="1">
        <v>1</v>
      </c>
      <c r="DD31" s="1">
        <v>0</v>
      </c>
      <c r="DE31" s="1">
        <v>0</v>
      </c>
      <c r="DF31" s="1">
        <v>0</v>
      </c>
      <c r="DG31" s="1">
        <v>0</v>
      </c>
      <c r="DH31" s="1">
        <v>1</v>
      </c>
      <c r="DI31" s="1">
        <v>1</v>
      </c>
      <c r="DJ31" s="1">
        <v>0</v>
      </c>
      <c r="DK31" s="1">
        <v>1</v>
      </c>
      <c r="DL31" s="1">
        <v>0</v>
      </c>
      <c r="DM31" s="1">
        <v>0</v>
      </c>
      <c r="DN31" s="1">
        <v>1</v>
      </c>
      <c r="DO31" s="1">
        <v>0</v>
      </c>
      <c r="DP31" s="1">
        <v>1</v>
      </c>
      <c r="DQ31" s="1">
        <v>0</v>
      </c>
      <c r="DR31" s="1">
        <v>0</v>
      </c>
      <c r="DS31" s="1">
        <v>1</v>
      </c>
      <c r="DT31" s="1">
        <v>1</v>
      </c>
      <c r="DU31" s="1">
        <v>0</v>
      </c>
      <c r="DV31" s="1">
        <v>1</v>
      </c>
      <c r="DW31" s="1">
        <v>0</v>
      </c>
      <c r="DX31" s="1">
        <v>1</v>
      </c>
      <c r="DY31" s="1">
        <v>1</v>
      </c>
      <c r="DZ31" s="1">
        <v>0</v>
      </c>
      <c r="EA31" s="1">
        <v>0</v>
      </c>
      <c r="EB31" s="1">
        <v>1</v>
      </c>
      <c r="EC31" s="1" t="s">
        <v>331</v>
      </c>
      <c r="ED31" s="1" t="s">
        <v>333</v>
      </c>
      <c r="EE31" s="1" t="s">
        <v>330</v>
      </c>
      <c r="EF31" s="1" t="s">
        <v>330</v>
      </c>
      <c r="EG31" s="1" t="s">
        <v>331</v>
      </c>
      <c r="EH31" s="1" t="s">
        <v>333</v>
      </c>
      <c r="EI31" s="1" t="s">
        <v>331</v>
      </c>
      <c r="EJ31" s="1" t="s">
        <v>331</v>
      </c>
      <c r="EK31" s="1" t="s">
        <v>333</v>
      </c>
      <c r="EL31" s="1" t="s">
        <v>330</v>
      </c>
      <c r="EM31" s="1" t="s">
        <v>333</v>
      </c>
      <c r="EN31" s="1" t="s">
        <v>332</v>
      </c>
      <c r="EO31" s="1" t="s">
        <v>330</v>
      </c>
      <c r="EP31" s="1" t="s">
        <v>331</v>
      </c>
      <c r="EQ31" s="1" t="s">
        <v>330</v>
      </c>
      <c r="ER31" s="1" t="s">
        <v>331</v>
      </c>
      <c r="ES31" s="1" t="s">
        <v>330</v>
      </c>
      <c r="ET31" s="1" t="s">
        <v>333</v>
      </c>
      <c r="EU31" s="1" t="s">
        <v>331</v>
      </c>
      <c r="EV31" s="1" t="s">
        <v>330</v>
      </c>
      <c r="EW31" s="1" t="s">
        <v>331</v>
      </c>
      <c r="EX31" s="1" t="s">
        <v>332</v>
      </c>
      <c r="EY31" s="1" t="s">
        <v>333</v>
      </c>
      <c r="EZ31" s="1" t="s">
        <v>333</v>
      </c>
      <c r="FA31" s="1" t="s">
        <v>330</v>
      </c>
      <c r="FB31" s="1" t="s">
        <v>330</v>
      </c>
      <c r="FC31" s="1" t="s">
        <v>331</v>
      </c>
      <c r="FD31" s="1" t="s">
        <v>333</v>
      </c>
      <c r="FE31" s="1" t="s">
        <v>331</v>
      </c>
      <c r="FF31" s="1" t="s">
        <v>330</v>
      </c>
      <c r="FG31" s="1" t="s">
        <v>333</v>
      </c>
      <c r="FH31" s="1" t="s">
        <v>331</v>
      </c>
      <c r="FI31" s="1" t="s">
        <v>333</v>
      </c>
      <c r="FJ31" s="1" t="s">
        <v>330</v>
      </c>
      <c r="FK31" s="1" t="s">
        <v>330</v>
      </c>
      <c r="FL31" s="1" t="s">
        <v>331</v>
      </c>
      <c r="FM31" s="1" t="s">
        <v>333</v>
      </c>
      <c r="FN31" s="1" t="s">
        <v>330</v>
      </c>
      <c r="FO31" s="1" t="s">
        <v>333</v>
      </c>
      <c r="FP31" s="1" t="s">
        <v>330</v>
      </c>
      <c r="FQ31" s="1" t="s">
        <v>331</v>
      </c>
      <c r="FR31" s="1" t="s">
        <v>333</v>
      </c>
      <c r="FS31" s="1" t="s">
        <v>330</v>
      </c>
      <c r="FT31" s="1" t="s">
        <v>333</v>
      </c>
      <c r="FU31" s="1" t="s">
        <v>331</v>
      </c>
      <c r="FV31" s="1" t="s">
        <v>330</v>
      </c>
      <c r="FW31" s="1" t="s">
        <v>331</v>
      </c>
      <c r="FX31" s="1" t="s">
        <v>330</v>
      </c>
      <c r="FY31" s="1" t="s">
        <v>330</v>
      </c>
      <c r="FZ31" s="1" t="s">
        <v>333</v>
      </c>
      <c r="GA31" s="1" t="s">
        <v>331</v>
      </c>
      <c r="GB31" s="1" t="s">
        <v>333</v>
      </c>
      <c r="GC31" s="1" t="s">
        <v>330</v>
      </c>
      <c r="GD31" s="1" t="s">
        <v>331</v>
      </c>
      <c r="GE31" s="1" t="s">
        <v>330</v>
      </c>
      <c r="GF31" s="1" t="s">
        <v>333</v>
      </c>
      <c r="GG31" s="1" t="s">
        <v>331</v>
      </c>
      <c r="GH31" s="1" t="s">
        <v>333</v>
      </c>
      <c r="GI31" s="1" t="s">
        <v>330</v>
      </c>
      <c r="GJ31" s="1" t="s">
        <v>333</v>
      </c>
      <c r="GK31" s="1" t="s">
        <v>331</v>
      </c>
      <c r="GL31" s="1" t="s">
        <v>330</v>
      </c>
      <c r="GM31" s="1" t="s">
        <v>333</v>
      </c>
      <c r="GN31" s="1" t="s">
        <v>331</v>
      </c>
      <c r="GO31" s="1" t="s">
        <v>333</v>
      </c>
      <c r="GP31" s="1" t="s">
        <v>330</v>
      </c>
      <c r="GQ31" s="1" t="s">
        <v>333</v>
      </c>
      <c r="GR31" s="1" t="s">
        <v>333</v>
      </c>
      <c r="GS31" s="1" t="s">
        <v>330</v>
      </c>
      <c r="GT31" s="1" t="s">
        <v>333</v>
      </c>
      <c r="GU31" s="1" t="s">
        <v>331</v>
      </c>
      <c r="GV31" s="1" t="s">
        <v>330</v>
      </c>
      <c r="GW31" s="1" t="s">
        <v>333</v>
      </c>
      <c r="GX31" s="1" t="s">
        <v>333</v>
      </c>
      <c r="GY31" s="1" t="s">
        <v>330</v>
      </c>
      <c r="GZ31" s="1" t="s">
        <v>333</v>
      </c>
      <c r="HA31" s="1" t="s">
        <v>331</v>
      </c>
      <c r="HB31" s="1" t="s">
        <v>333</v>
      </c>
      <c r="HC31" s="1" t="s">
        <v>330</v>
      </c>
      <c r="HD31" s="1" t="s">
        <v>333</v>
      </c>
      <c r="HE31" s="1" t="s">
        <v>330</v>
      </c>
      <c r="HF31" s="1" t="s">
        <v>333</v>
      </c>
      <c r="HG31" s="1" t="s">
        <v>331</v>
      </c>
      <c r="HH31" s="1" t="s">
        <v>333</v>
      </c>
      <c r="HI31" s="1" t="s">
        <v>330</v>
      </c>
      <c r="HJ31" s="1" t="s">
        <v>333</v>
      </c>
      <c r="HK31" s="1" t="s">
        <v>331</v>
      </c>
      <c r="HL31" s="1" t="s">
        <v>333</v>
      </c>
      <c r="HM31" s="1" t="s">
        <v>330</v>
      </c>
      <c r="HN31" s="1" t="s">
        <v>333</v>
      </c>
      <c r="HO31" s="1" t="s">
        <v>331</v>
      </c>
      <c r="HP31" s="1" t="s">
        <v>330</v>
      </c>
      <c r="HQ31" s="1" t="s">
        <v>331</v>
      </c>
      <c r="HR31" s="1" t="s">
        <v>330</v>
      </c>
      <c r="HS31" s="1" t="s">
        <v>331</v>
      </c>
      <c r="HT31" s="1" t="s">
        <v>333</v>
      </c>
      <c r="HU31" s="1" t="s">
        <v>330</v>
      </c>
      <c r="HV31" s="1" t="s">
        <v>333</v>
      </c>
      <c r="HW31" s="1" t="s">
        <v>331</v>
      </c>
      <c r="HX31" s="1" t="s">
        <v>333</v>
      </c>
      <c r="HY31" s="1" t="s">
        <v>331</v>
      </c>
      <c r="HZ31" s="1" t="s">
        <v>330</v>
      </c>
      <c r="IA31" s="1" t="s">
        <v>331</v>
      </c>
      <c r="IB31" s="1" t="s">
        <v>330</v>
      </c>
      <c r="IC31" s="1" t="s">
        <v>330</v>
      </c>
      <c r="ID31" s="1" t="s">
        <v>330</v>
      </c>
      <c r="IE31" s="1" t="s">
        <v>333</v>
      </c>
      <c r="IF31" s="1" t="s">
        <v>333</v>
      </c>
      <c r="IG31" s="1" t="s">
        <v>333</v>
      </c>
      <c r="IH31" s="1" t="s">
        <v>333</v>
      </c>
      <c r="II31" s="1" t="s">
        <v>331</v>
      </c>
      <c r="IJ31" s="1" t="s">
        <v>330</v>
      </c>
      <c r="IK31" s="1" t="s">
        <v>331</v>
      </c>
      <c r="IL31" s="1" t="s">
        <v>333</v>
      </c>
      <c r="IM31" s="1" t="s">
        <v>330</v>
      </c>
      <c r="IN31" s="1" t="s">
        <v>333</v>
      </c>
      <c r="IO31" s="1" t="s">
        <v>331</v>
      </c>
      <c r="IP31" s="1" t="s">
        <v>333</v>
      </c>
      <c r="IQ31" s="1" t="s">
        <v>333</v>
      </c>
      <c r="IR31" s="1" t="s">
        <v>331</v>
      </c>
    </row>
    <row r="32" spans="1:252" s="98" customFormat="1" x14ac:dyDescent="0.35">
      <c r="D32" s="98" t="s">
        <v>347</v>
      </c>
      <c r="EC32" s="98">
        <f>COUNTA(M2:M31)</f>
        <v>30</v>
      </c>
      <c r="ED32" s="98">
        <f>COUNTA(N2:N31)</f>
        <v>30</v>
      </c>
      <c r="EE32" s="98">
        <f>COUNTA(O2:O31)</f>
        <v>30</v>
      </c>
      <c r="EF32" s="98">
        <f>COUNTA(P2:P31)</f>
        <v>30</v>
      </c>
      <c r="EG32" s="98">
        <f>COUNTA(Q2:Q31)</f>
        <v>30</v>
      </c>
      <c r="EH32" s="98">
        <f>COUNTA(R2:R31)</f>
        <v>30</v>
      </c>
      <c r="EI32" s="98">
        <f>COUNTA(S2:S31)</f>
        <v>30</v>
      </c>
      <c r="EJ32" s="98">
        <f>COUNTA(T2:T31)</f>
        <v>30</v>
      </c>
      <c r="EK32" s="98">
        <f>COUNTA(U2:U31)</f>
        <v>30</v>
      </c>
      <c r="EL32" s="98">
        <f>COUNTA(V2:V31)</f>
        <v>30</v>
      </c>
      <c r="EM32" s="98">
        <f>COUNTA(W2:W31)</f>
        <v>30</v>
      </c>
      <c r="EN32" s="98">
        <f>COUNTA(X2:X31)</f>
        <v>30</v>
      </c>
      <c r="EO32" s="98">
        <f>COUNTA(Y2:Y31)</f>
        <v>30</v>
      </c>
      <c r="EP32" s="98">
        <f>COUNTA(Z2:Z31)</f>
        <v>30</v>
      </c>
      <c r="EQ32" s="98">
        <f>COUNTA(AA2:AA31)</f>
        <v>30</v>
      </c>
      <c r="ER32" s="98">
        <f>COUNTA(AB2:AB31)</f>
        <v>30</v>
      </c>
      <c r="ES32" s="98">
        <f>COUNTA(AC2:AC31)</f>
        <v>30</v>
      </c>
      <c r="ET32" s="98">
        <f>COUNTA(AD2:AD31)</f>
        <v>30</v>
      </c>
      <c r="EU32" s="98">
        <f>COUNTA(AE2:AE31)</f>
        <v>30</v>
      </c>
      <c r="EV32" s="98">
        <f>COUNTA(AF2:AF31)</f>
        <v>30</v>
      </c>
      <c r="EW32" s="98">
        <f>COUNTA(AG2:AG31)</f>
        <v>30</v>
      </c>
      <c r="EX32" s="98">
        <f>COUNTA(AH2:AH31)</f>
        <v>30</v>
      </c>
      <c r="EY32" s="98">
        <f>COUNTA(AI2:AI31)</f>
        <v>30</v>
      </c>
      <c r="EZ32" s="98">
        <f>COUNTA(AJ2:AJ31)</f>
        <v>30</v>
      </c>
      <c r="FA32" s="98">
        <f>COUNTA(AK2:AK31)</f>
        <v>30</v>
      </c>
      <c r="FB32" s="98">
        <f>COUNTA(AL2:AL31)</f>
        <v>30</v>
      </c>
      <c r="FC32" s="98">
        <f>COUNTA(AM2:AM31)</f>
        <v>30</v>
      </c>
      <c r="FD32" s="98">
        <f>COUNTA(AN2:AN31)</f>
        <v>30</v>
      </c>
      <c r="FE32" s="98">
        <f>COUNTA(AO2:AO31)</f>
        <v>30</v>
      </c>
      <c r="FF32" s="98">
        <f>COUNTA(AP2:AP31)</f>
        <v>30</v>
      </c>
      <c r="FG32" s="98">
        <f>COUNTA(AQ2:AQ31)</f>
        <v>30</v>
      </c>
      <c r="FH32" s="98">
        <f>COUNTA(AR2:AR31)</f>
        <v>30</v>
      </c>
      <c r="FI32" s="98">
        <f>COUNTA(AS2:AS31)</f>
        <v>30</v>
      </c>
      <c r="FJ32" s="98">
        <f>COUNTA(AT2:AT31)</f>
        <v>30</v>
      </c>
      <c r="FK32" s="98">
        <f>COUNTA(AU2:AU31)</f>
        <v>30</v>
      </c>
      <c r="FL32" s="98">
        <f>COUNTA(AV2:AV31)</f>
        <v>30</v>
      </c>
      <c r="FM32" s="98">
        <f>COUNTA(AW2:AW31)</f>
        <v>30</v>
      </c>
      <c r="FN32" s="98">
        <f>COUNTA(AX2:AX31)</f>
        <v>30</v>
      </c>
      <c r="FO32" s="98">
        <f>COUNTA(AY2:AY31)</f>
        <v>30</v>
      </c>
      <c r="FP32" s="98">
        <f>COUNTA(AZ2:AZ31)</f>
        <v>30</v>
      </c>
      <c r="FQ32" s="98">
        <f>COUNTA(BA2:BA31)</f>
        <v>30</v>
      </c>
      <c r="FR32" s="98">
        <f>COUNTA(BB2:BB31)</f>
        <v>30</v>
      </c>
      <c r="FS32" s="98">
        <f>COUNTA(BC2:BC31)</f>
        <v>30</v>
      </c>
      <c r="FT32" s="98">
        <f>COUNTA(BD2:BD31)</f>
        <v>30</v>
      </c>
      <c r="FU32" s="98">
        <f>COUNTA(BE2:BE31)</f>
        <v>30</v>
      </c>
      <c r="FV32" s="98">
        <f>COUNTA(BF2:BF31)</f>
        <v>30</v>
      </c>
      <c r="FW32" s="98">
        <f>COUNTA(BG2:BG31)</f>
        <v>30</v>
      </c>
      <c r="FX32" s="98">
        <f>COUNTA(BH2:BH31)</f>
        <v>30</v>
      </c>
      <c r="FY32" s="98">
        <f>COUNTA(BI2:BI31)</f>
        <v>30</v>
      </c>
      <c r="FZ32" s="98">
        <f>COUNTA(BJ2:BJ31)</f>
        <v>30</v>
      </c>
      <c r="GA32" s="98">
        <f>COUNTA(BK2:BK31)</f>
        <v>30</v>
      </c>
      <c r="GB32" s="98">
        <f>COUNTA(BL2:BL31)</f>
        <v>30</v>
      </c>
      <c r="GC32" s="98">
        <f>COUNTA(BM2:BM31)</f>
        <v>30</v>
      </c>
      <c r="GD32" s="98">
        <f>COUNTA(BN2:BN31)</f>
        <v>30</v>
      </c>
      <c r="GE32" s="98">
        <f>COUNTA(BO2:BO31)</f>
        <v>30</v>
      </c>
      <c r="GF32" s="98">
        <f>COUNTA(BP2:BP31)</f>
        <v>30</v>
      </c>
      <c r="GG32" s="98">
        <f>COUNTA(BQ2:BQ31)</f>
        <v>30</v>
      </c>
      <c r="GH32" s="98">
        <f>COUNTA(BR2:BR31)</f>
        <v>30</v>
      </c>
      <c r="GI32" s="98">
        <f>COUNTA(BS2:BS31)</f>
        <v>30</v>
      </c>
      <c r="GJ32" s="98">
        <f>COUNTA(BT2:BT31)</f>
        <v>30</v>
      </c>
      <c r="GK32" s="98">
        <f>COUNTA(BU2:BU31)</f>
        <v>30</v>
      </c>
      <c r="GL32" s="98">
        <f>COUNTA(BV2:BV31)</f>
        <v>30</v>
      </c>
      <c r="GM32" s="98">
        <f>COUNTA(BW2:BW31)</f>
        <v>30</v>
      </c>
      <c r="GN32" s="98">
        <f>COUNTA(BX2:BX31)</f>
        <v>30</v>
      </c>
      <c r="GO32" s="98">
        <f>COUNTA(BY2:BY31)</f>
        <v>30</v>
      </c>
      <c r="GP32" s="98">
        <f>COUNTA(BZ2:BZ31)</f>
        <v>30</v>
      </c>
      <c r="GQ32" s="98">
        <f>COUNTA(CA2:CA31)</f>
        <v>30</v>
      </c>
      <c r="GR32" s="98">
        <f>COUNTA(CB2:CB31)</f>
        <v>30</v>
      </c>
      <c r="GS32" s="98">
        <f>COUNTA(CC2:CC31)</f>
        <v>30</v>
      </c>
      <c r="GT32" s="98">
        <f>COUNTA(CD2:CD31)</f>
        <v>30</v>
      </c>
      <c r="GU32" s="98">
        <f>COUNTA(CE2:CE31)</f>
        <v>30</v>
      </c>
      <c r="GV32" s="98">
        <f>COUNTA(CF2:CF31)</f>
        <v>30</v>
      </c>
      <c r="GW32" s="98">
        <f>COUNTA(CG2:CG31)</f>
        <v>30</v>
      </c>
      <c r="GX32" s="98">
        <f>COUNTA(CH2:CH31)</f>
        <v>30</v>
      </c>
      <c r="GY32" s="98">
        <f>COUNTA(CI2:CI31)</f>
        <v>30</v>
      </c>
      <c r="GZ32" s="98">
        <f>COUNTA(CJ2:CJ31)</f>
        <v>30</v>
      </c>
      <c r="HA32" s="98">
        <f>COUNTA(CK2:CK31)</f>
        <v>30</v>
      </c>
      <c r="HB32" s="98">
        <f>COUNTA(CL2:CL31)</f>
        <v>30</v>
      </c>
      <c r="HC32" s="98">
        <f>COUNTA(CM2:CM31)</f>
        <v>30</v>
      </c>
      <c r="HD32" s="98">
        <f>COUNTA(CN2:CN31)</f>
        <v>30</v>
      </c>
      <c r="HE32" s="98">
        <f>COUNTA(CO2:CO31)</f>
        <v>30</v>
      </c>
      <c r="HF32" s="98">
        <f>COUNTA(CP2:CP31)</f>
        <v>30</v>
      </c>
      <c r="HG32" s="98">
        <f>COUNTA(CQ2:CQ31)</f>
        <v>30</v>
      </c>
      <c r="HH32" s="98">
        <f>COUNTA(CR2:CR31)</f>
        <v>30</v>
      </c>
      <c r="HI32" s="98">
        <f>COUNTA(CS2:CS31)</f>
        <v>30</v>
      </c>
      <c r="HJ32" s="98">
        <f>COUNTA(CT2:CT31)</f>
        <v>30</v>
      </c>
      <c r="HK32" s="98">
        <f>COUNTA(CU2:CU31)</f>
        <v>30</v>
      </c>
      <c r="HL32" s="98">
        <f>COUNTA(CV2:CV31)</f>
        <v>30</v>
      </c>
      <c r="HM32" s="98">
        <f>COUNTA(CW2:CW31)</f>
        <v>30</v>
      </c>
      <c r="HN32" s="98">
        <f>COUNTA(CX2:CX31)</f>
        <v>30</v>
      </c>
      <c r="HO32" s="98">
        <f>COUNTA(CY2:CY31)</f>
        <v>30</v>
      </c>
      <c r="HP32" s="98">
        <f>COUNTA(CZ2:CZ31)</f>
        <v>30</v>
      </c>
      <c r="HQ32" s="98">
        <f>COUNTA(DA2:DA31)</f>
        <v>30</v>
      </c>
      <c r="HR32" s="98">
        <f>COUNTA(DB2:DB31)</f>
        <v>30</v>
      </c>
      <c r="HS32" s="98">
        <f>COUNTA(DC2:DC31)</f>
        <v>30</v>
      </c>
      <c r="HT32" s="98">
        <f>COUNTA(DD2:DD31)</f>
        <v>30</v>
      </c>
      <c r="HU32" s="98">
        <f>COUNTA(DE2:DE31)</f>
        <v>30</v>
      </c>
      <c r="HV32" s="98">
        <f>COUNTA(DF2:DF31)</f>
        <v>30</v>
      </c>
      <c r="HW32" s="98">
        <f>COUNTA(DG2:DG31)</f>
        <v>30</v>
      </c>
      <c r="HX32" s="98">
        <f>COUNTA(DH2:DH31)</f>
        <v>30</v>
      </c>
      <c r="HY32" s="98">
        <f>COUNTA(DI2:DI31)</f>
        <v>30</v>
      </c>
      <c r="HZ32" s="98">
        <f>COUNTA(DJ2:DJ31)</f>
        <v>30</v>
      </c>
      <c r="IA32" s="98">
        <f>COUNTA(DK2:DK31)</f>
        <v>30</v>
      </c>
      <c r="IB32" s="98">
        <f>COUNTA(DL2:DL31)</f>
        <v>30</v>
      </c>
      <c r="IC32" s="98">
        <f>COUNTA(DM2:DM31)</f>
        <v>30</v>
      </c>
      <c r="ID32" s="98">
        <f>COUNTA(DN2:DN31)</f>
        <v>30</v>
      </c>
      <c r="IE32" s="98">
        <f>COUNTA(DO2:DO31)</f>
        <v>30</v>
      </c>
      <c r="IF32" s="98">
        <f>COUNTA(DP2:DP31)</f>
        <v>30</v>
      </c>
      <c r="IG32" s="98">
        <f>COUNTA(DQ2:DQ31)</f>
        <v>30</v>
      </c>
      <c r="IH32" s="98">
        <f>COUNTA(DR2:DR31)</f>
        <v>30</v>
      </c>
      <c r="II32" s="98">
        <f>COUNTA(DS2:DS31)</f>
        <v>30</v>
      </c>
      <c r="IJ32" s="98">
        <f>COUNTA(DT2:DT31)</f>
        <v>30</v>
      </c>
      <c r="IK32" s="98">
        <f>COUNTA(DU2:DU31)</f>
        <v>30</v>
      </c>
      <c r="IL32" s="98">
        <f>COUNTA(DV2:DV31)</f>
        <v>30</v>
      </c>
      <c r="IM32" s="98">
        <f>COUNTA(DW2:DW31)</f>
        <v>30</v>
      </c>
      <c r="IN32" s="98">
        <f>COUNTA(DX2:DX31)</f>
        <v>30</v>
      </c>
      <c r="IO32" s="98">
        <f>COUNTA(DY2:DY31)</f>
        <v>30</v>
      </c>
      <c r="IP32" s="98">
        <f>COUNTA(DZ2:DZ31)</f>
        <v>30</v>
      </c>
      <c r="IQ32" s="98">
        <f>COUNTA(EA2:EA31)</f>
        <v>30</v>
      </c>
      <c r="IR32" s="98">
        <f>COUNTA(EB2:EB31)</f>
        <v>30</v>
      </c>
    </row>
    <row r="33" spans="4:252" s="65" customFormat="1" x14ac:dyDescent="0.35">
      <c r="D33" s="138" t="s">
        <v>338</v>
      </c>
      <c r="L33" s="138"/>
      <c r="EB33" s="65" t="s">
        <v>330</v>
      </c>
      <c r="EC33" s="128">
        <f>ROUND(COUNTIF(EC2:EC31,"A")*100/EC32,0)</f>
        <v>7</v>
      </c>
      <c r="ED33" s="128">
        <f>ROUND(COUNTIF(ED2:ED31,"A")*100/ED32,0)</f>
        <v>17</v>
      </c>
      <c r="EE33" s="128">
        <f>ROUND(COUNTIF(EE2:EE31,"A")*100/EE32,0)</f>
        <v>20</v>
      </c>
      <c r="EF33" s="128">
        <f>ROUND(COUNTIF(EF2:EF31,"A")*100/EF32,0)</f>
        <v>40</v>
      </c>
      <c r="EG33" s="128">
        <f>ROUND(COUNTIF(EG2:EG31,"A")*100/EG32,0)</f>
        <v>10</v>
      </c>
      <c r="EH33" s="128">
        <f>ROUND(COUNTIF(EH2:EH31,"A")*100/EH32,0)</f>
        <v>37</v>
      </c>
      <c r="EI33" s="128">
        <f>ROUND(COUNTIF(EI2:EI31,"A")*100/EI32,0)</f>
        <v>53</v>
      </c>
      <c r="EJ33" s="128">
        <f>ROUND(COUNTIF(EJ2:EJ31,"A")*100/EJ32,0)</f>
        <v>3</v>
      </c>
      <c r="EK33" s="128">
        <f>ROUND(COUNTIF(EK2:EK31,"A")*100/EK32,0)</f>
        <v>13</v>
      </c>
      <c r="EL33" s="128">
        <f>ROUND(COUNTIF(EL2:EL31,"A")*100/EL32,0)</f>
        <v>27</v>
      </c>
      <c r="EM33" s="128">
        <f>ROUND(COUNTIF(EM2:EM31,"A")*100/EM32,0)</f>
        <v>13</v>
      </c>
      <c r="EN33" s="128">
        <f>ROUND(COUNTIF(EN2:EN31,"A")*100/EN32,0)</f>
        <v>0</v>
      </c>
      <c r="EO33" s="128">
        <f>ROUND(COUNTIF(EO2:EO31,"A")*100/EO32,0)</f>
        <v>33</v>
      </c>
      <c r="EP33" s="127">
        <f>ROUND(COUNTIF(EP2:EP31,"A")*100/EP32,0)</f>
        <v>10</v>
      </c>
      <c r="EQ33" s="128">
        <f>ROUND(COUNTIF(EQ2:EQ31,"A")*100/EQ32,0)</f>
        <v>23</v>
      </c>
      <c r="ER33" s="128">
        <f>ROUND(COUNTIF(ER2:ER31,"A")*100/ER32,0)</f>
        <v>33</v>
      </c>
      <c r="ES33" s="128">
        <f>ROUND(COUNTIF(ES2:ES31,"A")*100/ES32,0)</f>
        <v>60</v>
      </c>
      <c r="ET33" s="128">
        <f>ROUND(COUNTIF(ET2:ET31,"A")*100/ET32,0)</f>
        <v>17</v>
      </c>
      <c r="EU33" s="128">
        <f>ROUND(COUNTIF(EU2:EU31,"A")*100/EU32,0)</f>
        <v>7</v>
      </c>
      <c r="EV33" s="128">
        <f>ROUND(COUNTIF(EV2:EV31,"A")*100/EV32,0)</f>
        <v>50</v>
      </c>
      <c r="EW33" s="128">
        <f>ROUND(COUNTIF(EW2:EW31,"A")*100/EW32,0)</f>
        <v>10</v>
      </c>
      <c r="EX33" s="128">
        <f>ROUND(COUNTIF(EX2:EX31,"A")*100/EX32,0)</f>
        <v>3</v>
      </c>
      <c r="EY33" s="128">
        <f>ROUND(COUNTIF(EY2:EY31,"A")*100/EY32,0)</f>
        <v>23</v>
      </c>
      <c r="EZ33" s="128">
        <f>ROUND(COUNTIF(EZ2:EZ31,"A")*100/EZ32,0)</f>
        <v>7</v>
      </c>
      <c r="FA33" s="128">
        <f>ROUND(COUNTIF(FA2:FA31,"A")*100/FA32,0)</f>
        <v>37</v>
      </c>
      <c r="FB33" s="127">
        <f>ROUND(COUNTIF(FB2:FB31,"A")*100/FB32,0)</f>
        <v>47</v>
      </c>
      <c r="FC33" s="128">
        <f>ROUND(COUNTIF(FC2:FC31,"A")*100/FC32,0)</f>
        <v>33</v>
      </c>
      <c r="FD33" s="128">
        <f>ROUND(COUNTIF(FD2:FD31,"A")*100/FD32,0)</f>
        <v>37</v>
      </c>
      <c r="FE33" s="128">
        <f>ROUND(COUNTIF(FE2:FE31,"A")*100/FE32,0)</f>
        <v>13</v>
      </c>
      <c r="FF33" s="128">
        <f>ROUND(COUNTIF(FF2:FF31,"A")*100/FF32,0)</f>
        <v>23</v>
      </c>
      <c r="FG33" s="128">
        <f>ROUND(COUNTIF(FG2:FG31,"A")*100/FG32,0)</f>
        <v>13</v>
      </c>
      <c r="FH33" s="128">
        <f>ROUND(COUNTIF(FH2:FH31,"A")*100/FH32,0)</f>
        <v>27</v>
      </c>
      <c r="FI33" s="128">
        <f>ROUND(COUNTIF(FI2:FI31,"A")*100/FI32,0)</f>
        <v>10</v>
      </c>
      <c r="FJ33" s="128">
        <f>ROUND(COUNTIF(FJ2:FJ31,"A")*100/FJ32,0)</f>
        <v>23</v>
      </c>
      <c r="FK33" s="127">
        <f>ROUND(COUNTIF(FK2:FK31,"A")*100/FK32,0)</f>
        <v>77</v>
      </c>
      <c r="FL33" s="128">
        <f>ROUND(COUNTIF(FL2:FL31,"A")*100/FL32,0)</f>
        <v>10</v>
      </c>
      <c r="FM33" s="127">
        <f>ROUND(COUNTIF(FM2:FM31,"A")*100/FM32,0)</f>
        <v>47</v>
      </c>
      <c r="FN33" s="128">
        <f>ROUND(COUNTIF(FN2:FN31,"A")*100/FN32,0)</f>
        <v>27</v>
      </c>
      <c r="FO33" s="128">
        <f>ROUND(COUNTIF(FO2:FO31,"A")*100/FO32,0)</f>
        <v>17</v>
      </c>
      <c r="FP33" s="128">
        <f>ROUND(COUNTIF(FP2:FP31,"A")*100/FP32,0)</f>
        <v>10</v>
      </c>
      <c r="FQ33" s="128">
        <f>ROUND(COUNTIF(FQ2:FQ31,"A")*100/FQ32,0)</f>
        <v>33</v>
      </c>
      <c r="FR33" s="128">
        <f>ROUND(COUNTIF(FR2:FR31,"A")*100/FR32,0)</f>
        <v>17</v>
      </c>
      <c r="FS33" s="128">
        <f>ROUND(COUNTIF(FS2:FS31,"A")*100/FS32,0)</f>
        <v>23</v>
      </c>
      <c r="FT33" s="128">
        <f>ROUND(COUNTIF(FT2:FT31,"A")*100/FT32,0)</f>
        <v>7</v>
      </c>
      <c r="FU33" s="128">
        <f>ROUND(COUNTIF(FU2:FU31,"A")*100/FU32,0)</f>
        <v>13</v>
      </c>
      <c r="FV33" s="128">
        <f>ROUND(COUNTIF(FV2:FV31,"A")*100/FV32,0)</f>
        <v>70</v>
      </c>
      <c r="FW33" s="128">
        <f>ROUND(COUNTIF(FW2:FW31,"A")*100/FW32,0)</f>
        <v>37</v>
      </c>
      <c r="FX33" s="128">
        <f>ROUND(COUNTIF(FX2:FX31,"A")*100/FX32,0)</f>
        <v>3</v>
      </c>
      <c r="FY33" s="128">
        <f>ROUND(COUNTIF(FY2:FY31,"A")*100/FY32,0)</f>
        <v>23</v>
      </c>
      <c r="FZ33" s="128">
        <f>ROUND(COUNTIF(FZ2:FZ31,"A")*100/FZ32,0)</f>
        <v>20</v>
      </c>
      <c r="GA33" s="128">
        <f>ROUND(COUNTIF(GA2:GA31,"A")*100/GA32,0)</f>
        <v>30</v>
      </c>
      <c r="GB33" s="128">
        <f>ROUND(COUNTIF(GB2:GB31,"A")*100/GB32,0)</f>
        <v>3</v>
      </c>
      <c r="GC33" s="128">
        <f>ROUND(COUNTIF(GC2:GC31,"A")*100/GC32,0)</f>
        <v>27</v>
      </c>
      <c r="GD33" s="128">
        <f>ROUND(COUNTIF(GD2:GD31,"A")*100/GD32,0)</f>
        <v>3</v>
      </c>
      <c r="GE33" s="128">
        <f>ROUND(COUNTIF(GE2:GE31,"A")*100/GE32,0)</f>
        <v>17</v>
      </c>
      <c r="GF33" s="128">
        <f>ROUND(COUNTIF(GF2:GF31,"A")*100/GF32,0)</f>
        <v>30</v>
      </c>
      <c r="GG33" s="128">
        <f>ROUND(COUNTIF(GG2:GG31,"A")*100/GG32,0)</f>
        <v>33</v>
      </c>
      <c r="GH33" s="127">
        <f>ROUND(COUNTIF(GH2:GH31,"A")*100/GH32,0)</f>
        <v>47</v>
      </c>
      <c r="GI33" s="127">
        <f>ROUND(COUNTIF(GI2:GI31,"A")*100/GI32,0)</f>
        <v>43</v>
      </c>
      <c r="GJ33" s="128">
        <f>ROUND(COUNTIF(GJ2:GJ31,"A")*100/GJ32,0)</f>
        <v>67</v>
      </c>
      <c r="GK33" s="128">
        <f>ROUND(COUNTIF(GK2:GK31,"A")*100/GK32,0)</f>
        <v>30</v>
      </c>
      <c r="GL33" s="128">
        <f>ROUND(COUNTIF(GL2:GL31,"A")*100/GL32,0)</f>
        <v>27</v>
      </c>
      <c r="GM33" s="128">
        <f>ROUND(COUNTIF(GM2:GM31,"A")*100/GM32,0)</f>
        <v>30</v>
      </c>
      <c r="GN33" s="128">
        <f>ROUND(COUNTIF(GN2:GN31,"A")*100/GN32,0)</f>
        <v>10</v>
      </c>
      <c r="GO33" s="128">
        <f>ROUND(COUNTIF(GO2:GO31,"A")*100/GO32,0)</f>
        <v>30</v>
      </c>
      <c r="GP33" s="128">
        <f>ROUND(COUNTIF(GP2:GP31,"A")*100/GP32,0)</f>
        <v>7</v>
      </c>
      <c r="GQ33" s="128">
        <f>ROUND(COUNTIF(GQ2:GQ31,"A")*100/GQ32,0)</f>
        <v>3</v>
      </c>
      <c r="GR33" s="127">
        <f>ROUND(COUNTIF(GR2:GR31,"A")*100/GR32,0)</f>
        <v>33</v>
      </c>
      <c r="GS33" s="127">
        <f>ROUND(COUNTIF(GS2:GS31,"A")*100/GS32,0)</f>
        <v>60</v>
      </c>
      <c r="GT33" s="128">
        <f>ROUND(COUNTIF(GT2:GT31,"A")*100/GT32,0)</f>
        <v>50</v>
      </c>
      <c r="GU33" s="128">
        <f>ROUND(COUNTIF(GU2:GU31,"A")*100/GU32,0)</f>
        <v>13</v>
      </c>
      <c r="GV33" s="127">
        <f>ROUND(COUNTIF(GV2:GV31,"A")*100/GV32,0)</f>
        <v>30</v>
      </c>
      <c r="GW33" s="128">
        <f>ROUND(COUNTIF(GW2:GW31,"A")*100/GW32,0)</f>
        <v>20</v>
      </c>
      <c r="GX33" s="128">
        <f>ROUND(COUNTIF(GX2:GX31,"A")*100/GX32,0)</f>
        <v>20</v>
      </c>
      <c r="GY33" s="128">
        <f>ROUND(COUNTIF(GY2:GY31,"A")*100/GY32,0)</f>
        <v>33</v>
      </c>
      <c r="GZ33" s="128">
        <f>ROUND(COUNTIF(GZ2:GZ31,"A")*100/GZ32,0)</f>
        <v>33</v>
      </c>
      <c r="HA33" s="127">
        <f>ROUND(COUNTIF(HA2:HA31,"A")*100/HA32,0)</f>
        <v>60</v>
      </c>
      <c r="HB33" s="128">
        <f>ROUND(COUNTIF(HB2:HB31,"A")*100/HB32,0)</f>
        <v>13</v>
      </c>
      <c r="HC33" s="128">
        <f>ROUND(COUNTIF(HC2:HC31,"A")*100/HC32,0)</f>
        <v>30</v>
      </c>
      <c r="HD33" s="127">
        <f>ROUND(COUNTIF(HD2:HD31,"A")*100/HD32,0)</f>
        <v>43</v>
      </c>
      <c r="HE33" s="127">
        <f>ROUND(COUNTIF(HE2:HE31,"A")*100/HE32,0)</f>
        <v>33</v>
      </c>
      <c r="HF33" s="128">
        <f>ROUND(COUNTIF(HF2:HF31,"A")*100/HF32,0)</f>
        <v>43</v>
      </c>
      <c r="HG33" s="128">
        <f>ROUND(COUNTIF(HG2:HG31,"A")*100/HG32,0)</f>
        <v>30</v>
      </c>
      <c r="HH33" s="128">
        <f>ROUND(COUNTIF(HH2:HH31,"A")*100/HH32,0)</f>
        <v>17</v>
      </c>
      <c r="HI33" s="128">
        <f>ROUND(COUNTIF(HI2:HI31,"A")*100/HI32,0)</f>
        <v>10</v>
      </c>
      <c r="HJ33" s="128">
        <f>ROUND(COUNTIF(HJ2:HJ31,"A")*100/HJ32,0)</f>
        <v>20</v>
      </c>
      <c r="HK33" s="128">
        <f>ROUND(COUNTIF(HK2:HK31,"A")*100/HK32,0)</f>
        <v>17</v>
      </c>
      <c r="HL33" s="128">
        <f>ROUND(COUNTIF(HL2:HL31,"A")*100/HL32,0)</f>
        <v>33</v>
      </c>
      <c r="HM33" s="128">
        <f>ROUND(COUNTIF(HM2:HM31,"A")*100/HM32,0)</f>
        <v>7</v>
      </c>
      <c r="HN33" s="127">
        <f>ROUND(COUNTIF(HN2:HN31,"A")*100/HN32,0)</f>
        <v>13</v>
      </c>
      <c r="HO33" s="128">
        <f>ROUND(COUNTIF(HO2:HO31,"A")*100/HO32,0)</f>
        <v>23</v>
      </c>
      <c r="HP33" s="128">
        <f>ROUND(COUNTIF(HP2:HP31,"A")*100/HP32,0)</f>
        <v>7</v>
      </c>
      <c r="HQ33" s="128">
        <f>ROUND(COUNTIF(HQ2:HQ31,"A")*100/HQ32,0)</f>
        <v>27</v>
      </c>
      <c r="HR33" s="127">
        <f>ROUND(COUNTIF(HR2:HR31,"A")*100/HR32,0)</f>
        <v>40</v>
      </c>
      <c r="HS33" s="128">
        <f>ROUND(COUNTIF(HS2:HS31,"A")*100/HS32,0)</f>
        <v>33</v>
      </c>
      <c r="HT33" s="128">
        <f>ROUND(COUNTIF(HT2:HT31,"A")*100/HT32,0)</f>
        <v>20</v>
      </c>
      <c r="HU33" s="128">
        <f>ROUND(COUNTIF(HU2:HU31,"A")*100/HU32,0)</f>
        <v>20</v>
      </c>
      <c r="HV33" s="127">
        <f>ROUND(COUNTIF(HV2:HV31,"A")*100/HV32,0)</f>
        <v>50</v>
      </c>
      <c r="HW33" s="127">
        <f>ROUND(COUNTIF(HW2:HW31,"A")*100/HW32,0)</f>
        <v>23</v>
      </c>
      <c r="HX33" s="128">
        <f>ROUND(COUNTIF(HX2:HX31,"A")*100/HX32,0)</f>
        <v>20</v>
      </c>
      <c r="HY33" s="128">
        <f>ROUND(COUNTIF(HY2:HY31,"A")*100/HY32,0)</f>
        <v>23</v>
      </c>
      <c r="HZ33" s="128">
        <f>ROUND(COUNTIF(HZ2:HZ31,"A")*100/HZ32,0)</f>
        <v>53</v>
      </c>
      <c r="IA33" s="128">
        <f>ROUND(COUNTIF(IA2:IA31,"A")*100/IA32,0)</f>
        <v>30</v>
      </c>
      <c r="IB33" s="128">
        <f>ROUND(COUNTIF(IB2:IB31,"A")*100/IB32,0)</f>
        <v>23</v>
      </c>
      <c r="IC33" s="128">
        <f>ROUND(COUNTIF(IC2:IC31,"A")*100/IC32,0)</f>
        <v>27</v>
      </c>
      <c r="ID33" s="127">
        <f>ROUND(COUNTIF(ID2:ID31,"A")*100/ID32,0)</f>
        <v>30</v>
      </c>
      <c r="IE33" s="127">
        <f>ROUND(COUNTIF(IE2:IE31,"A")*100/IE32,0)</f>
        <v>37</v>
      </c>
      <c r="IF33" s="128">
        <f>ROUND(COUNTIF(IF2:IF31,"A")*100/IF32,0)</f>
        <v>3</v>
      </c>
      <c r="IG33" s="128">
        <f>ROUND(COUNTIF(IG2:IG31,"A")*100/IG32,0)</f>
        <v>23</v>
      </c>
      <c r="IH33" s="127">
        <f>ROUND(COUNTIF(IH2:IH31,"A")*100/IH32,0)</f>
        <v>20</v>
      </c>
      <c r="II33" s="128">
        <f>ROUND(COUNTIF(II2:II31,"A")*100/II32,0)</f>
        <v>20</v>
      </c>
      <c r="IJ33" s="127">
        <f>ROUND(COUNTIF(IJ2:IJ31,"A")*100/IJ32,0)</f>
        <v>40</v>
      </c>
      <c r="IK33" s="128">
        <f>ROUND(COUNTIF(IK2:IK31,"A")*100/IK32,0)</f>
        <v>30</v>
      </c>
      <c r="IL33" s="128">
        <f>ROUND(COUNTIF(IL2:IL31,"A")*100/IL32,0)</f>
        <v>0</v>
      </c>
      <c r="IM33" s="128">
        <f>ROUND(COUNTIF(IM2:IM31,"A")*100/IM32,0)</f>
        <v>30</v>
      </c>
      <c r="IN33" s="128">
        <f>ROUND(COUNTIF(IN2:IN31,"A")*100/IN32,0)</f>
        <v>40</v>
      </c>
      <c r="IO33" s="128">
        <f>ROUND(COUNTIF(IO2:IO31,"A")*100/IO32,0)</f>
        <v>27</v>
      </c>
      <c r="IP33" s="128">
        <f>ROUND(COUNTIF(IP2:IP31,"A")*100/IP32,0)</f>
        <v>17</v>
      </c>
      <c r="IQ33" s="128">
        <f>ROUND(COUNTIF(IQ2:IQ31,"A")*100/IQ32,0)</f>
        <v>13</v>
      </c>
      <c r="IR33" s="128">
        <f>ROUND(COUNTIF(IR2:IR31,"A")*100/IR32,0)</f>
        <v>7</v>
      </c>
    </row>
    <row r="34" spans="4:252" s="65" customFormat="1" x14ac:dyDescent="0.35">
      <c r="D34" s="138" t="s">
        <v>339</v>
      </c>
      <c r="L34" s="138"/>
      <c r="EB34" s="65" t="s">
        <v>333</v>
      </c>
      <c r="EC34" s="128">
        <f>ROUND(COUNTIF(EC2:EC31,"B")*100/EC32,0)</f>
        <v>3</v>
      </c>
      <c r="ED34" s="127">
        <f>ROUND(COUNTIF(ED2:ED31,"B")*100/ED32,0)</f>
        <v>70</v>
      </c>
      <c r="EE34" s="127">
        <f>ROUND(COUNTIF(EE2:EE31,"B")*100/EE32,0)</f>
        <v>33</v>
      </c>
      <c r="EF34" s="127">
        <f>ROUND(COUNTIF(EF2:EF31,"B")*100/EF32,0)</f>
        <v>23</v>
      </c>
      <c r="EG34" s="128">
        <f>ROUND(COUNTIF(EG2:EG31,"B")*100/EG32,0)</f>
        <v>13</v>
      </c>
      <c r="EH34" s="127">
        <f>ROUND(COUNTIF(EH2:EH31,"B")*100/EH32,0)</f>
        <v>53</v>
      </c>
      <c r="EI34" s="128">
        <f>ROUND(COUNTIF(EI2:EI31,"B")*100/EI32,0)</f>
        <v>3</v>
      </c>
      <c r="EJ34" s="128">
        <f>ROUND(COUNTIF(EJ2:EJ31,"B")*100/EJ32,0)</f>
        <v>20</v>
      </c>
      <c r="EK34" s="127">
        <f>ROUND(COUNTIF(EK2:EK31,"B")*100/EK32,0)</f>
        <v>63</v>
      </c>
      <c r="EL34" s="128">
        <f>ROUND(COUNTIF(EL2:EL31,"B")*100/EL32,0)</f>
        <v>37</v>
      </c>
      <c r="EM34" s="128">
        <f>ROUND(COUNTIF(EM2:EM31,"B")*100/EM32,0)</f>
        <v>40</v>
      </c>
      <c r="EN34" s="128">
        <f>ROUND(COUNTIF(EN2:EN31,"B")*100/EN32,0)</f>
        <v>0</v>
      </c>
      <c r="EO34" s="128">
        <f>ROUND(COUNTIF(EO2:EO31,"B")*100/EO32,0)</f>
        <v>7</v>
      </c>
      <c r="EP34" s="128">
        <f>ROUND(COUNTIF(EP2:EP31,"B")*100/EP32,0)</f>
        <v>3</v>
      </c>
      <c r="EQ34" s="127">
        <f>ROUND(COUNTIF(EQ2:EQ31,"B")*100/EQ32,0)</f>
        <v>40</v>
      </c>
      <c r="ER34" s="128">
        <f>ROUND(COUNTIF(ER2:ER31,"B")*100/ER32,0)</f>
        <v>10</v>
      </c>
      <c r="ES34" s="128">
        <f>ROUND(COUNTIF(ES2:ES31,"B")*100/ES32,0)</f>
        <v>10</v>
      </c>
      <c r="ET34" s="128">
        <f>ROUND(COUNTIF(ET2:ET31,"B")*100/ET32,0)</f>
        <v>30</v>
      </c>
      <c r="EU34" s="128">
        <f>ROUND(COUNTIF(EU2:EU31,"B")*100/EU32,0)</f>
        <v>10</v>
      </c>
      <c r="EV34" s="128">
        <f>ROUND(COUNTIF(EV2:EV31,"B")*100/EV32,0)</f>
        <v>0</v>
      </c>
      <c r="EW34" s="127">
        <f>ROUND(COUNTIF(EW2:EW31,"B")*100/EW32,0)</f>
        <v>57</v>
      </c>
      <c r="EX34" s="128">
        <f>ROUND(COUNTIF(EX2:EX31,"B")*100/EX32,0)</f>
        <v>33</v>
      </c>
      <c r="EY34" s="128">
        <f>ROUND(COUNTIF(EY2:EY31,"B")*100/EY32,0)</f>
        <v>40</v>
      </c>
      <c r="EZ34" s="128">
        <f>ROUND(COUNTIF(EZ2:EZ31,"B")*100/EZ32,0)</f>
        <v>37</v>
      </c>
      <c r="FA34" s="128">
        <f>ROUND(COUNTIF(FA2:FA31,"B")*100/FA32,0)</f>
        <v>13</v>
      </c>
      <c r="FB34" s="128">
        <f>ROUND(COUNTIF(FB2:FB31,"B")*100/FB32,0)</f>
        <v>10</v>
      </c>
      <c r="FC34" s="127">
        <f>ROUND(COUNTIF(FC2:FC31,"B")*100/FC32,0)</f>
        <v>23</v>
      </c>
      <c r="FD34" s="128">
        <f>ROUND(COUNTIF(FD2:FD31,"B")*100/FD32,0)</f>
        <v>20</v>
      </c>
      <c r="FE34" s="128">
        <f>ROUND(COUNTIF(FE2:FE31,"B")*100/FE32,0)</f>
        <v>7</v>
      </c>
      <c r="FF34" s="128">
        <f>ROUND(COUNTIF(FF2:FF31,"B")*100/FF32,0)</f>
        <v>17</v>
      </c>
      <c r="FG34" s="128">
        <f>ROUND(COUNTIF(FG2:FG31,"B")*100/FG32,0)</f>
        <v>20</v>
      </c>
      <c r="FH34" s="128">
        <f>ROUND(COUNTIF(FH2:FH31,"B")*100/FH32,0)</f>
        <v>7</v>
      </c>
      <c r="FI34" s="128">
        <f>ROUND(COUNTIF(FI2:FI31,"B")*100/FI32,0)</f>
        <v>33</v>
      </c>
      <c r="FJ34" s="128">
        <f>ROUND(COUNTIF(FJ2:FJ31,"B")*100/FJ32,0)</f>
        <v>13</v>
      </c>
      <c r="FK34" s="128">
        <f>ROUND(COUNTIF(FK2:FK31,"B")*100/FK32,0)</f>
        <v>10</v>
      </c>
      <c r="FL34" s="128">
        <f>ROUND(COUNTIF(FL2:FL31,"B")*100/FL32,0)</f>
        <v>3</v>
      </c>
      <c r="FM34" s="128">
        <f>ROUND(COUNTIF(FM2:FM31,"B")*100/FM32,0)</f>
        <v>33</v>
      </c>
      <c r="FN34" s="128">
        <f>ROUND(COUNTIF(FN2:FN31,"B")*100/FN32,0)</f>
        <v>27</v>
      </c>
      <c r="FO34" s="128">
        <f>ROUND(COUNTIF(FO2:FO31,"B")*100/FO32,0)</f>
        <v>33</v>
      </c>
      <c r="FP34" s="128">
        <f>ROUND(COUNTIF(FP2:FP31,"B")*100/FP32,0)</f>
        <v>3</v>
      </c>
      <c r="FQ34" s="128">
        <f>ROUND(COUNTIF(FQ2:FQ31,"B")*100/FQ32,0)</f>
        <v>13</v>
      </c>
      <c r="FR34" s="128">
        <f>ROUND(COUNTIF(FR2:FR31,"B")*100/FR32,0)</f>
        <v>17</v>
      </c>
      <c r="FS34" s="128">
        <f>ROUND(COUNTIF(FS2:FS31,"B")*100/FS32,0)</f>
        <v>20</v>
      </c>
      <c r="FT34" s="127">
        <f>ROUND(COUNTIF(FT2:FT31,"B")*100/FT32,0)</f>
        <v>33</v>
      </c>
      <c r="FU34" s="128">
        <f>ROUND(COUNTIF(FU2:FU31,"B")*100/FU32,0)</f>
        <v>23</v>
      </c>
      <c r="FV34" s="128">
        <f>ROUND(COUNTIF(FV2:FV31,"B")*100/FV32,0)</f>
        <v>10</v>
      </c>
      <c r="FW34" s="128">
        <f>ROUND(COUNTIF(FW2:FW31,"B")*100/FW32,0)</f>
        <v>30</v>
      </c>
      <c r="FX34" s="127">
        <f>ROUND(COUNTIF(FX2:FX31,"B")*100/FX32,0)</f>
        <v>87</v>
      </c>
      <c r="FY34" s="128">
        <f>ROUND(COUNTIF(FY2:FY31,"B")*100/FY32,0)</f>
        <v>7</v>
      </c>
      <c r="FZ34" s="128">
        <f>ROUND(COUNTIF(FZ2:FZ31,"B")*100/FZ32,0)</f>
        <v>23</v>
      </c>
      <c r="GA34" s="127">
        <f>ROUND(COUNTIF(GA2:GA31,"B")*100/GA32,0)</f>
        <v>43</v>
      </c>
      <c r="GB34" s="128">
        <f>ROUND(COUNTIF(GB2:GB31,"B")*100/GB32,0)</f>
        <v>27</v>
      </c>
      <c r="GC34" s="128">
        <f>ROUND(COUNTIF(GC2:GC31,"B")*100/GC32,0)</f>
        <v>3</v>
      </c>
      <c r="GD34" s="127">
        <f>ROUND(COUNTIF(GD2:GD31,"B")*100/GD32,0)</f>
        <v>37</v>
      </c>
      <c r="GE34" s="128">
        <f>ROUND(COUNTIF(GE2:GE31,"B")*100/GE32,0)</f>
        <v>30</v>
      </c>
      <c r="GF34" s="127">
        <f>ROUND(COUNTIF(GF2:GF31,"B")*100/GF32,0)</f>
        <v>43</v>
      </c>
      <c r="GG34" s="127">
        <f>ROUND(COUNTIF(GG2:GG31,"B")*100/GG32,0)</f>
        <v>20</v>
      </c>
      <c r="GH34" s="128">
        <f>ROUND(COUNTIF(GH2:GH31,"B")*100/GH32,0)</f>
        <v>10</v>
      </c>
      <c r="GI34" s="128">
        <f>ROUND(COUNTIF(GI2:GI31,"B")*100/GI32,0)</f>
        <v>20</v>
      </c>
      <c r="GJ34" s="128">
        <f>ROUND(COUNTIF(GJ2:GJ31,"B")*100/GJ32,0)</f>
        <v>13</v>
      </c>
      <c r="GK34" s="128">
        <f>ROUND(COUNTIF(GK2:GK31,"B")*100/GK32,0)</f>
        <v>33</v>
      </c>
      <c r="GL34" s="128">
        <f>ROUND(COUNTIF(GL2:GL31,"B")*100/GL32,0)</f>
        <v>17</v>
      </c>
      <c r="GM34" s="127">
        <f>ROUND(COUNTIF(GM2:GM31,"B")*100/GM32,0)</f>
        <v>27</v>
      </c>
      <c r="GN34" s="128">
        <f>ROUND(COUNTIF(GN2:GN31,"B")*100/GN32,0)</f>
        <v>27</v>
      </c>
      <c r="GO34" s="128">
        <f>ROUND(COUNTIF(GO2:GO31,"B")*100/GO32,0)</f>
        <v>33</v>
      </c>
      <c r="GP34" s="128">
        <f>ROUND(COUNTIF(GP2:GP31,"B")*100/GP32,0)</f>
        <v>17</v>
      </c>
      <c r="GQ34" s="127">
        <f>ROUND(COUNTIF(GQ2:GQ31,"B")*100/GQ32,0)</f>
        <v>27</v>
      </c>
      <c r="GR34" s="128">
        <f>ROUND(COUNTIF(GR2:GR31,"B")*100/GR32,0)</f>
        <v>33</v>
      </c>
      <c r="GS34" s="128">
        <f>ROUND(COUNTIF(GS2:GS31,"B")*100/GS32,0)</f>
        <v>23</v>
      </c>
      <c r="GT34" s="128">
        <f>ROUND(COUNTIF(GT2:GT31,"B")*100/GT32,0)</f>
        <v>20</v>
      </c>
      <c r="GU34" s="128">
        <f>ROUND(COUNTIF(GU2:GU31,"B")*100/GU32,0)</f>
        <v>0</v>
      </c>
      <c r="GV34" s="128">
        <f>ROUND(COUNTIF(GV2:GV31,"B")*100/GV32,0)</f>
        <v>27</v>
      </c>
      <c r="GW34" s="128">
        <f>ROUND(COUNTIF(GW2:GW31,"B")*100/GW32,0)</f>
        <v>27</v>
      </c>
      <c r="GX34" s="127">
        <f>ROUND(COUNTIF(GX2:GX31,"B")*100/GX32,0)</f>
        <v>60</v>
      </c>
      <c r="GY34" s="127">
        <f>ROUND(COUNTIF(GY2:GY31,"B")*100/GY32,0)</f>
        <v>20</v>
      </c>
      <c r="GZ34" s="128">
        <f>ROUND(COUNTIF(GZ2:GZ31,"B")*100/GZ32,0)</f>
        <v>20</v>
      </c>
      <c r="HA34" s="128">
        <f>ROUND(COUNTIF(HA2:HA31,"B")*100/HA32,0)</f>
        <v>10</v>
      </c>
      <c r="HB34" s="128">
        <f>ROUND(COUNTIF(HB2:HB31,"B")*100/HB32,0)</f>
        <v>47</v>
      </c>
      <c r="HC34" s="128">
        <f>ROUND(COUNTIF(HC2:HC31,"B")*100/HC32,0)</f>
        <v>40</v>
      </c>
      <c r="HD34" s="128">
        <f>ROUND(COUNTIF(HD2:HD31,"B")*100/HD32,0)</f>
        <v>17</v>
      </c>
      <c r="HE34" s="128">
        <f>ROUND(COUNTIF(HE2:HE31,"B")*100/HE32,0)</f>
        <v>30</v>
      </c>
      <c r="HF34" s="128">
        <f>ROUND(COUNTIF(HF2:HF31,"B")*100/HF32,0)</f>
        <v>27</v>
      </c>
      <c r="HG34" s="128">
        <f>ROUND(COUNTIF(HG2:HG31,"B")*100/HG32,0)</f>
        <v>13</v>
      </c>
      <c r="HH34" s="127">
        <f>ROUND(COUNTIF(HH2:HH31,"B")*100/HH32,0)</f>
        <v>43</v>
      </c>
      <c r="HI34" s="127">
        <f>ROUND(COUNTIF(HI2:HI31,"B")*100/HI32,0)</f>
        <v>40</v>
      </c>
      <c r="HJ34" s="128">
        <f>ROUND(COUNTIF(HJ2:HJ31,"B")*100/HJ32,0)</f>
        <v>17</v>
      </c>
      <c r="HK34" s="127">
        <f>ROUND(COUNTIF(HK2:HK31,"B")*100/HK32,0)</f>
        <v>30</v>
      </c>
      <c r="HL34" s="127">
        <f>ROUND(COUNTIF(HL2:HL31,"B")*100/HL32,0)</f>
        <v>33</v>
      </c>
      <c r="HM34" s="128">
        <f>ROUND(COUNTIF(HM2:HM31,"B")*100/HM32,0)</f>
        <v>30</v>
      </c>
      <c r="HN34" s="128">
        <f>ROUND(COUNTIF(HN2:HN31,"B")*100/HN32,0)</f>
        <v>37</v>
      </c>
      <c r="HO34" s="127">
        <f>ROUND(COUNTIF(HO2:HO31,"B")*100/HO32,0)</f>
        <v>40</v>
      </c>
      <c r="HP34" s="127">
        <f>ROUND(COUNTIF(HP2:HP31,"B")*100/HP32,0)</f>
        <v>60</v>
      </c>
      <c r="HQ34" s="128">
        <f>ROUND(COUNTIF(HQ2:HQ31,"B")*100/HQ32,0)</f>
        <v>23</v>
      </c>
      <c r="HR34" s="128">
        <f>ROUND(COUNTIF(HR2:HR31,"B")*100/HR32,0)</f>
        <v>7</v>
      </c>
      <c r="HS34" s="128">
        <f>ROUND(COUNTIF(HS2:HS31,"B")*100/HS32,0)</f>
        <v>33</v>
      </c>
      <c r="HT34" s="128">
        <f>ROUND(COUNTIF(HT2:HT31,"B")*100/HT32,0)</f>
        <v>30</v>
      </c>
      <c r="HU34" s="127">
        <f>ROUND(COUNTIF(HU2:HU31,"B")*100/HU32,0)</f>
        <v>17</v>
      </c>
      <c r="HV34" s="128">
        <f>ROUND(COUNTIF(HV2:HV31,"B")*100/HV32,0)</f>
        <v>33</v>
      </c>
      <c r="HW34" s="128">
        <f>ROUND(COUNTIF(HW2:HW31,"B")*100/HW32,0)</f>
        <v>37</v>
      </c>
      <c r="HX34" s="127">
        <f>ROUND(COUNTIF(HX2:HX31,"B")*100/HX32,0)</f>
        <v>40</v>
      </c>
      <c r="HY34" s="128">
        <f>ROUND(COUNTIF(HY2:HY31,"B")*100/HY32,0)</f>
        <v>7</v>
      </c>
      <c r="HZ34" s="127">
        <f>ROUND(COUNTIF(HZ2:HZ31,"B")*100/HZ32,0)</f>
        <v>17</v>
      </c>
      <c r="IA34" s="128">
        <f>ROUND(COUNTIF(IA2:IA31,"B")*100/IA32,0)</f>
        <v>13</v>
      </c>
      <c r="IB34" s="127">
        <f>ROUND(COUNTIF(IB2:IB31,"B")*100/IB32,0)</f>
        <v>37</v>
      </c>
      <c r="IC34" s="127">
        <f>ROUND(COUNTIF(IC2:IC31,"B")*100/IC32,0)</f>
        <v>40</v>
      </c>
      <c r="ID34" s="128">
        <f>ROUND(COUNTIF(ID2:ID31,"B")*100/ID32,0)</f>
        <v>23</v>
      </c>
      <c r="IE34" s="128">
        <f>ROUND(COUNTIF(IE2:IE31,"B")*100/IE32,0)</f>
        <v>27</v>
      </c>
      <c r="IF34" s="127">
        <f>ROUND(COUNTIF(IF2:IF31,"B")*100/IF32,0)</f>
        <v>83</v>
      </c>
      <c r="IG34" s="128">
        <f>ROUND(COUNTIF(IG2:IG31,"B")*100/IG32,0)</f>
        <v>23</v>
      </c>
      <c r="IH34" s="128">
        <f>ROUND(COUNTIF(IH2:IH31,"B")*100/IH32,0)</f>
        <v>23</v>
      </c>
      <c r="II34" s="128">
        <f>ROUND(COUNTIF(II2:II31,"B")*100/II32,0)</f>
        <v>30</v>
      </c>
      <c r="IJ34" s="128">
        <f>ROUND(COUNTIF(IJ2:IJ31,"B")*100/IJ32,0)</f>
        <v>30</v>
      </c>
      <c r="IK34" s="127">
        <f>ROUND(COUNTIF(IK2:IK31,"B")*100/IK32,0)</f>
        <v>20</v>
      </c>
      <c r="IL34" s="127">
        <f>ROUND(COUNTIF(IL2:IL31,"B")*100/IL32,0)</f>
        <v>60</v>
      </c>
      <c r="IM34" s="128">
        <f>ROUND(COUNTIF(IM2:IM31,"B")*100/IM32,0)</f>
        <v>27</v>
      </c>
      <c r="IN34" s="127">
        <f>ROUND(COUNTIF(IN2:IN31,"B")*100/IN32,0)</f>
        <v>47</v>
      </c>
      <c r="IO34" s="128">
        <f>ROUND(COUNTIF(IO2:IO31,"B")*100/IO32,0)</f>
        <v>20</v>
      </c>
      <c r="IP34" s="128">
        <f>ROUND(COUNTIF(IP2:IP31,"B")*100/IP32,0)</f>
        <v>20</v>
      </c>
      <c r="IQ34" s="128">
        <f>ROUND(COUNTIF(IQ2:IQ31,"B")*100/IQ32,0)</f>
        <v>17</v>
      </c>
      <c r="IR34" s="128">
        <f>ROUND(COUNTIF(IR2:IR31,"B")*100/IR32,0)</f>
        <v>17</v>
      </c>
    </row>
    <row r="35" spans="4:252" s="65" customFormat="1" x14ac:dyDescent="0.35">
      <c r="D35" s="138" t="s">
        <v>340</v>
      </c>
      <c r="L35" s="138"/>
      <c r="EB35" s="65" t="s">
        <v>331</v>
      </c>
      <c r="EC35" s="127">
        <f>ROUND(COUNTIF(EC2:EC31,"C")*100/EC32,0)</f>
        <v>83</v>
      </c>
      <c r="ED35" s="128">
        <f>ROUND(COUNTIF(ED2:ED31,"C")*100/ED32,0)</f>
        <v>13</v>
      </c>
      <c r="EE35" s="128">
        <f>ROUND(COUNTIF(EE2:EE31,"C")*100/EE32,0)</f>
        <v>23</v>
      </c>
      <c r="EF35" s="128">
        <f>ROUND(COUNTIF(EF2:EF31,"C")*100/EF32,0)</f>
        <v>27</v>
      </c>
      <c r="EG35" s="127">
        <f>ROUND(COUNTIF(EG2:EG31,"C")*100/EG32,0)</f>
        <v>20</v>
      </c>
      <c r="EH35" s="128">
        <f>ROUND(COUNTIF(EH2:EH31,"C")*100/EH32,0)</f>
        <v>7</v>
      </c>
      <c r="EI35" s="128">
        <f>ROUND(COUNTIF(EI2:EI31,"C")*100/EI32,0)</f>
        <v>37</v>
      </c>
      <c r="EJ35" s="127">
        <f>ROUND(COUNTIF(EJ2:EJ31,"C")*100/EJ32,0)</f>
        <v>47</v>
      </c>
      <c r="EK35" s="128">
        <f>ROUND(COUNTIF(EK2:EK31,"C")*100/EK32,0)</f>
        <v>13</v>
      </c>
      <c r="EL35" s="127">
        <f>ROUND(COUNTIF(EL2:EL31,"C")*100/EL32,0)</f>
        <v>30</v>
      </c>
      <c r="EM35" s="127">
        <f>ROUND(COUNTIF(EM2:EM31,"C")*100/EM32,0)</f>
        <v>33</v>
      </c>
      <c r="EN35" s="127">
        <f>ROUND(COUNTIF(EN2:EN31,"C")*100/EN32,0)</f>
        <v>40</v>
      </c>
      <c r="EO35" s="128">
        <f>ROUND(COUNTIF(EO2:EO31,"C")*100/EO32,0)</f>
        <v>13</v>
      </c>
      <c r="EP35" s="128">
        <f>ROUND(COUNTIF(EP2:EP31,"C")*100/EP32,0)</f>
        <v>70</v>
      </c>
      <c r="EQ35" s="128">
        <f>ROUND(COUNTIF(EQ2:EQ31,"C")*100/EQ32,0)</f>
        <v>13</v>
      </c>
      <c r="ER35" s="127">
        <f>ROUND(COUNTIF(ER2:ER31,"C")*100/ER32,0)</f>
        <v>33</v>
      </c>
      <c r="ES35" s="128">
        <f>ROUND(COUNTIF(ES2:ES31,"C")*100/ES32,0)</f>
        <v>13</v>
      </c>
      <c r="ET35" s="127">
        <f>ROUND(COUNTIF(ET2:ET31,"C")*100/ET32,0)</f>
        <v>17</v>
      </c>
      <c r="EU35" s="128">
        <f>ROUND(COUNTIF(EU2:EU31,"C")*100/EU32,0)</f>
        <v>17</v>
      </c>
      <c r="EV35" s="128">
        <f>ROUND(COUNTIF(EV2:EV31,"C")*100/EV32,0)</f>
        <v>7</v>
      </c>
      <c r="EW35" s="128">
        <f>ROUND(COUNTIF(EW2:EW31,"C")*100/EW32,0)</f>
        <v>10</v>
      </c>
      <c r="EX35" s="127">
        <f>ROUND(COUNTIF(EX2:EX31,"C")*100/EX32,0)</f>
        <v>47</v>
      </c>
      <c r="EY35" s="128">
        <f>ROUND(COUNTIF(EY2:EY31,"C")*100/EY32,0)</f>
        <v>20</v>
      </c>
      <c r="EZ35" s="127">
        <f>ROUND(COUNTIF(EZ2:EZ31,"C")*100/EZ32,0)</f>
        <v>27</v>
      </c>
      <c r="FA35" s="127">
        <f>ROUND(COUNTIF(FA2:FA31,"C")*100/FA32,0)</f>
        <v>30</v>
      </c>
      <c r="FB35" s="128">
        <f>ROUND(COUNTIF(FB2:FB31,"C")*100/FB32,0)</f>
        <v>7</v>
      </c>
      <c r="FC35" s="128">
        <f>ROUND(COUNTIF(FC2:FC31,"C")*100/FC32,0)</f>
        <v>20</v>
      </c>
      <c r="FD35" s="127">
        <f>ROUND(COUNTIF(FD2:FD31,"C")*100/FD32,0)</f>
        <v>37</v>
      </c>
      <c r="FE35" s="127">
        <f>ROUND(COUNTIF(FE2:FE31,"C")*100/FE32,0)</f>
        <v>67</v>
      </c>
      <c r="FF35" s="127">
        <f>ROUND(COUNTIF(FF2:FF31,"C")*100/FF32,0)</f>
        <v>53</v>
      </c>
      <c r="FG35" s="127">
        <f>ROUND(COUNTIF(FG2:FG31,"C")*100/FG32,0)</f>
        <v>50</v>
      </c>
      <c r="FH35" s="128">
        <f>ROUND(COUNTIF(FH2:FH31,"C")*100/FH32,0)</f>
        <v>27</v>
      </c>
      <c r="FI35" s="127">
        <f>ROUND(COUNTIF(FI2:FI31,"C")*100/FI32,0)</f>
        <v>37</v>
      </c>
      <c r="FJ35" s="128">
        <f>ROUND(COUNTIF(FJ2:FJ31,"C")*100/FJ32,0)</f>
        <v>30</v>
      </c>
      <c r="FK35" s="128">
        <f>ROUND(COUNTIF(FK2:FK31,"C")*100/FK32,0)</f>
        <v>7</v>
      </c>
      <c r="FL35" s="128">
        <f>ROUND(COUNTIF(FL2:FL31,"C")*100/FL32,0)</f>
        <v>20</v>
      </c>
      <c r="FM35" s="128">
        <f>ROUND(COUNTIF(FM2:FM31,"C")*100/FM32,0)</f>
        <v>13</v>
      </c>
      <c r="FN35" s="128">
        <f>ROUND(COUNTIF(FN2:FN31,"C")*100/FN32,0)</f>
        <v>37</v>
      </c>
      <c r="FO35" s="127">
        <f>ROUND(COUNTIF(FO2:FO31,"C")*100/FO32,0)</f>
        <v>47</v>
      </c>
      <c r="FP35" s="127">
        <f>ROUND(COUNTIF(FP2:FP31,"C")*100/FP32,0)</f>
        <v>57</v>
      </c>
      <c r="FQ35" s="128">
        <f>ROUND(COUNTIF(FQ2:FQ31,"C")*100/FQ32,0)</f>
        <v>7</v>
      </c>
      <c r="FR35" s="128">
        <f>ROUND(COUNTIF(FR2:FR31,"C")*100/FR32,0)</f>
        <v>33</v>
      </c>
      <c r="FS35" s="128">
        <f>ROUND(COUNTIF(FS2:FS31,"C")*100/FS32,0)</f>
        <v>37</v>
      </c>
      <c r="FT35" s="128">
        <f>ROUND(COUNTIF(FT2:FT31,"C")*100/FT32,0)</f>
        <v>47</v>
      </c>
      <c r="FU35" s="128">
        <f>ROUND(COUNTIF(FU2:FU31,"C")*100/FU32,0)</f>
        <v>27</v>
      </c>
      <c r="FV35" s="127">
        <f>ROUND(COUNTIF(FV2:FV31,"C")*100/FV32,0)</f>
        <v>3</v>
      </c>
      <c r="FW35" s="128">
        <f>ROUND(COUNTIF(FW2:FW31,"C")*100/FW32,0)</f>
        <v>20</v>
      </c>
      <c r="FX35" s="128">
        <f>ROUND(COUNTIF(FX2:FX31,"C")*100/FX32,0)</f>
        <v>3</v>
      </c>
      <c r="FY35" s="128">
        <f>ROUND(COUNTIF(FY2:FY31,"C")*100/FY32,0)</f>
        <v>13</v>
      </c>
      <c r="FZ35" s="127">
        <f>ROUND(COUNTIF(FZ2:FZ31,"C")*100/FZ32,0)</f>
        <v>37</v>
      </c>
      <c r="GA35" s="128">
        <f>ROUND(COUNTIF(GA2:GA31,"C")*100/GA32,0)</f>
        <v>17</v>
      </c>
      <c r="GB35" s="127">
        <f>ROUND(COUNTIF(GB2:GB31,"C")*100/GB32,0)</f>
        <v>43</v>
      </c>
      <c r="GC35" s="128">
        <f>ROUND(COUNTIF(GC2:GC31,"C")*100/GC32,0)</f>
        <v>17</v>
      </c>
      <c r="GD35" s="128">
        <f>ROUND(COUNTIF(GD2:GD31,"C")*100/GD32,0)</f>
        <v>37</v>
      </c>
      <c r="GE35" s="127">
        <f>ROUND(COUNTIF(GE2:GE31,"C")*100/GE32,0)</f>
        <v>40</v>
      </c>
      <c r="GF35" s="128">
        <f>ROUND(COUNTIF(GF2:GF31,"C")*100/GF32,0)</f>
        <v>13</v>
      </c>
      <c r="GG35" s="128">
        <f>ROUND(COUNTIF(GG2:GG31,"C")*100/GG32,0)</f>
        <v>27</v>
      </c>
      <c r="GH35" s="128">
        <f>ROUND(COUNTIF(GH2:GH31,"C")*100/GH32,0)</f>
        <v>7</v>
      </c>
      <c r="GI35" s="128">
        <f>ROUND(COUNTIF(GI2:GI31,"C")*100/GI32,0)</f>
        <v>23</v>
      </c>
      <c r="GJ35" s="128">
        <f>ROUND(COUNTIF(GJ2:GJ31,"C")*100/GJ32,0)</f>
        <v>7</v>
      </c>
      <c r="GK35" s="128">
        <f>ROUND(COUNTIF(GK2:GK31,"C")*100/GK32,0)</f>
        <v>23</v>
      </c>
      <c r="GL35" s="128">
        <f>ROUND(COUNTIF(GL2:GL31,"C")*100/GL32,0)</f>
        <v>43</v>
      </c>
      <c r="GM35" s="128">
        <f>ROUND(COUNTIF(GM2:GM31,"C")*100/GM32,0)</f>
        <v>30</v>
      </c>
      <c r="GN35" s="127">
        <f>ROUND(COUNTIF(GN2:GN31,"C")*100/GN32,0)</f>
        <v>43</v>
      </c>
      <c r="GO35" s="128">
        <f>ROUND(COUNTIF(GO2:GO31,"C")*100/GO32,0)</f>
        <v>17</v>
      </c>
      <c r="GP35" s="127">
        <f>ROUND(COUNTIF(GP2:GP31,"C")*100/GP32,0)</f>
        <v>50</v>
      </c>
      <c r="GQ35" s="128">
        <f>ROUND(COUNTIF(GQ2:GQ31,"C")*100/GQ32,0)</f>
        <v>43</v>
      </c>
      <c r="GR35" s="128">
        <f>ROUND(COUNTIF(GR2:GR31,"C")*100/GR32,0)</f>
        <v>27</v>
      </c>
      <c r="GS35" s="128">
        <f>ROUND(COUNTIF(GS2:GS31,"C")*100/GS32,0)</f>
        <v>10</v>
      </c>
      <c r="GT35" s="127">
        <f>ROUND(COUNTIF(GT2:GT31,"C")*100/GT32,0)</f>
        <v>27</v>
      </c>
      <c r="GU35" s="128">
        <f>ROUND(COUNTIF(GU2:GU31,"C")*100/GU32,0)</f>
        <v>50</v>
      </c>
      <c r="GV35" s="128">
        <f>ROUND(COUNTIF(GV2:GV31,"C")*100/GV32,0)</f>
        <v>40</v>
      </c>
      <c r="GW35" s="127">
        <f>ROUND(COUNTIF(GW2:GW31,"C")*100/GW32,0)</f>
        <v>17</v>
      </c>
      <c r="GX35" s="128">
        <f>ROUND(COUNTIF(GX2:GX31,"C")*100/GX32,0)</f>
        <v>13</v>
      </c>
      <c r="GY35" s="128">
        <f>ROUND(COUNTIF(GY2:GY31,"C")*100/GY32,0)</f>
        <v>30</v>
      </c>
      <c r="GZ35" s="127">
        <f>ROUND(COUNTIF(GZ2:GZ31,"C")*100/GZ32,0)</f>
        <v>27</v>
      </c>
      <c r="HA35" s="128">
        <f>ROUND(COUNTIF(HA2:HA31,"C")*100/HA32,0)</f>
        <v>10</v>
      </c>
      <c r="HB35" s="128">
        <f>ROUND(COUNTIF(HB2:HB31,"C")*100/HB32,0)</f>
        <v>7</v>
      </c>
      <c r="HC35" s="128">
        <f>ROUND(COUNTIF(HC2:HC31,"C")*100/HC32,0)</f>
        <v>13</v>
      </c>
      <c r="HD35" s="128">
        <f>ROUND(COUNTIF(HD2:HD31,"C")*100/HD32,0)</f>
        <v>30</v>
      </c>
      <c r="HE35" s="128">
        <f>ROUND(COUNTIF(HE2:HE31,"C")*100/HE32,0)</f>
        <v>23</v>
      </c>
      <c r="HF35" s="127">
        <f>ROUND(COUNTIF(HF2:HF31,"C")*100/HF32,0)</f>
        <v>17</v>
      </c>
      <c r="HG35" s="127">
        <f>ROUND(COUNTIF(HG2:HG31,"C")*100/HG32,0)</f>
        <v>40</v>
      </c>
      <c r="HH35" s="128">
        <f>ROUND(COUNTIF(HH2:HH31,"C")*100/HH32,0)</f>
        <v>30</v>
      </c>
      <c r="HI35" s="128">
        <f>ROUND(COUNTIF(HI2:HI31,"C")*100/HI32,0)</f>
        <v>33</v>
      </c>
      <c r="HJ35" s="127">
        <f>ROUND(COUNTIF(HJ2:HJ31,"C")*100/HJ32,0)</f>
        <v>47</v>
      </c>
      <c r="HK35" s="128">
        <f>ROUND(COUNTIF(HK2:HK31,"C")*100/HK32,0)</f>
        <v>27</v>
      </c>
      <c r="HL35" s="128">
        <f>ROUND(COUNTIF(HL2:HL31,"C")*100/HL32,0)</f>
        <v>20</v>
      </c>
      <c r="HM35" s="128">
        <f>ROUND(COUNTIF(HM2:HM31,"C")*100/HM32,0)</f>
        <v>30</v>
      </c>
      <c r="HN35" s="128">
        <f>ROUND(COUNTIF(HN2:HN31,"C")*100/HN32,0)</f>
        <v>23</v>
      </c>
      <c r="HO35" s="128">
        <f>ROUND(COUNTIF(HO2:HO31,"C")*100/HO32,0)</f>
        <v>20</v>
      </c>
      <c r="HP35" s="128">
        <f>ROUND(COUNTIF(HP2:HP31,"C")*100/HP32,0)</f>
        <v>27</v>
      </c>
      <c r="HQ35" s="127">
        <f>ROUND(COUNTIF(HQ2:HQ31,"C")*100/HQ32,0)</f>
        <v>30</v>
      </c>
      <c r="HR35" s="128">
        <f>ROUND(COUNTIF(HR2:HR31,"C")*100/HR32,0)</f>
        <v>40</v>
      </c>
      <c r="HS35" s="127">
        <f>ROUND(COUNTIF(HS2:HS31,"C")*100/HS32,0)</f>
        <v>30</v>
      </c>
      <c r="HT35" s="128">
        <f>ROUND(COUNTIF(HT2:HT31,"C")*100/HT32,0)</f>
        <v>33</v>
      </c>
      <c r="HU35" s="128">
        <f>ROUND(COUNTIF(HU2:HU31,"C")*100/HU32,0)</f>
        <v>50</v>
      </c>
      <c r="HV35" s="128">
        <f>ROUND(COUNTIF(HV2:HV31,"C")*100/HV32,0)</f>
        <v>13</v>
      </c>
      <c r="HW35" s="128">
        <f>ROUND(COUNTIF(HW2:HW31,"C")*100/HW32,0)</f>
        <v>13</v>
      </c>
      <c r="HX35" s="128">
        <f>ROUND(COUNTIF(HX2:HX31,"C")*100/HX32,0)</f>
        <v>27</v>
      </c>
      <c r="HY35" s="127">
        <f>ROUND(COUNTIF(HY2:HY31,"C")*100/HY32,0)</f>
        <v>57</v>
      </c>
      <c r="HZ35" s="128">
        <f>ROUND(COUNTIF(HZ2:HZ31,"C")*100/HZ32,0)</f>
        <v>7</v>
      </c>
      <c r="IA35" s="127">
        <f>ROUND(COUNTIF(IA2:IA31,"C")*100/IA32,0)</f>
        <v>33</v>
      </c>
      <c r="IB35" s="128">
        <f>ROUND(COUNTIF(IB2:IB31,"C")*100/IB32,0)</f>
        <v>37</v>
      </c>
      <c r="IC35" s="128">
        <f>ROUND(COUNTIF(IC2:IC31,"C")*100/IC32,0)</f>
        <v>17</v>
      </c>
      <c r="ID35" s="128">
        <f>ROUND(COUNTIF(ID2:ID31,"C")*100/ID32,0)</f>
        <v>27</v>
      </c>
      <c r="IE35" s="128">
        <f>ROUND(COUNTIF(IE2:IE31,"C")*100/IE32,0)</f>
        <v>27</v>
      </c>
      <c r="IF35" s="128">
        <f>ROUND(COUNTIF(IF2:IF31,"C")*100/IF32,0)</f>
        <v>7</v>
      </c>
      <c r="IG35" s="127">
        <f>ROUND(COUNTIF(IG2:IG31,"C")*100/IG32,0)</f>
        <v>50</v>
      </c>
      <c r="IH35" s="128">
        <f>ROUND(COUNTIF(IH2:IH31,"C")*100/IH32,0)</f>
        <v>50</v>
      </c>
      <c r="II35" s="127">
        <f>ROUND(COUNTIF(II2:II31,"C")*100/II32,0)</f>
        <v>33</v>
      </c>
      <c r="IJ35" s="128">
        <f>ROUND(COUNTIF(IJ2:IJ31,"C")*100/IJ32,0)</f>
        <v>17</v>
      </c>
      <c r="IK35" s="128">
        <f>ROUND(COUNTIF(IK2:IK31,"C")*100/IK32,0)</f>
        <v>30</v>
      </c>
      <c r="IL35" s="128">
        <f>ROUND(COUNTIF(IL2:IL31,"C")*100/IL32,0)</f>
        <v>40</v>
      </c>
      <c r="IM35" s="127">
        <f>ROUND(COUNTIF(IM2:IM31,"C")*100/IM32,0)</f>
        <v>17</v>
      </c>
      <c r="IN35" s="128">
        <f>ROUND(COUNTIF(IN2:IN31,"C")*100/IN32,0)</f>
        <v>7</v>
      </c>
      <c r="IO35" s="127">
        <f>ROUND(COUNTIF(IO2:IO31,"C")*100/IO32,0)</f>
        <v>33</v>
      </c>
      <c r="IP35" s="127">
        <f>ROUND(COUNTIF(IP2:IP31,"C")*100/IP32,0)</f>
        <v>53</v>
      </c>
      <c r="IQ35" s="128">
        <f>ROUND(COUNTIF(IQ2:IQ31,"C")*100/IQ32,0)</f>
        <v>27</v>
      </c>
      <c r="IR35" s="127">
        <f>ROUND(COUNTIF(IR2:IR31,"C")*100/IR32,0)</f>
        <v>60</v>
      </c>
    </row>
    <row r="36" spans="4:252" s="65" customFormat="1" x14ac:dyDescent="0.35">
      <c r="D36" s="138" t="s">
        <v>341</v>
      </c>
      <c r="L36" s="138"/>
      <c r="EB36" s="65" t="s">
        <v>332</v>
      </c>
      <c r="EC36" s="128">
        <f>ROUND(COUNTIF(EC2:EC31,"D")*100/EC32,0)</f>
        <v>7</v>
      </c>
      <c r="ED36" s="128">
        <f>ROUND(COUNTIF(ED2:ED31,"D")*100/ED32,0)</f>
        <v>0</v>
      </c>
      <c r="EE36" s="128">
        <f>ROUND(COUNTIF(EE2:EE31,"D")*100/EE32,0)</f>
        <v>23</v>
      </c>
      <c r="EF36" s="128">
        <f>ROUND(COUNTIF(EF2:EF31,"D")*100/EF32,0)</f>
        <v>10</v>
      </c>
      <c r="EG36" s="128">
        <f>ROUND(COUNTIF(EG2:EG31,"D")*100/EG32,0)</f>
        <v>57</v>
      </c>
      <c r="EH36" s="128">
        <f>ROUND(COUNTIF(EH2:EH31,"D")*100/EH32,0)</f>
        <v>3</v>
      </c>
      <c r="EI36" s="127">
        <f>ROUND(COUNTIF(EI2:EI31,"D")*100/EI32,0)</f>
        <v>7</v>
      </c>
      <c r="EJ36" s="128">
        <f>ROUND(COUNTIF(EJ2:EJ31,"D")*100/EJ32,0)</f>
        <v>30</v>
      </c>
      <c r="EK36" s="128">
        <f>ROUND(COUNTIF(EK2:EK31,"D")*100/EK32,0)</f>
        <v>10</v>
      </c>
      <c r="EL36" s="128">
        <f>ROUND(COUNTIF(EL2:EL31,"D")*100/EL32,0)</f>
        <v>7</v>
      </c>
      <c r="EM36" s="128">
        <f>ROUND(COUNTIF(EM2:EM31,"D")*100/EM32,0)</f>
        <v>13</v>
      </c>
      <c r="EN36" s="128">
        <f>ROUND(COUNTIF(EN2:EN31,"D")*100/EN32,0)</f>
        <v>60</v>
      </c>
      <c r="EO36" s="127">
        <f>ROUND(COUNTIF(EO2:EO31,"D")*100/EO32,0)</f>
        <v>47</v>
      </c>
      <c r="EP36" s="128">
        <f>ROUND(COUNTIF(EP2:EP31,"D")*100/EP32,0)</f>
        <v>17</v>
      </c>
      <c r="EQ36" s="128">
        <f>ROUND(COUNTIF(EQ2:EQ31,"D")*100/EQ32,0)</f>
        <v>23</v>
      </c>
      <c r="ER36" s="128">
        <f>ROUND(COUNTIF(ER2:ER31,"D")*100/ER32,0)</f>
        <v>23</v>
      </c>
      <c r="ES36" s="127">
        <f>ROUND(COUNTIF(ES2:ES31,"D")*100/ES32,0)</f>
        <v>17</v>
      </c>
      <c r="ET36" s="128">
        <f>ROUND(COUNTIF(ET2:ET31,"D")*100/ET32,0)</f>
        <v>37</v>
      </c>
      <c r="EU36" s="127">
        <f>ROUND(COUNTIF(EU2:EU31,"D")*100/EU32,0)</f>
        <v>67</v>
      </c>
      <c r="EV36" s="127">
        <f>ROUND(COUNTIF(EV2:EV31,"D")*100/EV32,0)</f>
        <v>43</v>
      </c>
      <c r="EW36" s="128">
        <f>ROUND(COUNTIF(EW2:EW31,"D")*100/EW32,0)</f>
        <v>23</v>
      </c>
      <c r="EX36" s="128">
        <f>ROUND(COUNTIF(EX2:EX31,"D")*100/EX32,0)</f>
        <v>17</v>
      </c>
      <c r="EY36" s="127">
        <f>ROUND(COUNTIF(EY2:EY31,"D")*100/EY32,0)</f>
        <v>17</v>
      </c>
      <c r="EZ36" s="128">
        <f>ROUND(COUNTIF(EZ2:EZ31,"D")*100/EZ32,0)</f>
        <v>30</v>
      </c>
      <c r="FA36" s="128">
        <f>ROUND(COUNTIF(FA2:FA31,"D")*100/FA32,0)</f>
        <v>20</v>
      </c>
      <c r="FB36" s="128">
        <f>ROUND(COUNTIF(FB2:FB31,"D")*100/FB32,0)</f>
        <v>37</v>
      </c>
      <c r="FC36" s="128">
        <f>ROUND(COUNTIF(FC2:FC31,"D")*100/FC32,0)</f>
        <v>23</v>
      </c>
      <c r="FD36" s="128">
        <f>ROUND(COUNTIF(FD2:FD31,"D")*100/FD32,0)</f>
        <v>7</v>
      </c>
      <c r="FE36" s="128">
        <f>ROUND(COUNTIF(FE2:FE31,"D")*100/FE32,0)</f>
        <v>13</v>
      </c>
      <c r="FF36" s="128">
        <f>ROUND(COUNTIF(FF2:FF31,"D")*100/FF32,0)</f>
        <v>7</v>
      </c>
      <c r="FG36" s="128">
        <f>ROUND(COUNTIF(FG2:FG31,"D")*100/FG32,0)</f>
        <v>17</v>
      </c>
      <c r="FH36" s="127">
        <f>ROUND(COUNTIF(FH2:FH31,"D")*100/FH32,0)</f>
        <v>40</v>
      </c>
      <c r="FI36" s="128">
        <f>ROUND(COUNTIF(FI2:FI31,"D")*100/FI32,0)</f>
        <v>20</v>
      </c>
      <c r="FJ36" s="127">
        <f>ROUND(COUNTIF(FJ2:FJ31,"D")*100/FJ32,0)</f>
        <v>33</v>
      </c>
      <c r="FK36" s="128">
        <f>ROUND(COUNTIF(FK2:FK31,"D")*100/FK32,0)</f>
        <v>7</v>
      </c>
      <c r="FL36" s="127">
        <f>ROUND(COUNTIF(FL2:FL31,"D")*100/FL32,0)</f>
        <v>67</v>
      </c>
      <c r="FM36" s="128">
        <f>ROUND(COUNTIF(FM2:FM31,"D")*100/FM32,0)</f>
        <v>7</v>
      </c>
      <c r="FN36" s="127">
        <f>ROUND(COUNTIF(FN2:FN31,"D")*100/FN32,0)</f>
        <v>10</v>
      </c>
      <c r="FO36" s="128">
        <f>ROUND(COUNTIF(FO2:FO31,"D")*100/FO32,0)</f>
        <v>3</v>
      </c>
      <c r="FP36" s="128">
        <f>ROUND(COUNTIF(FP2:FP31,"D")*100/FP32,0)</f>
        <v>30</v>
      </c>
      <c r="FQ36" s="127">
        <f>ROUND(COUNTIF(FQ2:FQ31,"D")*100/FQ32,0)</f>
        <v>47</v>
      </c>
      <c r="FR36" s="127">
        <f>ROUND(COUNTIF(FR2:FR31,"D")*100/FR32,0)</f>
        <v>33</v>
      </c>
      <c r="FS36" s="127">
        <f>ROUND(COUNTIF(FS2:FS31,"D")*100/FS32,0)</f>
        <v>20</v>
      </c>
      <c r="FT36" s="128">
        <f>ROUND(COUNTIF(FT2:FT31,"D")*100/FT32,0)</f>
        <v>13</v>
      </c>
      <c r="FU36" s="127">
        <f>ROUND(COUNTIF(FU2:FU31,"D")*100/FU32,0)</f>
        <v>33</v>
      </c>
      <c r="FV36" s="128">
        <f>ROUND(COUNTIF(FV2:FV31,"D")*100/FV32,0)</f>
        <v>17</v>
      </c>
      <c r="FW36" s="127">
        <f>ROUND(COUNTIF(FW2:FW31,"D")*100/FW32,0)</f>
        <v>13</v>
      </c>
      <c r="FX36" s="128">
        <f>ROUND(COUNTIF(FX2:FX31,"D")*100/FX32,0)</f>
        <v>7</v>
      </c>
      <c r="FY36" s="127">
        <f>ROUND(COUNTIF(FY2:FY31,"D")*100/FY32,0)</f>
        <v>57</v>
      </c>
      <c r="FZ36" s="128">
        <f>ROUND(COUNTIF(FZ2:FZ31,"D")*100/FZ32,0)</f>
        <v>20</v>
      </c>
      <c r="GA36" s="128">
        <f>ROUND(COUNTIF(GA2:GA31,"D")*100/GA32,0)</f>
        <v>10</v>
      </c>
      <c r="GB36" s="128">
        <f>ROUND(COUNTIF(GB2:GB31,"D")*100/GB32,0)</f>
        <v>27</v>
      </c>
      <c r="GC36" s="127">
        <f>ROUND(COUNTIF(GC2:GC31,"D")*100/GC32,0)</f>
        <v>53</v>
      </c>
      <c r="GD36" s="128">
        <f>ROUND(COUNTIF(GD2:GD31,"D")*100/GD32,0)</f>
        <v>23</v>
      </c>
      <c r="GE36" s="128">
        <f>ROUND(COUNTIF(GE2:GE31,"D")*100/GE32,0)</f>
        <v>13</v>
      </c>
      <c r="GF36" s="128">
        <f>ROUND(COUNTIF(GF2:GF31,"D")*100/GF32,0)</f>
        <v>13</v>
      </c>
      <c r="GG36" s="128">
        <f>ROUND(COUNTIF(GG2:GG31,"D")*100/GG32,0)</f>
        <v>20</v>
      </c>
      <c r="GH36" s="128">
        <f>ROUND(COUNTIF(GH2:GH31,"D")*100/GH32,0)</f>
        <v>37</v>
      </c>
      <c r="GI36" s="128">
        <f>ROUND(COUNTIF(GI2:GI31,"D")*100/GI32,0)</f>
        <v>13</v>
      </c>
      <c r="GJ36" s="127">
        <f>ROUND(COUNTIF(GJ2:GJ31,"D")*100/GJ32,0)</f>
        <v>13</v>
      </c>
      <c r="GK36" s="127">
        <f>ROUND(COUNTIF(GK2:GK31,"D")*100/GK32,0)</f>
        <v>13</v>
      </c>
      <c r="GL36" s="127">
        <f>ROUND(COUNTIF(GL2:GL31,"D")*100/GL32,0)</f>
        <v>13</v>
      </c>
      <c r="GM36" s="128">
        <f>ROUND(COUNTIF(GM2:GM31,"D")*100/GM32,0)</f>
        <v>13</v>
      </c>
      <c r="GN36" s="128">
        <f>ROUND(COUNTIF(GN2:GN31,"D")*100/GN32,0)</f>
        <v>20</v>
      </c>
      <c r="GO36" s="127">
        <f>ROUND(COUNTIF(GO2:GO31,"D")*100/GO32,0)</f>
        <v>20</v>
      </c>
      <c r="GP36" s="128">
        <f>ROUND(COUNTIF(GP2:GP31,"D")*100/GP32,0)</f>
        <v>27</v>
      </c>
      <c r="GQ36" s="128">
        <f>ROUND(COUNTIF(GQ2:GQ31,"D")*100/GQ32,0)</f>
        <v>27</v>
      </c>
      <c r="GR36" s="128">
        <f>ROUND(COUNTIF(GR2:GR31,"D")*100/GR32,0)</f>
        <v>7</v>
      </c>
      <c r="GS36" s="128">
        <f>ROUND(COUNTIF(GS2:GS31,"D")*100/GS32,0)</f>
        <v>7</v>
      </c>
      <c r="GT36" s="128">
        <f>ROUND(COUNTIF(GT2:GT31,"D")*100/GT32,0)</f>
        <v>3</v>
      </c>
      <c r="GU36" s="127">
        <f>ROUND(COUNTIF(GU2:GU31,"D")*100/GU32,0)</f>
        <v>37</v>
      </c>
      <c r="GV36" s="128">
        <f>ROUND(COUNTIF(GV2:GV31,"D")*100/GV32,0)</f>
        <v>3</v>
      </c>
      <c r="GW36" s="128">
        <f>ROUND(COUNTIF(GW2:GW31,"D")*100/GW32,0)</f>
        <v>37</v>
      </c>
      <c r="GX36" s="128">
        <f>ROUND(COUNTIF(GX2:GX31,"D")*100/GX32,0)</f>
        <v>7</v>
      </c>
      <c r="GY36" s="128">
        <f>ROUND(COUNTIF(GY2:GY31,"D")*100/GY32,0)</f>
        <v>17</v>
      </c>
      <c r="GZ36" s="128">
        <f>ROUND(COUNTIF(GZ2:GZ31,"D")*100/GZ32,0)</f>
        <v>20</v>
      </c>
      <c r="HA36" s="128">
        <f>ROUND(COUNTIF(HA2:HA31,"D")*100/HA32,0)</f>
        <v>20</v>
      </c>
      <c r="HB36" s="127">
        <f>ROUND(COUNTIF(HB2:HB31,"D")*100/HB32,0)</f>
        <v>33</v>
      </c>
      <c r="HC36" s="127">
        <f>ROUND(COUNTIF(HC2:HC31,"D")*100/HC32,0)</f>
        <v>17</v>
      </c>
      <c r="HD36" s="128">
        <f>ROUND(COUNTIF(HD2:HD31,"D")*100/HD32,0)</f>
        <v>10</v>
      </c>
      <c r="HE36" s="128">
        <f>ROUND(COUNTIF(HE2:HE31,"D")*100/HE32,0)</f>
        <v>13</v>
      </c>
      <c r="HF36" s="128">
        <f>ROUND(COUNTIF(HF2:HF31,"D")*100/HF32,0)</f>
        <v>13</v>
      </c>
      <c r="HG36" s="128">
        <f>ROUND(COUNTIF(HG2:HG31,"D")*100/HG32,0)</f>
        <v>17</v>
      </c>
      <c r="HH36" s="128">
        <f>ROUND(COUNTIF(HH2:HH31,"D")*100/HH32,0)</f>
        <v>10</v>
      </c>
      <c r="HI36" s="128">
        <f>ROUND(COUNTIF(HI2:HI31,"D")*100/HI32,0)</f>
        <v>17</v>
      </c>
      <c r="HJ36" s="128">
        <f>ROUND(COUNTIF(HJ2:HJ31,"D")*100/HJ32,0)</f>
        <v>17</v>
      </c>
      <c r="HK36" s="128">
        <f>ROUND(COUNTIF(HK2:HK31,"D")*100/HK32,0)</f>
        <v>27</v>
      </c>
      <c r="HL36" s="128">
        <f>ROUND(COUNTIF(HL2:HL31,"D")*100/HL32,0)</f>
        <v>13</v>
      </c>
      <c r="HM36" s="127">
        <f>ROUND(COUNTIF(HM2:HM31,"D")*100/HM32,0)</f>
        <v>33</v>
      </c>
      <c r="HN36" s="128">
        <f>ROUND(COUNTIF(HN2:HN31,"D")*100/HN32,0)</f>
        <v>27</v>
      </c>
      <c r="HO36" s="128">
        <f>ROUND(COUNTIF(HO2:HO31,"D")*100/HO32,0)</f>
        <v>17</v>
      </c>
      <c r="HP36" s="128">
        <f>ROUND(COUNTIF(HP2:HP31,"D")*100/HP32,0)</f>
        <v>7</v>
      </c>
      <c r="HQ36" s="128">
        <f>ROUND(COUNTIF(HQ2:HQ31,"D")*100/HQ32,0)</f>
        <v>20</v>
      </c>
      <c r="HR36" s="128">
        <f>ROUND(COUNTIF(HR2:HR31,"D")*100/HR32,0)</f>
        <v>13</v>
      </c>
      <c r="HS36" s="128">
        <f>ROUND(COUNTIF(HS2:HS31,"D")*100/HS32,0)</f>
        <v>3</v>
      </c>
      <c r="HT36" s="127">
        <f>ROUND(COUNTIF(HT2:HT31,"D")*100/HT32,0)</f>
        <v>17</v>
      </c>
      <c r="HU36" s="128">
        <f>ROUND(COUNTIF(HU2:HU31,"D")*100/HU32,0)</f>
        <v>10</v>
      </c>
      <c r="HV36" s="128">
        <f>ROUND(COUNTIF(HV2:HV31,"D")*100/HV32,0)</f>
        <v>3</v>
      </c>
      <c r="HW36" s="128">
        <f>ROUND(COUNTIF(HW2:HW31,"D")*100/HW32,0)</f>
        <v>27</v>
      </c>
      <c r="HX36" s="128">
        <f>ROUND(COUNTIF(HX2:HX31,"D")*100/HX32,0)</f>
        <v>13</v>
      </c>
      <c r="HY36" s="128">
        <f>ROUND(COUNTIF(HY2:HY31,"D")*100/HY32,0)</f>
        <v>13</v>
      </c>
      <c r="HZ36" s="128">
        <f>ROUND(COUNTIF(HZ2:HZ31,"D")*100/HZ32,0)</f>
        <v>23</v>
      </c>
      <c r="IA36" s="128">
        <f>ROUND(COUNTIF(IA2:IA31,"D")*100/IA32,0)</f>
        <v>20</v>
      </c>
      <c r="IB36" s="128">
        <f>ROUND(COUNTIF(IB2:IB31,"D")*100/IB32,0)</f>
        <v>3</v>
      </c>
      <c r="IC36" s="128">
        <f>ROUND(COUNTIF(IC2:IC31,"D")*100/IC32,0)</f>
        <v>17</v>
      </c>
      <c r="ID36" s="128">
        <f>ROUND(COUNTIF(ID2:ID31,"D")*100/ID32,0)</f>
        <v>20</v>
      </c>
      <c r="IE36" s="128">
        <f>ROUND(COUNTIF(IE2:IE31,"D")*100/IE32,0)</f>
        <v>10</v>
      </c>
      <c r="IF36" s="128">
        <f>ROUND(COUNTIF(IF2:IF31,"D")*100/IF32,0)</f>
        <v>7</v>
      </c>
      <c r="IG36" s="128">
        <f>ROUND(COUNTIF(IG2:IG31,"D")*100/IG32,0)</f>
        <v>3</v>
      </c>
      <c r="IH36" s="128">
        <f>ROUND(COUNTIF(IH2:IH31,"D")*100/IH32,0)</f>
        <v>7</v>
      </c>
      <c r="II36" s="128">
        <f>ROUND(COUNTIF(II2:II31,"D")*100/II32,0)</f>
        <v>17</v>
      </c>
      <c r="IJ36" s="128">
        <f>ROUND(COUNTIF(IJ2:IJ31,"D")*100/IJ32,0)</f>
        <v>13</v>
      </c>
      <c r="IK36" s="128">
        <f>ROUND(COUNTIF(IK2:IK31,"D")*100/IK32,0)</f>
        <v>20</v>
      </c>
      <c r="IL36" s="128">
        <f>ROUND(COUNTIF(IL2:IL31,"D")*100/IL32,0)</f>
        <v>0</v>
      </c>
      <c r="IM36" s="128">
        <f>ROUND(COUNTIF(IM2:IM31,"D")*100/IM32,0)</f>
        <v>27</v>
      </c>
      <c r="IN36" s="128">
        <f>ROUND(COUNTIF(IN2:IN31,"D")*100/IN32,0)</f>
        <v>7</v>
      </c>
      <c r="IO36" s="128">
        <f>ROUND(COUNTIF(IO2:IO31,"D")*100/IO32,0)</f>
        <v>17</v>
      </c>
      <c r="IP36" s="128">
        <f>ROUND(COUNTIF(IP2:IP31,"D")*100/IP32,0)</f>
        <v>10</v>
      </c>
      <c r="IQ36" s="127">
        <f>ROUND(COUNTIF(IQ2:IQ31,"D")*100/IQ32,0)</f>
        <v>40</v>
      </c>
      <c r="IR36" s="128">
        <f>ROUND(COUNTIF(IR2:IR31,"D")*100/IR32,0)</f>
        <v>17</v>
      </c>
    </row>
    <row r="37" spans="4:252" s="65" customFormat="1" x14ac:dyDescent="0.35">
      <c r="D37" s="138" t="s">
        <v>342</v>
      </c>
      <c r="L37" s="138"/>
      <c r="EB37" s="65" t="s">
        <v>335</v>
      </c>
      <c r="EC37" s="128">
        <f>ROUND(COUNTIF(EC2:EC31,"E")*100/EC32,0)</f>
        <v>0</v>
      </c>
      <c r="ED37" s="128">
        <f>ROUND(COUNTIF(ED2:ED31,"E")*100/ED32,0)</f>
        <v>0</v>
      </c>
      <c r="EE37" s="128">
        <f>ROUND(COUNTIF(EE2:EE31,"E")*100/EE32,0)</f>
        <v>0</v>
      </c>
      <c r="EF37" s="128">
        <f>ROUND(COUNTIF(EF2:EF31,"E")*100/EF32,0)</f>
        <v>0</v>
      </c>
      <c r="EG37" s="128">
        <f>ROUND(COUNTIF(EG2:EG31,"E")*100/EG32,0)</f>
        <v>0</v>
      </c>
      <c r="EH37" s="128">
        <f>ROUND(COUNTIF(EH2:EH31,"E")*100/EH32,0)</f>
        <v>0</v>
      </c>
      <c r="EI37" s="128">
        <f>ROUND(COUNTIF(EI2:EI31,"E")*100/EI32,0)</f>
        <v>0</v>
      </c>
      <c r="EJ37" s="128">
        <f>ROUND(COUNTIF(EJ2:EJ31,"E")*100/EJ32,0)</f>
        <v>0</v>
      </c>
      <c r="EK37" s="128">
        <f>ROUND(COUNTIF(EK2:EK31,"E")*100/EK32,0)</f>
        <v>0</v>
      </c>
      <c r="EL37" s="128">
        <f>ROUND(COUNTIF(EL2:EL31,"E")*100/EL32,0)</f>
        <v>0</v>
      </c>
      <c r="EM37" s="128">
        <f>ROUND(COUNTIF(EM2:EM31,"E")*100/EM32,0)</f>
        <v>0</v>
      </c>
      <c r="EN37" s="128">
        <f>ROUND(COUNTIF(EN2:EN31,"E")*100/EN32,0)</f>
        <v>0</v>
      </c>
      <c r="EO37" s="128">
        <f>ROUND(COUNTIF(EO2:EO31,"E")*100/EO32,0)</f>
        <v>0</v>
      </c>
      <c r="EP37" s="128">
        <f>ROUND(COUNTIF(EP2:EP31,"E")*100/EP32,0)</f>
        <v>0</v>
      </c>
      <c r="EQ37" s="128">
        <f>ROUND(COUNTIF(EQ2:EQ31,"E")*100/EQ32,0)</f>
        <v>0</v>
      </c>
      <c r="ER37" s="128">
        <f>ROUND(COUNTIF(ER2:ER31,"E")*100/ER32,0)</f>
        <v>0</v>
      </c>
      <c r="ES37" s="128">
        <f>ROUND(COUNTIF(ES2:ES31,"E")*100/ES32,0)</f>
        <v>0</v>
      </c>
      <c r="ET37" s="128">
        <f>ROUND(COUNTIF(ET2:ET31,"E")*100/ET32,0)</f>
        <v>0</v>
      </c>
      <c r="EU37" s="128">
        <f>ROUND(COUNTIF(EU2:EU31,"E")*100/EU32,0)</f>
        <v>0</v>
      </c>
      <c r="EV37" s="128">
        <f>ROUND(COUNTIF(EV2:EV31,"E")*100/EV32,0)</f>
        <v>0</v>
      </c>
      <c r="EW37" s="128">
        <f>ROUND(COUNTIF(EW2:EW31,"E")*100/EW32,0)</f>
        <v>0</v>
      </c>
      <c r="EX37" s="128">
        <f>ROUND(COUNTIF(EX2:EX31,"E")*100/EX32,0)</f>
        <v>0</v>
      </c>
      <c r="EY37" s="128">
        <f>ROUND(COUNTIF(EY2:EY31,"E")*100/EY32,0)</f>
        <v>0</v>
      </c>
      <c r="EZ37" s="128">
        <f>ROUND(COUNTIF(EZ2:EZ31,"E")*100/EZ32,0)</f>
        <v>0</v>
      </c>
      <c r="FA37" s="128">
        <f>ROUND(COUNTIF(FA2:FA31,"E")*100/FA32,0)</f>
        <v>0</v>
      </c>
      <c r="FB37" s="128">
        <f>ROUND(COUNTIF(FB2:FB31,"E")*100/FB32,0)</f>
        <v>0</v>
      </c>
      <c r="FC37" s="128">
        <f>ROUND(COUNTIF(FC2:FC31,"E")*100/FC32,0)</f>
        <v>0</v>
      </c>
      <c r="FD37" s="128">
        <f>ROUND(COUNTIF(FD2:FD31,"E")*100/FD32,0)</f>
        <v>0</v>
      </c>
      <c r="FE37" s="128">
        <f>ROUND(COUNTIF(FE2:FE31,"E")*100/FE32,0)</f>
        <v>0</v>
      </c>
      <c r="FF37" s="128">
        <f>ROUND(COUNTIF(FF2:FF31,"E")*100/FF32,0)</f>
        <v>0</v>
      </c>
      <c r="FG37" s="128">
        <f>ROUND(COUNTIF(FG2:FG31,"E")*100/FG32,0)</f>
        <v>0</v>
      </c>
      <c r="FH37" s="128">
        <f>ROUND(COUNTIF(FH2:FH31,"E")*100/FH32,0)</f>
        <v>0</v>
      </c>
      <c r="FI37" s="128">
        <f>ROUND(COUNTIF(FI2:FI31,"E")*100/FI32,0)</f>
        <v>0</v>
      </c>
      <c r="FJ37" s="128">
        <f>ROUND(COUNTIF(FJ2:FJ31,"E")*100/FJ32,0)</f>
        <v>0</v>
      </c>
      <c r="FK37" s="128">
        <f>ROUND(COUNTIF(FK2:FK31,"E")*100/FK32,0)</f>
        <v>0</v>
      </c>
      <c r="FL37" s="128">
        <f>ROUND(COUNTIF(FL2:FL31,"E")*100/FL32,0)</f>
        <v>0</v>
      </c>
      <c r="FM37" s="128">
        <f>ROUND(COUNTIF(FM2:FM31,"E")*100/FM32,0)</f>
        <v>0</v>
      </c>
      <c r="FN37" s="128">
        <f>ROUND(COUNTIF(FN2:FN31,"E")*100/FN32,0)</f>
        <v>0</v>
      </c>
      <c r="FO37" s="128">
        <f>ROUND(COUNTIF(FO2:FO31,"E")*100/FO32,0)</f>
        <v>0</v>
      </c>
      <c r="FP37" s="128">
        <f>ROUND(COUNTIF(FP2:FP31,"E")*100/FP32,0)</f>
        <v>0</v>
      </c>
      <c r="FQ37" s="128">
        <f>ROUND(COUNTIF(FQ2:FQ31,"E")*100/FQ32,0)</f>
        <v>0</v>
      </c>
      <c r="FR37" s="128">
        <f>ROUND(COUNTIF(FR2:FR31,"E")*100/FR32,0)</f>
        <v>0</v>
      </c>
      <c r="FS37" s="128">
        <f>ROUND(COUNTIF(FS2:FS31,"E")*100/FS32,0)</f>
        <v>0</v>
      </c>
      <c r="FT37" s="128">
        <f>ROUND(COUNTIF(FT2:FT31,"E")*100/FT32,0)</f>
        <v>0</v>
      </c>
      <c r="FU37" s="128">
        <f>ROUND(COUNTIF(FU2:FU31,"E")*100/FU32,0)</f>
        <v>0</v>
      </c>
      <c r="FV37" s="128">
        <f>ROUND(COUNTIF(FV2:FV31,"E")*100/FV32,0)</f>
        <v>0</v>
      </c>
      <c r="FW37" s="128">
        <f>ROUND(COUNTIF(FW2:FW31,"E")*100/FW32,0)</f>
        <v>0</v>
      </c>
      <c r="FX37" s="128">
        <f>ROUND(COUNTIF(FX2:FX31,"E")*100/FX32,0)</f>
        <v>0</v>
      </c>
      <c r="FY37" s="128">
        <f>ROUND(COUNTIF(FY2:FY31,"E")*100/FY32,0)</f>
        <v>0</v>
      </c>
      <c r="FZ37" s="128">
        <f>ROUND(COUNTIF(FZ2:FZ31,"E")*100/FZ32,0)</f>
        <v>0</v>
      </c>
      <c r="GA37" s="128">
        <f>ROUND(COUNTIF(GA2:GA31,"E")*100/GA32,0)</f>
        <v>0</v>
      </c>
      <c r="GB37" s="128">
        <f>ROUND(COUNTIF(GB2:GB31,"E")*100/GB32,0)</f>
        <v>0</v>
      </c>
      <c r="GC37" s="128">
        <f>ROUND(COUNTIF(GC2:GC31,"E")*100/GC32,0)</f>
        <v>0</v>
      </c>
      <c r="GD37" s="128">
        <f>ROUND(COUNTIF(GD2:GD31,"E")*100/GD32,0)</f>
        <v>0</v>
      </c>
      <c r="GE37" s="128">
        <f>ROUND(COUNTIF(GE2:GE31,"E")*100/GE32,0)</f>
        <v>0</v>
      </c>
      <c r="GF37" s="128">
        <f>ROUND(COUNTIF(GF2:GF31,"E")*100/GF32,0)</f>
        <v>0</v>
      </c>
      <c r="GG37" s="128">
        <f>ROUND(COUNTIF(GG2:GG31,"E")*100/GG32,0)</f>
        <v>0</v>
      </c>
      <c r="GH37" s="128">
        <f>ROUND(COUNTIF(GH2:GH31,"E")*100/GH32,0)</f>
        <v>0</v>
      </c>
      <c r="GI37" s="128">
        <f>ROUND(COUNTIF(GI2:GI31,"E")*100/GI32,0)</f>
        <v>0</v>
      </c>
      <c r="GJ37" s="128">
        <f>ROUND(COUNTIF(GJ2:GJ31,"E")*100/GJ32,0)</f>
        <v>0</v>
      </c>
      <c r="GK37" s="128">
        <f>ROUND(COUNTIF(GK2:GK31,"E")*100/GK32,0)</f>
        <v>0</v>
      </c>
      <c r="GL37" s="128">
        <f>ROUND(COUNTIF(GL2:GL31,"E")*100/GL32,0)</f>
        <v>0</v>
      </c>
      <c r="GM37" s="128">
        <f>ROUND(COUNTIF(GM2:GM31,"E")*100/GM32,0)</f>
        <v>0</v>
      </c>
      <c r="GN37" s="128">
        <f>ROUND(COUNTIF(GN2:GN31,"E")*100/GN32,0)</f>
        <v>0</v>
      </c>
      <c r="GO37" s="128">
        <f>ROUND(COUNTIF(GO2:GO31,"E")*100/GO32,0)</f>
        <v>0</v>
      </c>
      <c r="GP37" s="128">
        <f>ROUND(COUNTIF(GP2:GP31,"E")*100/GP32,0)</f>
        <v>0</v>
      </c>
      <c r="GQ37" s="128">
        <f>ROUND(COUNTIF(GQ2:GQ31,"E")*100/GQ32,0)</f>
        <v>0</v>
      </c>
      <c r="GR37" s="128">
        <f>ROUND(COUNTIF(GR2:GR31,"E")*100/GR32,0)</f>
        <v>0</v>
      </c>
      <c r="GS37" s="128">
        <f>ROUND(COUNTIF(GS2:GS31,"E")*100/GS32,0)</f>
        <v>0</v>
      </c>
      <c r="GT37" s="128">
        <f>ROUND(COUNTIF(GT2:GT31,"E")*100/GT32,0)</f>
        <v>0</v>
      </c>
      <c r="GU37" s="128">
        <f>ROUND(COUNTIF(GU2:GU31,"E")*100/GU32,0)</f>
        <v>0</v>
      </c>
      <c r="GV37" s="128">
        <f>ROUND(COUNTIF(GV2:GV31,"E")*100/GV32,0)</f>
        <v>0</v>
      </c>
      <c r="GW37" s="128">
        <f>ROUND(COUNTIF(GW2:GW31,"E")*100/GW32,0)</f>
        <v>0</v>
      </c>
      <c r="GX37" s="128">
        <f>ROUND(COUNTIF(GX2:GX31,"E")*100/GX32,0)</f>
        <v>0</v>
      </c>
      <c r="GY37" s="128">
        <f>ROUND(COUNTIF(GY2:GY31,"E")*100/GY32,0)</f>
        <v>0</v>
      </c>
      <c r="GZ37" s="128">
        <f>ROUND(COUNTIF(GZ2:GZ31,"E")*100/GZ32,0)</f>
        <v>0</v>
      </c>
      <c r="HA37" s="128">
        <f>ROUND(COUNTIF(HA2:HA31,"E")*100/HA32,0)</f>
        <v>0</v>
      </c>
      <c r="HB37" s="128">
        <f>ROUND(COUNTIF(HB2:HB31,"E")*100/HB32,0)</f>
        <v>0</v>
      </c>
      <c r="HC37" s="128">
        <f>ROUND(COUNTIF(HC2:HC31,"E")*100/HC32,0)</f>
        <v>0</v>
      </c>
      <c r="HD37" s="128">
        <f>ROUND(COUNTIF(HD2:HD31,"E")*100/HD32,0)</f>
        <v>0</v>
      </c>
      <c r="HE37" s="128">
        <f>ROUND(COUNTIF(HE2:HE31,"E")*100/HE32,0)</f>
        <v>0</v>
      </c>
      <c r="HF37" s="128">
        <f>ROUND(COUNTIF(HF2:HF31,"E")*100/HF32,0)</f>
        <v>0</v>
      </c>
      <c r="HG37" s="128">
        <f>ROUND(COUNTIF(HG2:HG31,"E")*100/HG32,0)</f>
        <v>0</v>
      </c>
      <c r="HH37" s="128">
        <f>ROUND(COUNTIF(HH2:HH31,"E")*100/HH32,0)</f>
        <v>0</v>
      </c>
      <c r="HI37" s="128">
        <f>ROUND(COUNTIF(HI2:HI31,"E")*100/HI32,0)</f>
        <v>0</v>
      </c>
      <c r="HJ37" s="128">
        <f>ROUND(COUNTIF(HJ2:HJ31,"E")*100/HJ32,0)</f>
        <v>0</v>
      </c>
      <c r="HK37" s="128">
        <f>ROUND(COUNTIF(HK2:HK31,"E")*100/HK32,0)</f>
        <v>0</v>
      </c>
      <c r="HL37" s="128">
        <f>ROUND(COUNTIF(HL2:HL31,"E")*100/HL32,0)</f>
        <v>0</v>
      </c>
      <c r="HM37" s="128">
        <f>ROUND(COUNTIF(HM2:HM31,"E")*100/HM32,0)</f>
        <v>0</v>
      </c>
      <c r="HN37" s="128">
        <f>ROUND(COUNTIF(HN2:HN31,"E")*100/HN32,0)</f>
        <v>0</v>
      </c>
      <c r="HO37" s="128">
        <f>ROUND(COUNTIF(HO2:HO31,"E")*100/HO32,0)</f>
        <v>0</v>
      </c>
      <c r="HP37" s="128">
        <f>ROUND(COUNTIF(HP2:HP31,"E")*100/HP32,0)</f>
        <v>0</v>
      </c>
      <c r="HQ37" s="128">
        <f>ROUND(COUNTIF(HQ2:HQ31,"E")*100/HQ32,0)</f>
        <v>0</v>
      </c>
      <c r="HR37" s="128">
        <f>ROUND(COUNTIF(HR2:HR31,"E")*100/HR32,0)</f>
        <v>0</v>
      </c>
      <c r="HS37" s="128">
        <f>ROUND(COUNTIF(HS2:HS31,"E")*100/HS32,0)</f>
        <v>0</v>
      </c>
      <c r="HT37" s="128">
        <f>ROUND(COUNTIF(HT2:HT31,"E")*100/HT32,0)</f>
        <v>0</v>
      </c>
      <c r="HU37" s="128">
        <f>ROUND(COUNTIF(HU2:HU31,"E")*100/HU32,0)</f>
        <v>0</v>
      </c>
      <c r="HV37" s="128">
        <f>ROUND(COUNTIF(HV2:HV31,"E")*100/HV32,0)</f>
        <v>0</v>
      </c>
      <c r="HW37" s="128">
        <f>ROUND(COUNTIF(HW2:HW31,"E")*100/HW32,0)</f>
        <v>0</v>
      </c>
      <c r="HX37" s="128">
        <f>ROUND(COUNTIF(HX2:HX31,"E")*100/HX32,0)</f>
        <v>0</v>
      </c>
      <c r="HY37" s="128">
        <f>ROUND(COUNTIF(HY2:HY31,"E")*100/HY32,0)</f>
        <v>0</v>
      </c>
      <c r="HZ37" s="128">
        <f>ROUND(COUNTIF(HZ2:HZ31,"E")*100/HZ32,0)</f>
        <v>0</v>
      </c>
      <c r="IA37" s="128">
        <f>ROUND(COUNTIF(IA2:IA31,"E")*100/IA32,0)</f>
        <v>0</v>
      </c>
      <c r="IB37" s="128">
        <f>ROUND(COUNTIF(IB2:IB31,"E")*100/IB32,0)</f>
        <v>0</v>
      </c>
      <c r="IC37" s="128">
        <f>ROUND(COUNTIF(IC2:IC31,"E")*100/IC32,0)</f>
        <v>0</v>
      </c>
      <c r="ID37" s="128">
        <f>ROUND(COUNTIF(ID2:ID31,"E")*100/ID32,0)</f>
        <v>0</v>
      </c>
      <c r="IE37" s="128">
        <f>ROUND(COUNTIF(IE2:IE31,"E")*100/IE32,0)</f>
        <v>0</v>
      </c>
      <c r="IF37" s="128">
        <f>ROUND(COUNTIF(IF2:IF31,"E")*100/IF32,0)</f>
        <v>0</v>
      </c>
      <c r="IG37" s="128">
        <f>ROUND(COUNTIF(IG2:IG31,"E")*100/IG32,0)</f>
        <v>0</v>
      </c>
      <c r="IH37" s="128">
        <f>ROUND(COUNTIF(IH2:IH31,"E")*100/IH32,0)</f>
        <v>0</v>
      </c>
      <c r="II37" s="128">
        <f>ROUND(COUNTIF(II2:II31,"E")*100/II32,0)</f>
        <v>0</v>
      </c>
      <c r="IJ37" s="128">
        <f>ROUND(COUNTIF(IJ2:IJ31,"E")*100/IJ32,0)</f>
        <v>0</v>
      </c>
      <c r="IK37" s="128">
        <f>ROUND(COUNTIF(IK2:IK31,"E")*100/IK32,0)</f>
        <v>0</v>
      </c>
      <c r="IL37" s="128">
        <f>ROUND(COUNTIF(IL2:IL31,"E")*100/IL32,0)</f>
        <v>0</v>
      </c>
      <c r="IM37" s="128">
        <f>ROUND(COUNTIF(IM2:IM31,"E")*100/IM32,0)</f>
        <v>0</v>
      </c>
      <c r="IN37" s="128">
        <f>ROUND(COUNTIF(IN2:IN31,"E")*100/IN32,0)</f>
        <v>0</v>
      </c>
      <c r="IO37" s="128">
        <f>ROUND(COUNTIF(IO2:IO31,"E")*100/IO32,0)</f>
        <v>0</v>
      </c>
      <c r="IP37" s="128">
        <f>ROUND(COUNTIF(IP2:IP31,"E")*100/IP32,0)</f>
        <v>0</v>
      </c>
      <c r="IQ37" s="128">
        <f>ROUND(COUNTIF(IQ2:IQ31,"E")*100/IQ32,0)</f>
        <v>0</v>
      </c>
      <c r="IR37" s="128">
        <f>ROUND(COUNTIF(IR2:IR31,"E")*100/IR32,0)</f>
        <v>0</v>
      </c>
    </row>
    <row r="38" spans="4:252" s="65" customFormat="1" x14ac:dyDescent="0.35">
      <c r="D38" s="138" t="s">
        <v>343</v>
      </c>
      <c r="L38" s="138"/>
      <c r="EB38" s="65" t="s">
        <v>337</v>
      </c>
      <c r="EC38" s="128">
        <f>ROUND(COUNTIF(EC2:EC31,"*F*")*100/EC32,0)</f>
        <v>0</v>
      </c>
      <c r="ED38" s="128">
        <f>ROUND(COUNTIF(ED2:ED31,"*F*")*100/ED32,0)</f>
        <v>0</v>
      </c>
      <c r="EE38" s="128">
        <f>ROUND(COUNTIF(EE2:EE31,"*F*")*100/EE32,0)</f>
        <v>0</v>
      </c>
      <c r="EF38" s="128">
        <f>ROUND(COUNTIF(EF2:EF31,"*F*")*100/EF32,0)</f>
        <v>0</v>
      </c>
      <c r="EG38" s="128">
        <f>ROUND(COUNTIF(EG2:EG31,"*F*")*100/EG32,0)</f>
        <v>0</v>
      </c>
      <c r="EH38" s="128">
        <f>ROUND(COUNTIF(EH2:EH31,"*F*")*100/EH32,0)</f>
        <v>0</v>
      </c>
      <c r="EI38" s="128">
        <f>ROUND(COUNTIF(EI2:EI31,"*F*")*100/EI32,0)</f>
        <v>0</v>
      </c>
      <c r="EJ38" s="128">
        <f>ROUND(COUNTIF(EJ2:EJ31,"*F*")*100/EJ32,0)</f>
        <v>0</v>
      </c>
      <c r="EK38" s="128">
        <f>ROUND(COUNTIF(EK2:EK31,"*F*")*100/EK32,0)</f>
        <v>0</v>
      </c>
      <c r="EL38" s="128">
        <f>ROUND(COUNTIF(EL2:EL31,"*F*")*100/EL32,0)</f>
        <v>0</v>
      </c>
      <c r="EM38" s="128">
        <f>ROUND(COUNTIF(EM2:EM31,"*F*")*100/EM32,0)</f>
        <v>0</v>
      </c>
      <c r="EN38" s="128">
        <f>ROUND(COUNTIF(EN2:EN31,"*F*")*100/EN32,0)</f>
        <v>0</v>
      </c>
      <c r="EO38" s="128">
        <f>ROUND(COUNTIF(EO2:EO31,"*F*")*100/EO32,0)</f>
        <v>0</v>
      </c>
      <c r="EP38" s="128">
        <f>ROUND(COUNTIF(EP2:EP31,"*F*")*100/EP32,0)</f>
        <v>0</v>
      </c>
      <c r="EQ38" s="128">
        <f>ROUND(COUNTIF(EQ2:EQ31,"*F*")*100/EQ32,0)</f>
        <v>0</v>
      </c>
      <c r="ER38" s="128">
        <f>ROUND(COUNTIF(ER2:ER31,"*F*")*100/ER32,0)</f>
        <v>0</v>
      </c>
      <c r="ES38" s="128">
        <f>ROUND(COUNTIF(ES2:ES31,"*F*")*100/ES32,0)</f>
        <v>0</v>
      </c>
      <c r="ET38" s="128">
        <f>ROUND(COUNTIF(ET2:ET31,"*F*")*100/ET32,0)</f>
        <v>0</v>
      </c>
      <c r="EU38" s="128">
        <f>ROUND(COUNTIF(EU2:EU31,"*F*")*100/EU32,0)</f>
        <v>0</v>
      </c>
      <c r="EV38" s="128">
        <f>ROUND(COUNTIF(EV2:EV31,"*F*")*100/EV32,0)</f>
        <v>0</v>
      </c>
      <c r="EW38" s="128">
        <f>ROUND(COUNTIF(EW2:EW31,"*F*")*100/EW32,0)</f>
        <v>0</v>
      </c>
      <c r="EX38" s="128">
        <f>ROUND(COUNTIF(EX2:EX31,"*F*")*100/EX32,0)</f>
        <v>0</v>
      </c>
      <c r="EY38" s="128">
        <f>ROUND(COUNTIF(EY2:EY31,"*F*")*100/EY32,0)</f>
        <v>0</v>
      </c>
      <c r="EZ38" s="128">
        <f>ROUND(COUNTIF(EZ2:EZ31,"*F*")*100/EZ32,0)</f>
        <v>0</v>
      </c>
      <c r="FA38" s="128">
        <f>ROUND(COUNTIF(FA2:FA31,"*F*")*100/FA32,0)</f>
        <v>0</v>
      </c>
      <c r="FB38" s="128">
        <f>ROUND(COUNTIF(FB2:FB31,"*F*")*100/FB32,0)</f>
        <v>0</v>
      </c>
      <c r="FC38" s="128">
        <f>ROUND(COUNTIF(FC2:FC31,"*F*")*100/FC32,0)</f>
        <v>0</v>
      </c>
      <c r="FD38" s="128">
        <f>ROUND(COUNTIF(FD2:FD31,"*F*")*100/FD32,0)</f>
        <v>0</v>
      </c>
      <c r="FE38" s="128">
        <f>ROUND(COUNTIF(FE2:FE31,"*F*")*100/FE32,0)</f>
        <v>0</v>
      </c>
      <c r="FF38" s="128">
        <f>ROUND(COUNTIF(FF2:FF31,"*F*")*100/FF32,0)</f>
        <v>0</v>
      </c>
      <c r="FG38" s="128">
        <f>ROUND(COUNTIF(FG2:FG31,"*F*")*100/FG32,0)</f>
        <v>0</v>
      </c>
      <c r="FH38" s="128">
        <f>ROUND(COUNTIF(FH2:FH31,"*F*")*100/FH32,0)</f>
        <v>0</v>
      </c>
      <c r="FI38" s="128">
        <f>ROUND(COUNTIF(FI2:FI31,"*F*")*100/FI32,0)</f>
        <v>0</v>
      </c>
      <c r="FJ38" s="128">
        <f>ROUND(COUNTIF(FJ2:FJ31,"*F*")*100/FJ32,0)</f>
        <v>0</v>
      </c>
      <c r="FK38" s="128">
        <f>ROUND(COUNTIF(FK2:FK31,"*F*")*100/FK32,0)</f>
        <v>0</v>
      </c>
      <c r="FL38" s="128">
        <f>ROUND(COUNTIF(FL2:FL31,"*F*")*100/FL32,0)</f>
        <v>0</v>
      </c>
      <c r="FM38" s="128">
        <f>ROUND(COUNTIF(FM2:FM31,"*F*")*100/FM32,0)</f>
        <v>0</v>
      </c>
      <c r="FN38" s="128">
        <f>ROUND(COUNTIF(FN2:FN31,"*F*")*100/FN32,0)</f>
        <v>0</v>
      </c>
      <c r="FO38" s="128">
        <f>ROUND(COUNTIF(FO2:FO31,"*F*")*100/FO32,0)</f>
        <v>0</v>
      </c>
      <c r="FP38" s="128">
        <f>ROUND(COUNTIF(FP2:FP31,"*F*")*100/FP32,0)</f>
        <v>0</v>
      </c>
      <c r="FQ38" s="128">
        <f>ROUND(COUNTIF(FQ2:FQ31,"*F*")*100/FQ32,0)</f>
        <v>0</v>
      </c>
      <c r="FR38" s="128">
        <f>ROUND(COUNTIF(FR2:FR31,"*F*")*100/FR32,0)</f>
        <v>0</v>
      </c>
      <c r="FS38" s="128">
        <f>ROUND(COUNTIF(FS2:FS31,"*F*")*100/FS32,0)</f>
        <v>0</v>
      </c>
      <c r="FT38" s="128">
        <f>ROUND(COUNTIF(FT2:FT31,"*F*")*100/FT32,0)</f>
        <v>0</v>
      </c>
      <c r="FU38" s="128">
        <f>ROUND(COUNTIF(FU2:FU31,"*F*")*100/FU32,0)</f>
        <v>0</v>
      </c>
      <c r="FV38" s="128">
        <f>ROUND(COUNTIF(FV2:FV31,"*F*")*100/FV32,0)</f>
        <v>0</v>
      </c>
      <c r="FW38" s="128">
        <f>ROUND(COUNTIF(FW2:FW31,"*F*")*100/FW32,0)</f>
        <v>0</v>
      </c>
      <c r="FX38" s="128">
        <f>ROUND(COUNTIF(FX2:FX31,"*F*")*100/FX32,0)</f>
        <v>0</v>
      </c>
      <c r="FY38" s="128">
        <f>ROUND(COUNTIF(FY2:FY31,"*F*")*100/FY32,0)</f>
        <v>0</v>
      </c>
      <c r="FZ38" s="128">
        <f>ROUND(COUNTIF(FZ2:FZ31,"*F*")*100/FZ32,0)</f>
        <v>0</v>
      </c>
      <c r="GA38" s="128">
        <f>ROUND(COUNTIF(GA2:GA31,"*F*")*100/GA32,0)</f>
        <v>0</v>
      </c>
      <c r="GB38" s="128">
        <f>ROUND(COUNTIF(GB2:GB31,"*F*")*100/GB32,0)</f>
        <v>0</v>
      </c>
      <c r="GC38" s="128">
        <f>ROUND(COUNTIF(GC2:GC31,"*F*")*100/GC32,0)</f>
        <v>0</v>
      </c>
      <c r="GD38" s="128">
        <f>ROUND(COUNTIF(GD2:GD31,"*F*")*100/GD32,0)</f>
        <v>0</v>
      </c>
      <c r="GE38" s="128">
        <f>ROUND(COUNTIF(GE2:GE31,"*F*")*100/GE32,0)</f>
        <v>0</v>
      </c>
      <c r="GF38" s="128">
        <f>ROUND(COUNTIF(GF2:GF31,"*F*")*100/GF32,0)</f>
        <v>0</v>
      </c>
      <c r="GG38" s="128">
        <f>ROUND(COUNTIF(GG2:GG31,"*F*")*100/GG32,0)</f>
        <v>0</v>
      </c>
      <c r="GH38" s="128">
        <f>ROUND(COUNTIF(GH2:GH31,"*F*")*100/GH32,0)</f>
        <v>0</v>
      </c>
      <c r="GI38" s="128">
        <f>ROUND(COUNTIF(GI2:GI31,"*F*")*100/GI32,0)</f>
        <v>0</v>
      </c>
      <c r="GJ38" s="128">
        <f>ROUND(COUNTIF(GJ2:GJ31,"*F*")*100/GJ32,0)</f>
        <v>0</v>
      </c>
      <c r="GK38" s="128">
        <f>ROUND(COUNTIF(GK2:GK31,"*F*")*100/GK32,0)</f>
        <v>0</v>
      </c>
      <c r="GL38" s="128">
        <f>ROUND(COUNTIF(GL2:GL31,"*F*")*100/GL32,0)</f>
        <v>0</v>
      </c>
      <c r="GM38" s="128">
        <f>ROUND(COUNTIF(GM2:GM31,"*F*")*100/GM32,0)</f>
        <v>0</v>
      </c>
      <c r="GN38" s="128">
        <f>ROUND(COUNTIF(GN2:GN31,"*F*")*100/GN32,0)</f>
        <v>0</v>
      </c>
      <c r="GO38" s="128">
        <f>ROUND(COUNTIF(GO2:GO31,"*F*")*100/GO32,0)</f>
        <v>0</v>
      </c>
      <c r="GP38" s="128">
        <f>ROUND(COUNTIF(GP2:GP31,"*F*")*100/GP32,0)</f>
        <v>0</v>
      </c>
      <c r="GQ38" s="128">
        <f>ROUND(COUNTIF(GQ2:GQ31,"*F*")*100/GQ32,0)</f>
        <v>0</v>
      </c>
      <c r="GR38" s="128">
        <f>ROUND(COUNTIF(GR2:GR31,"*F*")*100/GR32,0)</f>
        <v>0</v>
      </c>
      <c r="GS38" s="128">
        <f>ROUND(COUNTIF(GS2:GS31,"*F*")*100/GS32,0)</f>
        <v>0</v>
      </c>
      <c r="GT38" s="128">
        <f>ROUND(COUNTIF(GT2:GT31,"*F*")*100/GT32,0)</f>
        <v>0</v>
      </c>
      <c r="GU38" s="128">
        <f>ROUND(COUNTIF(GU2:GU31,"*F*")*100/GU32,0)</f>
        <v>0</v>
      </c>
      <c r="GV38" s="128">
        <f>ROUND(COUNTIF(GV2:GV31,"*F*")*100/GV32,0)</f>
        <v>0</v>
      </c>
      <c r="GW38" s="128">
        <f>ROUND(COUNTIF(GW2:GW31,"*F*")*100/GW32,0)</f>
        <v>0</v>
      </c>
      <c r="GX38" s="128">
        <f>ROUND(COUNTIF(GX2:GX31,"*F*")*100/GX32,0)</f>
        <v>0</v>
      </c>
      <c r="GY38" s="128">
        <f>ROUND(COUNTIF(GY2:GY31,"*F*")*100/GY32,0)</f>
        <v>0</v>
      </c>
      <c r="GZ38" s="128">
        <f>ROUND(COUNTIF(GZ2:GZ31,"*F*")*100/GZ32,0)</f>
        <v>0</v>
      </c>
      <c r="HA38" s="128">
        <f>ROUND(COUNTIF(HA2:HA31,"*F*")*100/HA32,0)</f>
        <v>0</v>
      </c>
      <c r="HB38" s="128">
        <f>ROUND(COUNTIF(HB2:HB31,"*F*")*100/HB32,0)</f>
        <v>0</v>
      </c>
      <c r="HC38" s="128">
        <f>ROUND(COUNTIF(HC2:HC31,"*F*")*100/HC32,0)</f>
        <v>0</v>
      </c>
      <c r="HD38" s="128">
        <f>ROUND(COUNTIF(HD2:HD31,"*F*")*100/HD32,0)</f>
        <v>0</v>
      </c>
      <c r="HE38" s="128">
        <f>ROUND(COUNTIF(HE2:HE31,"*F*")*100/HE32,0)</f>
        <v>0</v>
      </c>
      <c r="HF38" s="128">
        <f>ROUND(COUNTIF(HF2:HF31,"*F*")*100/HF32,0)</f>
        <v>0</v>
      </c>
      <c r="HG38" s="128">
        <f>ROUND(COUNTIF(HG2:HG31,"*F*")*100/HG32,0)</f>
        <v>0</v>
      </c>
      <c r="HH38" s="128">
        <f>ROUND(COUNTIF(HH2:HH31,"*F*")*100/HH32,0)</f>
        <v>0</v>
      </c>
      <c r="HI38" s="128">
        <f>ROUND(COUNTIF(HI2:HI31,"*F*")*100/HI32,0)</f>
        <v>0</v>
      </c>
      <c r="HJ38" s="128">
        <f>ROUND(COUNTIF(HJ2:HJ31,"*F*")*100/HJ32,0)</f>
        <v>0</v>
      </c>
      <c r="HK38" s="128">
        <f>ROUND(COUNTIF(HK2:HK31,"*F*")*100/HK32,0)</f>
        <v>0</v>
      </c>
      <c r="HL38" s="128">
        <f>ROUND(COUNTIF(HL2:HL31,"*F*")*100/HL32,0)</f>
        <v>0</v>
      </c>
      <c r="HM38" s="128">
        <f>ROUND(COUNTIF(HM2:HM31,"*F*")*100/HM32,0)</f>
        <v>0</v>
      </c>
      <c r="HN38" s="128">
        <f>ROUND(COUNTIF(HN2:HN31,"*F*")*100/HN32,0)</f>
        <v>0</v>
      </c>
      <c r="HO38" s="128">
        <f>ROUND(COUNTIF(HO2:HO31,"*F*")*100/HO32,0)</f>
        <v>0</v>
      </c>
      <c r="HP38" s="128">
        <f>ROUND(COUNTIF(HP2:HP31,"*F*")*100/HP32,0)</f>
        <v>0</v>
      </c>
      <c r="HQ38" s="128">
        <f>ROUND(COUNTIF(HQ2:HQ31,"*F*")*100/HQ32,0)</f>
        <v>0</v>
      </c>
      <c r="HR38" s="128">
        <f>ROUND(COUNTIF(HR2:HR31,"*F*")*100/HR32,0)</f>
        <v>0</v>
      </c>
      <c r="HS38" s="128">
        <f>ROUND(COUNTIF(HS2:HS31,"*F*")*100/HS32,0)</f>
        <v>0</v>
      </c>
      <c r="HT38" s="128">
        <f>ROUND(COUNTIF(HT2:HT31,"*F*")*100/HT32,0)</f>
        <v>0</v>
      </c>
      <c r="HU38" s="128">
        <f>ROUND(COUNTIF(HU2:HU31,"*F*")*100/HU32,0)</f>
        <v>0</v>
      </c>
      <c r="HV38" s="128">
        <f>ROUND(COUNTIF(HV2:HV31,"*F*")*100/HV32,0)</f>
        <v>0</v>
      </c>
      <c r="HW38" s="128">
        <f>ROUND(COUNTIF(HW2:HW31,"*F*")*100/HW32,0)</f>
        <v>0</v>
      </c>
      <c r="HX38" s="128">
        <f>ROUND(COUNTIF(HX2:HX31,"*F*")*100/HX32,0)</f>
        <v>0</v>
      </c>
      <c r="HY38" s="128">
        <f>ROUND(COUNTIF(HY2:HY31,"*F*")*100/HY32,0)</f>
        <v>0</v>
      </c>
      <c r="HZ38" s="128">
        <f>ROUND(COUNTIF(HZ2:HZ31,"*F*")*100/HZ32,0)</f>
        <v>0</v>
      </c>
      <c r="IA38" s="128">
        <f>ROUND(COUNTIF(IA2:IA31,"*F*")*100/IA32,0)</f>
        <v>0</v>
      </c>
      <c r="IB38" s="128">
        <f>ROUND(COUNTIF(IB2:IB31,"*F*")*100/IB32,0)</f>
        <v>0</v>
      </c>
      <c r="IC38" s="128">
        <f>ROUND(COUNTIF(IC2:IC31,"*F*")*100/IC32,0)</f>
        <v>0</v>
      </c>
      <c r="ID38" s="128">
        <f>ROUND(COUNTIF(ID2:ID31,"*F*")*100/ID32,0)</f>
        <v>0</v>
      </c>
      <c r="IE38" s="128">
        <f>ROUND(COUNTIF(IE2:IE31,"*F*")*100/IE32,0)</f>
        <v>0</v>
      </c>
      <c r="IF38" s="128">
        <f>ROUND(COUNTIF(IF2:IF31,"*F*")*100/IF32,0)</f>
        <v>0</v>
      </c>
      <c r="IG38" s="128">
        <f>ROUND(COUNTIF(IG2:IG31,"*F*")*100/IG32,0)</f>
        <v>0</v>
      </c>
      <c r="IH38" s="128">
        <f>ROUND(COUNTIF(IH2:IH31,"*F*")*100/IH32,0)</f>
        <v>0</v>
      </c>
      <c r="II38" s="128">
        <f>ROUND(COUNTIF(II2:II31,"*F*")*100/II32,0)</f>
        <v>0</v>
      </c>
      <c r="IJ38" s="128">
        <f>ROUND(COUNTIF(IJ2:IJ31,"*F*")*100/IJ32,0)</f>
        <v>0</v>
      </c>
      <c r="IK38" s="128">
        <f>ROUND(COUNTIF(IK2:IK31,"*F*")*100/IK32,0)</f>
        <v>0</v>
      </c>
      <c r="IL38" s="128">
        <f>ROUND(COUNTIF(IL2:IL31,"*F*")*100/IL32,0)</f>
        <v>0</v>
      </c>
      <c r="IM38" s="128">
        <f>ROUND(COUNTIF(IM2:IM31,"*F*")*100/IM32,0)</f>
        <v>0</v>
      </c>
      <c r="IN38" s="128">
        <f>ROUND(COUNTIF(IN2:IN31,"*F*")*100/IN32,0)</f>
        <v>0</v>
      </c>
      <c r="IO38" s="128">
        <f>ROUND(COUNTIF(IO2:IO31,"*F*")*100/IO32,0)</f>
        <v>0</v>
      </c>
      <c r="IP38" s="128">
        <f>ROUND(COUNTIF(IP2:IP31,"*F*")*100/IP32,0)</f>
        <v>0</v>
      </c>
      <c r="IQ38" s="128">
        <f>ROUND(COUNTIF(IQ2:IQ31,"*F*")*100/IQ32,0)</f>
        <v>0</v>
      </c>
      <c r="IR38" s="128">
        <f>ROUND(COUNTIF(IR2:IR31,"*F*")*100/IR32,0)</f>
        <v>0</v>
      </c>
    </row>
    <row r="39" spans="4:252" s="65" customFormat="1" x14ac:dyDescent="0.35">
      <c r="D39" s="138" t="s">
        <v>344</v>
      </c>
      <c r="L39" s="138"/>
      <c r="EB39" s="65" t="s">
        <v>336</v>
      </c>
      <c r="EC39" s="128">
        <f>ROUND(COUNTIF(EC2:EC31,"G")*100/EC32,0)</f>
        <v>0</v>
      </c>
      <c r="ED39" s="128">
        <f>ROUND(COUNTIF(ED2:ED31,"G")*100/ED32,0)</f>
        <v>0</v>
      </c>
      <c r="EE39" s="128">
        <f>ROUND(COUNTIF(EE2:EE31,"G")*100/EE32,0)</f>
        <v>0</v>
      </c>
      <c r="EF39" s="128">
        <f>ROUND(COUNTIF(EF2:EF31,"G")*100/EF32,0)</f>
        <v>0</v>
      </c>
      <c r="EG39" s="128">
        <f>ROUND(COUNTIF(EG2:EG31,"G")*100/EG32,0)</f>
        <v>0</v>
      </c>
      <c r="EH39" s="128">
        <f>ROUND(COUNTIF(EH2:EH31,"G")*100/EH32,0)</f>
        <v>0</v>
      </c>
      <c r="EI39" s="128">
        <f>ROUND(COUNTIF(EI2:EI31,"G")*100/EI32,0)</f>
        <v>0</v>
      </c>
      <c r="EJ39" s="128">
        <f>ROUND(COUNTIF(EJ2:EJ31,"G")*100/EJ32,0)</f>
        <v>0</v>
      </c>
      <c r="EK39" s="128">
        <f>ROUND(COUNTIF(EK2:EK31,"G")*100/EK32,0)</f>
        <v>0</v>
      </c>
      <c r="EL39" s="128">
        <f>ROUND(COUNTIF(EL2:EL31,"G")*100/EL32,0)</f>
        <v>0</v>
      </c>
      <c r="EM39" s="128">
        <f>ROUND(COUNTIF(EM2:EM31,"G")*100/EM32,0)</f>
        <v>0</v>
      </c>
      <c r="EN39" s="128">
        <f>ROUND(COUNTIF(EN2:EN31,"G")*100/EN32,0)</f>
        <v>0</v>
      </c>
      <c r="EO39" s="128">
        <f>ROUND(COUNTIF(EO2:EO31,"G")*100/EO32,0)</f>
        <v>0</v>
      </c>
      <c r="EP39" s="128">
        <f>ROUND(COUNTIF(EP2:EP31,"G")*100/EP32,0)</f>
        <v>0</v>
      </c>
      <c r="EQ39" s="128">
        <f>ROUND(COUNTIF(EQ2:EQ31,"G")*100/EQ32,0)</f>
        <v>0</v>
      </c>
      <c r="ER39" s="128">
        <f>ROUND(COUNTIF(ER2:ER31,"G")*100/ER32,0)</f>
        <v>0</v>
      </c>
      <c r="ES39" s="128">
        <f>ROUND(COUNTIF(ES2:ES31,"G")*100/ES32,0)</f>
        <v>0</v>
      </c>
      <c r="ET39" s="128">
        <f>ROUND(COUNTIF(ET2:ET31,"G")*100/ET32,0)</f>
        <v>0</v>
      </c>
      <c r="EU39" s="128">
        <f>ROUND(COUNTIF(EU2:EU31,"G")*100/EU32,0)</f>
        <v>0</v>
      </c>
      <c r="EV39" s="128">
        <f>ROUND(COUNTIF(EV2:EV31,"G")*100/EV32,0)</f>
        <v>0</v>
      </c>
      <c r="EW39" s="128">
        <f>ROUND(COUNTIF(EW2:EW31,"G")*100/EW32,0)</f>
        <v>0</v>
      </c>
      <c r="EX39" s="128">
        <f>ROUND(COUNTIF(EX2:EX31,"G")*100/EX32,0)</f>
        <v>0</v>
      </c>
      <c r="EY39" s="128">
        <f>ROUND(COUNTIF(EY2:EY31,"G")*100/EY32,0)</f>
        <v>0</v>
      </c>
      <c r="EZ39" s="128">
        <f>ROUND(COUNTIF(EZ2:EZ31,"G")*100/EZ32,0)</f>
        <v>0</v>
      </c>
      <c r="FA39" s="128">
        <f>ROUND(COUNTIF(FA2:FA31,"G")*100/FA32,0)</f>
        <v>0</v>
      </c>
      <c r="FB39" s="128">
        <f>ROUND(COUNTIF(FB2:FB31,"G")*100/FB32,0)</f>
        <v>0</v>
      </c>
      <c r="FC39" s="128">
        <f>ROUND(COUNTIF(FC2:FC31,"G")*100/FC32,0)</f>
        <v>0</v>
      </c>
      <c r="FD39" s="128">
        <f>ROUND(COUNTIF(FD2:FD31,"G")*100/FD32,0)</f>
        <v>0</v>
      </c>
      <c r="FE39" s="128">
        <f>ROUND(COUNTIF(FE2:FE31,"G")*100/FE32,0)</f>
        <v>0</v>
      </c>
      <c r="FF39" s="128">
        <f>ROUND(COUNTIF(FF2:FF31,"G")*100/FF32,0)</f>
        <v>0</v>
      </c>
      <c r="FG39" s="128">
        <f>ROUND(COUNTIF(FG2:FG31,"G")*100/FG32,0)</f>
        <v>0</v>
      </c>
      <c r="FH39" s="128">
        <f>ROUND(COUNTIF(FH2:FH31,"G")*100/FH32,0)</f>
        <v>0</v>
      </c>
      <c r="FI39" s="128">
        <f>ROUND(COUNTIF(FI2:FI31,"G")*100/FI32,0)</f>
        <v>0</v>
      </c>
      <c r="FJ39" s="128">
        <f>ROUND(COUNTIF(FJ2:FJ31,"G")*100/FJ32,0)</f>
        <v>0</v>
      </c>
      <c r="FK39" s="128">
        <f>ROUND(COUNTIF(FK2:FK31,"G")*100/FK32,0)</f>
        <v>0</v>
      </c>
      <c r="FL39" s="128">
        <f>ROUND(COUNTIF(FL2:FL31,"G")*100/FL32,0)</f>
        <v>0</v>
      </c>
      <c r="FM39" s="128">
        <f>ROUND(COUNTIF(FM2:FM31,"G")*100/FM32,0)</f>
        <v>0</v>
      </c>
      <c r="FN39" s="128">
        <f>ROUND(COUNTIF(FN2:FN31,"G")*100/FN32,0)</f>
        <v>0</v>
      </c>
      <c r="FO39" s="128">
        <f>ROUND(COUNTIF(FO2:FO31,"G")*100/FO32,0)</f>
        <v>0</v>
      </c>
      <c r="FP39" s="128">
        <f>ROUND(COUNTIF(FP2:FP31,"G")*100/FP32,0)</f>
        <v>0</v>
      </c>
      <c r="FQ39" s="128">
        <f>ROUND(COUNTIF(FQ2:FQ31,"G")*100/FQ32,0)</f>
        <v>0</v>
      </c>
      <c r="FR39" s="128">
        <f>ROUND(COUNTIF(FR2:FR31,"G")*100/FR32,0)</f>
        <v>0</v>
      </c>
      <c r="FS39" s="128">
        <f>ROUND(COUNTIF(FS2:FS31,"G")*100/FS32,0)</f>
        <v>0</v>
      </c>
      <c r="FT39" s="128">
        <f>ROUND(COUNTIF(FT2:FT31,"G")*100/FT32,0)</f>
        <v>0</v>
      </c>
      <c r="FU39" s="128">
        <f>ROUND(COUNTIF(FU2:FU31,"G")*100/FU32,0)</f>
        <v>0</v>
      </c>
      <c r="FV39" s="128">
        <f>ROUND(COUNTIF(FV2:FV31,"G")*100/FV32,0)</f>
        <v>0</v>
      </c>
      <c r="FW39" s="128">
        <f>ROUND(COUNTIF(FW2:FW31,"G")*100/FW32,0)</f>
        <v>0</v>
      </c>
      <c r="FX39" s="128">
        <f>ROUND(COUNTIF(FX2:FX31,"G")*100/FX32,0)</f>
        <v>0</v>
      </c>
      <c r="FY39" s="128">
        <f>ROUND(COUNTIF(FY2:FY31,"G")*100/FY32,0)</f>
        <v>0</v>
      </c>
      <c r="FZ39" s="128">
        <f>ROUND(COUNTIF(FZ2:FZ31,"G")*100/FZ32,0)</f>
        <v>0</v>
      </c>
      <c r="GA39" s="128">
        <f>ROUND(COUNTIF(GA2:GA31,"G")*100/GA32,0)</f>
        <v>0</v>
      </c>
      <c r="GB39" s="128">
        <f>ROUND(COUNTIF(GB2:GB31,"G")*100/GB32,0)</f>
        <v>0</v>
      </c>
      <c r="GC39" s="128">
        <f>ROUND(COUNTIF(GC2:GC31,"G")*100/GC32,0)</f>
        <v>0</v>
      </c>
      <c r="GD39" s="128">
        <f>ROUND(COUNTIF(GD2:GD31,"G")*100/GD32,0)</f>
        <v>0</v>
      </c>
      <c r="GE39" s="128">
        <f>ROUND(COUNTIF(GE2:GE31,"G")*100/GE32,0)</f>
        <v>0</v>
      </c>
      <c r="GF39" s="128">
        <f>ROUND(COUNTIF(GF2:GF31,"G")*100/GF32,0)</f>
        <v>0</v>
      </c>
      <c r="GG39" s="128">
        <f>ROUND(COUNTIF(GG2:GG31,"G")*100/GG32,0)</f>
        <v>0</v>
      </c>
      <c r="GH39" s="128">
        <f>ROUND(COUNTIF(GH2:GH31,"G")*100/GH32,0)</f>
        <v>0</v>
      </c>
      <c r="GI39" s="128">
        <f>ROUND(COUNTIF(GI2:GI31,"G")*100/GI32,0)</f>
        <v>0</v>
      </c>
      <c r="GJ39" s="128">
        <f>ROUND(COUNTIF(GJ2:GJ31,"G")*100/GJ32,0)</f>
        <v>0</v>
      </c>
      <c r="GK39" s="128">
        <f>ROUND(COUNTIF(GK2:GK31,"G")*100/GK32,0)</f>
        <v>0</v>
      </c>
      <c r="GL39" s="128">
        <f>ROUND(COUNTIF(GL2:GL31,"G")*100/GL32,0)</f>
        <v>0</v>
      </c>
      <c r="GM39" s="128">
        <f>ROUND(COUNTIF(GM2:GM31,"G")*100/GM32,0)</f>
        <v>0</v>
      </c>
      <c r="GN39" s="128">
        <f>ROUND(COUNTIF(GN2:GN31,"G")*100/GN32,0)</f>
        <v>0</v>
      </c>
      <c r="GO39" s="128">
        <f>ROUND(COUNTIF(GO2:GO31,"G")*100/GO32,0)</f>
        <v>0</v>
      </c>
      <c r="GP39" s="128">
        <f>ROUND(COUNTIF(GP2:GP31,"G")*100/GP32,0)</f>
        <v>0</v>
      </c>
      <c r="GQ39" s="128">
        <f>ROUND(COUNTIF(GQ2:GQ31,"G")*100/GQ32,0)</f>
        <v>0</v>
      </c>
      <c r="GR39" s="128">
        <f>ROUND(COUNTIF(GR2:GR31,"G")*100/GR32,0)</f>
        <v>0</v>
      </c>
      <c r="GS39" s="128">
        <f>ROUND(COUNTIF(GS2:GS31,"G")*100/GS32,0)</f>
        <v>0</v>
      </c>
      <c r="GT39" s="128">
        <f>ROUND(COUNTIF(GT2:GT31,"G")*100/GT32,0)</f>
        <v>0</v>
      </c>
      <c r="GU39" s="128">
        <f>ROUND(COUNTIF(GU2:GU31,"G")*100/GU32,0)</f>
        <v>0</v>
      </c>
      <c r="GV39" s="128">
        <f>ROUND(COUNTIF(GV2:GV31,"G")*100/GV32,0)</f>
        <v>0</v>
      </c>
      <c r="GW39" s="128">
        <f>ROUND(COUNTIF(GW2:GW31,"G")*100/GW32,0)</f>
        <v>0</v>
      </c>
      <c r="GX39" s="128">
        <f>ROUND(COUNTIF(GX2:GX31,"G")*100/GX32,0)</f>
        <v>0</v>
      </c>
      <c r="GY39" s="128">
        <f>ROUND(COUNTIF(GY2:GY31,"G")*100/GY32,0)</f>
        <v>0</v>
      </c>
      <c r="GZ39" s="128">
        <f>ROUND(COUNTIF(GZ2:GZ31,"G")*100/GZ32,0)</f>
        <v>0</v>
      </c>
      <c r="HA39" s="128">
        <f>ROUND(COUNTIF(HA2:HA31,"G")*100/HA32,0)</f>
        <v>0</v>
      </c>
      <c r="HB39" s="128">
        <f>ROUND(COUNTIF(HB2:HB31,"G")*100/HB32,0)</f>
        <v>0</v>
      </c>
      <c r="HC39" s="128">
        <f>ROUND(COUNTIF(HC2:HC31,"G")*100/HC32,0)</f>
        <v>0</v>
      </c>
      <c r="HD39" s="128">
        <f>ROUND(COUNTIF(HD2:HD31,"G")*100/HD32,0)</f>
        <v>0</v>
      </c>
      <c r="HE39" s="128">
        <f>ROUND(COUNTIF(HE2:HE31,"G")*100/HE32,0)</f>
        <v>0</v>
      </c>
      <c r="HF39" s="128">
        <f>ROUND(COUNTIF(HF2:HF31,"G")*100/HF32,0)</f>
        <v>0</v>
      </c>
      <c r="HG39" s="128">
        <f>ROUND(COUNTIF(HG2:HG31,"G")*100/HG32,0)</f>
        <v>0</v>
      </c>
      <c r="HH39" s="128">
        <f>ROUND(COUNTIF(HH2:HH31,"G")*100/HH32,0)</f>
        <v>0</v>
      </c>
      <c r="HI39" s="128">
        <f>ROUND(COUNTIF(HI2:HI31,"G")*100/HI32,0)</f>
        <v>0</v>
      </c>
      <c r="HJ39" s="128">
        <f>ROUND(COUNTIF(HJ2:HJ31,"G")*100/HJ32,0)</f>
        <v>0</v>
      </c>
      <c r="HK39" s="128">
        <f>ROUND(COUNTIF(HK2:HK31,"G")*100/HK32,0)</f>
        <v>0</v>
      </c>
      <c r="HL39" s="128">
        <f>ROUND(COUNTIF(HL2:HL31,"G")*100/HL32,0)</f>
        <v>0</v>
      </c>
      <c r="HM39" s="128">
        <f>ROUND(COUNTIF(HM2:HM31,"G")*100/HM32,0)</f>
        <v>0</v>
      </c>
      <c r="HN39" s="128">
        <f>ROUND(COUNTIF(HN2:HN31,"G")*100/HN32,0)</f>
        <v>0</v>
      </c>
      <c r="HO39" s="128">
        <f>ROUND(COUNTIF(HO2:HO31,"G")*100/HO32,0)</f>
        <v>0</v>
      </c>
      <c r="HP39" s="128">
        <f>ROUND(COUNTIF(HP2:HP31,"G")*100/HP32,0)</f>
        <v>0</v>
      </c>
      <c r="HQ39" s="128">
        <f>ROUND(COUNTIF(HQ2:HQ31,"G")*100/HQ32,0)</f>
        <v>0</v>
      </c>
      <c r="HR39" s="128">
        <f>ROUND(COUNTIF(HR2:HR31,"G")*100/HR32,0)</f>
        <v>0</v>
      </c>
      <c r="HS39" s="128">
        <f>ROUND(COUNTIF(HS2:HS31,"G")*100/HS32,0)</f>
        <v>0</v>
      </c>
      <c r="HT39" s="128">
        <f>ROUND(COUNTIF(HT2:HT31,"G")*100/HT32,0)</f>
        <v>0</v>
      </c>
      <c r="HU39" s="128">
        <f>ROUND(COUNTIF(HU2:HU31,"G")*100/HU32,0)</f>
        <v>0</v>
      </c>
      <c r="HV39" s="128">
        <f>ROUND(COUNTIF(HV2:HV31,"G")*100/HV32,0)</f>
        <v>0</v>
      </c>
      <c r="HW39" s="128">
        <f>ROUND(COUNTIF(HW2:HW31,"G")*100/HW32,0)</f>
        <v>0</v>
      </c>
      <c r="HX39" s="128">
        <f>ROUND(COUNTIF(HX2:HX31,"G")*100/HX32,0)</f>
        <v>0</v>
      </c>
      <c r="HY39" s="128">
        <f>ROUND(COUNTIF(HY2:HY31,"G")*100/HY32,0)</f>
        <v>0</v>
      </c>
      <c r="HZ39" s="128">
        <f>ROUND(COUNTIF(HZ2:HZ31,"G")*100/HZ32,0)</f>
        <v>0</v>
      </c>
      <c r="IA39" s="128">
        <f>ROUND(COUNTIF(IA2:IA31,"G")*100/IA32,0)</f>
        <v>0</v>
      </c>
      <c r="IB39" s="128">
        <f>ROUND(COUNTIF(IB2:IB31,"G")*100/IB32,0)</f>
        <v>0</v>
      </c>
      <c r="IC39" s="128">
        <f>ROUND(COUNTIF(IC2:IC31,"G")*100/IC32,0)</f>
        <v>0</v>
      </c>
      <c r="ID39" s="128">
        <f>ROUND(COUNTIF(ID2:ID31,"G")*100/ID32,0)</f>
        <v>0</v>
      </c>
      <c r="IE39" s="128">
        <f>ROUND(COUNTIF(IE2:IE31,"G")*100/IE32,0)</f>
        <v>0</v>
      </c>
      <c r="IF39" s="128">
        <f>ROUND(COUNTIF(IF2:IF31,"G")*100/IF32,0)</f>
        <v>0</v>
      </c>
      <c r="IG39" s="128">
        <f>ROUND(COUNTIF(IG2:IG31,"G")*100/IG32,0)</f>
        <v>0</v>
      </c>
      <c r="IH39" s="128">
        <f>ROUND(COUNTIF(IH2:IH31,"G")*100/IH32,0)</f>
        <v>0</v>
      </c>
      <c r="II39" s="128">
        <f>ROUND(COUNTIF(II2:II31,"G")*100/II32,0)</f>
        <v>0</v>
      </c>
      <c r="IJ39" s="128">
        <f>ROUND(COUNTIF(IJ2:IJ31,"G")*100/IJ32,0)</f>
        <v>0</v>
      </c>
      <c r="IK39" s="128">
        <f>ROUND(COUNTIF(IK2:IK31,"G")*100/IK32,0)</f>
        <v>0</v>
      </c>
      <c r="IL39" s="128">
        <f>ROUND(COUNTIF(IL2:IL31,"G")*100/IL32,0)</f>
        <v>0</v>
      </c>
      <c r="IM39" s="128">
        <f>ROUND(COUNTIF(IM2:IM31,"G")*100/IM32,0)</f>
        <v>0</v>
      </c>
      <c r="IN39" s="128">
        <f>ROUND(COUNTIF(IN2:IN31,"G")*100/IN32,0)</f>
        <v>0</v>
      </c>
      <c r="IO39" s="128">
        <f>ROUND(COUNTIF(IO2:IO31,"G")*100/IO32,0)</f>
        <v>0</v>
      </c>
      <c r="IP39" s="128">
        <f>ROUND(COUNTIF(IP2:IP31,"G")*100/IP32,0)</f>
        <v>0</v>
      </c>
      <c r="IQ39" s="128">
        <f>ROUND(COUNTIF(IQ2:IQ31,"G")*100/IQ32,0)</f>
        <v>0</v>
      </c>
      <c r="IR39" s="128">
        <f>ROUND(COUNTIF(IR2:IR31,"G")*100/IR32,0)</f>
        <v>0</v>
      </c>
    </row>
    <row r="40" spans="4:252" s="65" customFormat="1" x14ac:dyDescent="0.35">
      <c r="D40" s="138" t="s">
        <v>345</v>
      </c>
      <c r="L40" s="138"/>
      <c r="EB40" s="65" t="s">
        <v>1649</v>
      </c>
      <c r="EC40" s="128">
        <f>COUNTBLANK(EC2:EC31)</f>
        <v>0</v>
      </c>
      <c r="ED40" s="128">
        <f>COUNTBLANK(ED2:ED31)</f>
        <v>0</v>
      </c>
      <c r="EE40" s="128">
        <f>COUNTBLANK(EE2:EE31)</f>
        <v>0</v>
      </c>
      <c r="EF40" s="128">
        <f>COUNTBLANK(EF2:EF31)</f>
        <v>0</v>
      </c>
      <c r="EG40" s="128">
        <f>COUNTBLANK(EG2:EG31)</f>
        <v>0</v>
      </c>
      <c r="EH40" s="128">
        <f>COUNTBLANK(EH2:EH31)</f>
        <v>0</v>
      </c>
      <c r="EI40" s="128">
        <f>COUNTBLANK(EI2:EI31)</f>
        <v>0</v>
      </c>
      <c r="EJ40" s="128">
        <f>COUNTBLANK(EJ2:EJ31)</f>
        <v>0</v>
      </c>
      <c r="EK40" s="128">
        <f>COUNTBLANK(EK2:EK31)</f>
        <v>0</v>
      </c>
      <c r="EL40" s="128">
        <f>COUNTBLANK(EL2:EL31)</f>
        <v>0</v>
      </c>
      <c r="EM40" s="128">
        <f>COUNTBLANK(EM2:EM31)</f>
        <v>0</v>
      </c>
      <c r="EN40" s="128">
        <f>COUNTBLANK(EN2:EN31)</f>
        <v>0</v>
      </c>
      <c r="EO40" s="128">
        <f>COUNTBLANK(EO2:EO31)</f>
        <v>0</v>
      </c>
      <c r="EP40" s="128">
        <f>COUNTBLANK(EP2:EP31)</f>
        <v>0</v>
      </c>
      <c r="EQ40" s="128">
        <f>COUNTBLANK(EQ2:EQ31)</f>
        <v>0</v>
      </c>
      <c r="ER40" s="128">
        <f>COUNTBLANK(ER2:ER31)</f>
        <v>0</v>
      </c>
      <c r="ES40" s="128">
        <f>COUNTBLANK(ES2:ES31)</f>
        <v>0</v>
      </c>
      <c r="ET40" s="128">
        <f>COUNTBLANK(ET2:ET31)</f>
        <v>0</v>
      </c>
      <c r="EU40" s="128">
        <f>COUNTBLANK(EU2:EU31)</f>
        <v>0</v>
      </c>
      <c r="EV40" s="128">
        <f>COUNTBLANK(EV2:EV31)</f>
        <v>0</v>
      </c>
      <c r="EW40" s="128">
        <f>COUNTBLANK(EW2:EW31)</f>
        <v>0</v>
      </c>
      <c r="EX40" s="128">
        <f>COUNTBLANK(EX2:EX31)</f>
        <v>0</v>
      </c>
      <c r="EY40" s="128">
        <f>COUNTBLANK(EY2:EY31)</f>
        <v>0</v>
      </c>
      <c r="EZ40" s="128">
        <f>COUNTBLANK(EZ2:EZ31)</f>
        <v>0</v>
      </c>
      <c r="FA40" s="128">
        <f>COUNTBLANK(FA2:FA31)</f>
        <v>0</v>
      </c>
      <c r="FB40" s="128">
        <f>COUNTBLANK(FB2:FB31)</f>
        <v>0</v>
      </c>
      <c r="FC40" s="128">
        <f>COUNTBLANK(FC2:FC31)</f>
        <v>0</v>
      </c>
      <c r="FD40" s="128">
        <f>COUNTBLANK(FD2:FD31)</f>
        <v>0</v>
      </c>
      <c r="FE40" s="128">
        <f>COUNTBLANK(FE2:FE31)</f>
        <v>0</v>
      </c>
      <c r="FF40" s="128">
        <f>COUNTBLANK(FF2:FF31)</f>
        <v>0</v>
      </c>
      <c r="FG40" s="128">
        <f>COUNTBLANK(FG2:FG31)</f>
        <v>0</v>
      </c>
      <c r="FH40" s="128">
        <f>COUNTBLANK(FH2:FH31)</f>
        <v>0</v>
      </c>
      <c r="FI40" s="128">
        <f>COUNTBLANK(FI2:FI31)</f>
        <v>0</v>
      </c>
      <c r="FJ40" s="128">
        <f>COUNTBLANK(FJ2:FJ31)</f>
        <v>0</v>
      </c>
      <c r="FK40" s="128">
        <f>COUNTBLANK(FK2:FK31)</f>
        <v>0</v>
      </c>
      <c r="FL40" s="128">
        <f>COUNTBLANK(FL2:FL31)</f>
        <v>0</v>
      </c>
      <c r="FM40" s="128">
        <f>COUNTBLANK(FM2:FM31)</f>
        <v>0</v>
      </c>
      <c r="FN40" s="128">
        <f>COUNTBLANK(FN2:FN31)</f>
        <v>0</v>
      </c>
      <c r="FO40" s="128">
        <f>COUNTBLANK(FO2:FO31)</f>
        <v>0</v>
      </c>
      <c r="FP40" s="128">
        <f>COUNTBLANK(FP2:FP31)</f>
        <v>0</v>
      </c>
      <c r="FQ40" s="128">
        <f>COUNTBLANK(FQ2:FQ31)</f>
        <v>0</v>
      </c>
      <c r="FR40" s="128">
        <f>COUNTBLANK(FR2:FR31)</f>
        <v>0</v>
      </c>
      <c r="FS40" s="128">
        <f>COUNTBLANK(FS2:FS31)</f>
        <v>0</v>
      </c>
      <c r="FT40" s="128">
        <f>COUNTBLANK(FT2:FT31)</f>
        <v>0</v>
      </c>
      <c r="FU40" s="128">
        <f>COUNTBLANK(FU2:FU31)</f>
        <v>1</v>
      </c>
      <c r="FV40" s="128">
        <f>COUNTBLANK(FV2:FV31)</f>
        <v>0</v>
      </c>
      <c r="FW40" s="128">
        <f>COUNTBLANK(FW2:FW31)</f>
        <v>0</v>
      </c>
      <c r="FX40" s="128">
        <f>COUNTBLANK(FX2:FX31)</f>
        <v>0</v>
      </c>
      <c r="FY40" s="128">
        <f>COUNTBLANK(FY2:FY31)</f>
        <v>0</v>
      </c>
      <c r="FZ40" s="128">
        <f>COUNTBLANK(FZ2:FZ31)</f>
        <v>0</v>
      </c>
      <c r="GA40" s="128">
        <f>COUNTBLANK(GA2:GA31)</f>
        <v>0</v>
      </c>
      <c r="GB40" s="128">
        <f>COUNTBLANK(GB2:GB31)</f>
        <v>0</v>
      </c>
      <c r="GC40" s="128">
        <f>COUNTBLANK(GC2:GC31)</f>
        <v>0</v>
      </c>
      <c r="GD40" s="128">
        <f>COUNTBLANK(GD2:GD31)</f>
        <v>0</v>
      </c>
      <c r="GE40" s="128">
        <f>COUNTBLANK(GE2:GE31)</f>
        <v>0</v>
      </c>
      <c r="GF40" s="128">
        <f>COUNTBLANK(GF2:GF31)</f>
        <v>0</v>
      </c>
      <c r="GG40" s="128">
        <f>COUNTBLANK(GG2:GG31)</f>
        <v>0</v>
      </c>
      <c r="GH40" s="128">
        <f>COUNTBLANK(GH2:GH31)</f>
        <v>0</v>
      </c>
      <c r="GI40" s="128">
        <f>COUNTBLANK(GI2:GI31)</f>
        <v>0</v>
      </c>
      <c r="GJ40" s="128">
        <f>COUNTBLANK(GJ2:GJ31)</f>
        <v>0</v>
      </c>
      <c r="GK40" s="128">
        <f>COUNTBLANK(GK2:GK31)</f>
        <v>0</v>
      </c>
      <c r="GL40" s="128">
        <f>COUNTBLANK(GL2:GL31)</f>
        <v>0</v>
      </c>
      <c r="GM40" s="128">
        <f>COUNTBLANK(GM2:GM31)</f>
        <v>0</v>
      </c>
      <c r="GN40" s="128">
        <f>COUNTBLANK(GN2:GN31)</f>
        <v>0</v>
      </c>
      <c r="GO40" s="128">
        <f>COUNTBLANK(GO2:GO31)</f>
        <v>0</v>
      </c>
      <c r="GP40" s="128">
        <f>COUNTBLANK(GP2:GP31)</f>
        <v>0</v>
      </c>
      <c r="GQ40" s="128">
        <f>COUNTBLANK(GQ2:GQ31)</f>
        <v>0</v>
      </c>
      <c r="GR40" s="128">
        <f>COUNTBLANK(GR2:GR31)</f>
        <v>0</v>
      </c>
      <c r="GS40" s="128">
        <f>COUNTBLANK(GS2:GS31)</f>
        <v>0</v>
      </c>
      <c r="GT40" s="128">
        <f>COUNTBLANK(GT2:GT31)</f>
        <v>0</v>
      </c>
      <c r="GU40" s="128">
        <f>COUNTBLANK(GU2:GU31)</f>
        <v>0</v>
      </c>
      <c r="GV40" s="128">
        <f>COUNTBLANK(GV2:GV31)</f>
        <v>0</v>
      </c>
      <c r="GW40" s="128">
        <f>COUNTBLANK(GW2:GW31)</f>
        <v>0</v>
      </c>
      <c r="GX40" s="128">
        <f>COUNTBLANK(GX2:GX31)</f>
        <v>0</v>
      </c>
      <c r="GY40" s="128">
        <f>COUNTBLANK(GY2:GY31)</f>
        <v>0</v>
      </c>
      <c r="GZ40" s="128">
        <f>COUNTBLANK(GZ2:GZ31)</f>
        <v>0</v>
      </c>
      <c r="HA40" s="128">
        <f>COUNTBLANK(HA2:HA31)</f>
        <v>0</v>
      </c>
      <c r="HB40" s="128">
        <f>COUNTBLANK(HB2:HB31)</f>
        <v>0</v>
      </c>
      <c r="HC40" s="128">
        <f>COUNTBLANK(HC2:HC31)</f>
        <v>0</v>
      </c>
      <c r="HD40" s="128">
        <f>COUNTBLANK(HD2:HD31)</f>
        <v>0</v>
      </c>
      <c r="HE40" s="128">
        <f>COUNTBLANK(HE2:HE31)</f>
        <v>0</v>
      </c>
      <c r="HF40" s="128">
        <f>COUNTBLANK(HF2:HF31)</f>
        <v>0</v>
      </c>
      <c r="HG40" s="128">
        <f>COUNTBLANK(HG2:HG31)</f>
        <v>0</v>
      </c>
      <c r="HH40" s="128">
        <f>COUNTBLANK(HH2:HH31)</f>
        <v>0</v>
      </c>
      <c r="HI40" s="128">
        <f>COUNTBLANK(HI2:HI31)</f>
        <v>0</v>
      </c>
      <c r="HJ40" s="128">
        <f>COUNTBLANK(HJ2:HJ31)</f>
        <v>0</v>
      </c>
      <c r="HK40" s="128">
        <f>COUNTBLANK(HK2:HK31)</f>
        <v>0</v>
      </c>
      <c r="HL40" s="128">
        <f>COUNTBLANK(HL2:HL31)</f>
        <v>0</v>
      </c>
      <c r="HM40" s="128">
        <f>COUNTBLANK(HM2:HM31)</f>
        <v>0</v>
      </c>
      <c r="HN40" s="128">
        <f>COUNTBLANK(HN2:HN31)</f>
        <v>0</v>
      </c>
      <c r="HO40" s="128">
        <f>COUNTBLANK(HO2:HO31)</f>
        <v>0</v>
      </c>
      <c r="HP40" s="128">
        <f>COUNTBLANK(HP2:HP31)</f>
        <v>0</v>
      </c>
      <c r="HQ40" s="128">
        <f>COUNTBLANK(HQ2:HQ31)</f>
        <v>0</v>
      </c>
      <c r="HR40" s="128">
        <f>COUNTBLANK(HR2:HR31)</f>
        <v>0</v>
      </c>
      <c r="HS40" s="128">
        <f>COUNTBLANK(HS2:HS31)</f>
        <v>0</v>
      </c>
      <c r="HT40" s="128">
        <f>COUNTBLANK(HT2:HT31)</f>
        <v>0</v>
      </c>
      <c r="HU40" s="128">
        <f>COUNTBLANK(HU2:HU31)</f>
        <v>1</v>
      </c>
      <c r="HV40" s="128">
        <f>COUNTBLANK(HV2:HV31)</f>
        <v>0</v>
      </c>
      <c r="HW40" s="128">
        <f>COUNTBLANK(HW2:HW31)</f>
        <v>0</v>
      </c>
      <c r="HX40" s="128">
        <f>COUNTBLANK(HX2:HX31)</f>
        <v>0</v>
      </c>
      <c r="HY40" s="128">
        <f>COUNTBLANK(HY2:HY31)</f>
        <v>0</v>
      </c>
      <c r="HZ40" s="128">
        <f>COUNTBLANK(HZ2:HZ31)</f>
        <v>0</v>
      </c>
      <c r="IA40" s="128">
        <f>COUNTBLANK(IA2:IA31)</f>
        <v>0</v>
      </c>
      <c r="IB40" s="128">
        <f>COUNTBLANK(IB2:IB31)</f>
        <v>0</v>
      </c>
      <c r="IC40" s="128">
        <f>COUNTBLANK(IC2:IC31)</f>
        <v>0</v>
      </c>
      <c r="ID40" s="128">
        <f>COUNTBLANK(ID2:ID31)</f>
        <v>0</v>
      </c>
      <c r="IE40" s="128">
        <f>COUNTBLANK(IE2:IE31)</f>
        <v>0</v>
      </c>
      <c r="IF40" s="128">
        <f>COUNTBLANK(IF2:IF31)</f>
        <v>0</v>
      </c>
      <c r="IG40" s="128">
        <f>COUNTBLANK(IG2:IG31)</f>
        <v>0</v>
      </c>
      <c r="IH40" s="128">
        <f>COUNTBLANK(IH2:IH31)</f>
        <v>0</v>
      </c>
      <c r="II40" s="128">
        <f>COUNTBLANK(II2:II31)</f>
        <v>0</v>
      </c>
      <c r="IJ40" s="128">
        <f>COUNTBLANK(IJ2:IJ31)</f>
        <v>0</v>
      </c>
      <c r="IK40" s="128">
        <f>COUNTBLANK(IK2:IK31)</f>
        <v>0</v>
      </c>
      <c r="IL40" s="128">
        <f>COUNTBLANK(IL2:IL31)</f>
        <v>0</v>
      </c>
      <c r="IM40" s="128">
        <f>COUNTBLANK(IM2:IM31)</f>
        <v>0</v>
      </c>
      <c r="IN40" s="128">
        <f>COUNTBLANK(IN2:IN31)</f>
        <v>0</v>
      </c>
      <c r="IO40" s="128">
        <f>COUNTBLANK(IO2:IO31)</f>
        <v>1</v>
      </c>
      <c r="IP40" s="128">
        <f>COUNTBLANK(IP2:IP31)</f>
        <v>0</v>
      </c>
      <c r="IQ40" s="128">
        <f>COUNTBLANK(IQ2:IQ31)</f>
        <v>1</v>
      </c>
      <c r="IR40" s="128">
        <f>COUNTBLANK(IR2:IR31)</f>
        <v>0</v>
      </c>
    </row>
    <row r="41" spans="4:252" s="65" customFormat="1" x14ac:dyDescent="0.35">
      <c r="D41" s="138" t="s">
        <v>346</v>
      </c>
      <c r="L41" s="138"/>
      <c r="EB41" s="65" t="s">
        <v>1648</v>
      </c>
      <c r="EC41" s="128">
        <f>EC32-(COUNTIF(EC2:EC31,"A")+COUNTIF(EC2:EC31,"B")+COUNTIF(EC2:EC31,"C")+COUNTIF(EC2:EC31,"D")+COUNTIF(EC2:EC31,"E")+COUNTIF(EC2:EC31,"F")+COUNTIF(EC2:EC31,"G")+EC40)</f>
        <v>0</v>
      </c>
      <c r="ED41" s="128">
        <f>ED32-(COUNTIF(ED2:ED31,"A")+COUNTIF(ED2:ED31,"B")+COUNTIF(ED2:ED31,"C")+COUNTIF(ED2:ED31,"D")+COUNTIF(ED2:ED31,"E")+COUNTIF(ED2:ED31,"F")+COUNTIF(ED2:ED31,"G")+ED40)</f>
        <v>0</v>
      </c>
      <c r="EE41" s="128">
        <f>EE32-(COUNTIF(EE2:EE31,"A")+COUNTIF(EE2:EE31,"B")+COUNTIF(EE2:EE31,"C")+COUNTIF(EE2:EE31,"D")+COUNTIF(EE2:EE31,"E")+COUNTIF(EE2:EE31,"F")+COUNTIF(EE2:EE31,"G")+EE40)</f>
        <v>0</v>
      </c>
      <c r="EF41" s="128">
        <f>EF32-(COUNTIF(EF2:EF31,"A")+COUNTIF(EF2:EF31,"B")+COUNTIF(EF2:EF31,"C")+COUNTIF(EF2:EF31,"D")+COUNTIF(EF2:EF31,"E")+COUNTIF(EF2:EF31,"F")+COUNTIF(EF2:EF31,"G")+EF40)</f>
        <v>0</v>
      </c>
      <c r="EG41" s="128">
        <f>EG32-(COUNTIF(EG2:EG31,"A")+COUNTIF(EG2:EG31,"B")+COUNTIF(EG2:EG31,"C")+COUNTIF(EG2:EG31,"D")+COUNTIF(EG2:EG31,"E")+COUNTIF(EG2:EG31,"F")+COUNTIF(EG2:EG31,"G")+EG40)</f>
        <v>0</v>
      </c>
      <c r="EH41" s="128">
        <f>EH32-(COUNTIF(EH2:EH31,"A")+COUNTIF(EH2:EH31,"B")+COUNTIF(EH2:EH31,"C")+COUNTIF(EH2:EH31,"D")+COUNTIF(EH2:EH31,"E")+COUNTIF(EH2:EH31,"F")+COUNTIF(EH2:EH31,"G")+EH40)</f>
        <v>0</v>
      </c>
      <c r="EI41" s="128">
        <f>EI32-(COUNTIF(EI2:EI31,"A")+COUNTIF(EI2:EI31,"B")+COUNTIF(EI2:EI31,"C")+COUNTIF(EI2:EI31,"D")+COUNTIF(EI2:EI31,"E")+COUNTIF(EI2:EI31,"F")+COUNTIF(EI2:EI31,"G")+EI40)</f>
        <v>0</v>
      </c>
      <c r="EJ41" s="128">
        <f>EJ32-(COUNTIF(EJ2:EJ31,"A")+COUNTIF(EJ2:EJ31,"B")+COUNTIF(EJ2:EJ31,"C")+COUNTIF(EJ2:EJ31,"D")+COUNTIF(EJ2:EJ31,"E")+COUNTIF(EJ2:EJ31,"F")+COUNTIF(EJ2:EJ31,"G")+EJ40)</f>
        <v>0</v>
      </c>
      <c r="EK41" s="128">
        <f>EK32-(COUNTIF(EK2:EK31,"A")+COUNTIF(EK2:EK31,"B")+COUNTIF(EK2:EK31,"C")+COUNTIF(EK2:EK31,"D")+COUNTIF(EK2:EK31,"E")+COUNTIF(EK2:EK31,"F")+COUNTIF(EK2:EK31,"G")+EK40)</f>
        <v>0</v>
      </c>
      <c r="EL41" s="128">
        <f>EL32-(COUNTIF(EL2:EL31,"A")+COUNTIF(EL2:EL31,"B")+COUNTIF(EL2:EL31,"C")+COUNTIF(EL2:EL31,"D")+COUNTIF(EL2:EL31,"E")+COUNTIF(EL2:EL31,"F")+COUNTIF(EL2:EL31,"G")+EL40)</f>
        <v>0</v>
      </c>
      <c r="EM41" s="128">
        <f>EM32-(COUNTIF(EM2:EM31,"A")+COUNTIF(EM2:EM31,"B")+COUNTIF(EM2:EM31,"C")+COUNTIF(EM2:EM31,"D")+COUNTIF(EM2:EM31,"E")+COUNTIF(EM2:EM31,"F")+COUNTIF(EM2:EM31,"G")+EM40)</f>
        <v>0</v>
      </c>
      <c r="EN41" s="128">
        <f>EN32-(COUNTIF(EN2:EN31,"A")+COUNTIF(EN2:EN31,"B")+COUNTIF(EN2:EN31,"C")+COUNTIF(EN2:EN31,"D")+COUNTIF(EN2:EN31,"E")+COUNTIF(EN2:EN31,"F")+COUNTIF(EN2:EN31,"G")+EN40)</f>
        <v>0</v>
      </c>
      <c r="EO41" s="128">
        <f>EO32-(COUNTIF(EO2:EO31,"A")+COUNTIF(EO2:EO31,"B")+COUNTIF(EO2:EO31,"C")+COUNTIF(EO2:EO31,"D")+COUNTIF(EO2:EO31,"E")+COUNTIF(EO2:EO31,"F")+COUNTIF(EO2:EO31,"G")+EO40)</f>
        <v>0</v>
      </c>
      <c r="EP41" s="128">
        <f>EP32-(COUNTIF(EP2:EP31,"A")+COUNTIF(EP2:EP31,"B")+COUNTIF(EP2:EP31,"C")+COUNTIF(EP2:EP31,"D")+COUNTIF(EP2:EP31,"E")+COUNTIF(EP2:EP31,"F")+COUNTIF(EP2:EP31,"G")+EP40)</f>
        <v>0</v>
      </c>
      <c r="EQ41" s="128">
        <f>EQ32-(COUNTIF(EQ2:EQ31,"A")+COUNTIF(EQ2:EQ31,"B")+COUNTIF(EQ2:EQ31,"C")+COUNTIF(EQ2:EQ31,"D")+COUNTIF(EQ2:EQ31,"E")+COUNTIF(EQ2:EQ31,"F")+COUNTIF(EQ2:EQ31,"G")+EQ40)</f>
        <v>0</v>
      </c>
      <c r="ER41" s="128">
        <f>ER32-(COUNTIF(ER2:ER31,"A")+COUNTIF(ER2:ER31,"B")+COUNTIF(ER2:ER31,"C")+COUNTIF(ER2:ER31,"D")+COUNTIF(ER2:ER31,"E")+COUNTIF(ER2:ER31,"F")+COUNTIF(ER2:ER31,"G")+ER40)</f>
        <v>0</v>
      </c>
      <c r="ES41" s="128">
        <f>ES32-(COUNTIF(ES2:ES31,"A")+COUNTIF(ES2:ES31,"B")+COUNTIF(ES2:ES31,"C")+COUNTIF(ES2:ES31,"D")+COUNTIF(ES2:ES31,"E")+COUNTIF(ES2:ES31,"F")+COUNTIF(ES2:ES31,"G")+ES40)</f>
        <v>0</v>
      </c>
      <c r="ET41" s="128">
        <f>ET32-(COUNTIF(ET2:ET31,"A")+COUNTIF(ET2:ET31,"B")+COUNTIF(ET2:ET31,"C")+COUNTIF(ET2:ET31,"D")+COUNTIF(ET2:ET31,"E")+COUNTIF(ET2:ET31,"F")+COUNTIF(ET2:ET31,"G")+ET40)</f>
        <v>0</v>
      </c>
      <c r="EU41" s="128">
        <f>EU32-(COUNTIF(EU2:EU31,"A")+COUNTIF(EU2:EU31,"B")+COUNTIF(EU2:EU31,"C")+COUNTIF(EU2:EU31,"D")+COUNTIF(EU2:EU31,"E")+COUNTIF(EU2:EU31,"F")+COUNTIF(EU2:EU31,"G")+EU40)</f>
        <v>0</v>
      </c>
      <c r="EV41" s="128">
        <f>EV32-(COUNTIF(EV2:EV31,"A")+COUNTIF(EV2:EV31,"B")+COUNTIF(EV2:EV31,"C")+COUNTIF(EV2:EV31,"D")+COUNTIF(EV2:EV31,"E")+COUNTIF(EV2:EV31,"F")+COUNTIF(EV2:EV31,"G")+EV40)</f>
        <v>0</v>
      </c>
      <c r="EW41" s="128">
        <f>EW32-(COUNTIF(EW2:EW31,"A")+COUNTIF(EW2:EW31,"B")+COUNTIF(EW2:EW31,"C")+COUNTIF(EW2:EW31,"D")+COUNTIF(EW2:EW31,"E")+COUNTIF(EW2:EW31,"F")+COUNTIF(EW2:EW31,"G")+EW40)</f>
        <v>0</v>
      </c>
      <c r="EX41" s="128">
        <f>EX32-(COUNTIF(EX2:EX31,"A")+COUNTIF(EX2:EX31,"B")+COUNTIF(EX2:EX31,"C")+COUNTIF(EX2:EX31,"D")+COUNTIF(EX2:EX31,"E")+COUNTIF(EX2:EX31,"F")+COUNTIF(EX2:EX31,"G")+EX40)</f>
        <v>0</v>
      </c>
      <c r="EY41" s="128">
        <f>EY32-(COUNTIF(EY2:EY31,"A")+COUNTIF(EY2:EY31,"B")+COUNTIF(EY2:EY31,"C")+COUNTIF(EY2:EY31,"D")+COUNTIF(EY2:EY31,"E")+COUNTIF(EY2:EY31,"F")+COUNTIF(EY2:EY31,"G")+EY40)</f>
        <v>0</v>
      </c>
      <c r="EZ41" s="128">
        <f>EZ32-(COUNTIF(EZ2:EZ31,"A")+COUNTIF(EZ2:EZ31,"B")+COUNTIF(EZ2:EZ31,"C")+COUNTIF(EZ2:EZ31,"D")+COUNTIF(EZ2:EZ31,"E")+COUNTIF(EZ2:EZ31,"F")+COUNTIF(EZ2:EZ31,"G")+EZ40)</f>
        <v>0</v>
      </c>
      <c r="FA41" s="128">
        <f>FA32-(COUNTIF(FA2:FA31,"A")+COUNTIF(FA2:FA31,"B")+COUNTIF(FA2:FA31,"C")+COUNTIF(FA2:FA31,"D")+COUNTIF(FA2:FA31,"E")+COUNTIF(FA2:FA31,"F")+COUNTIF(FA2:FA31,"G")+FA40)</f>
        <v>0</v>
      </c>
      <c r="FB41" s="128">
        <f>FB32-(COUNTIF(FB2:FB31,"A")+COUNTIF(FB2:FB31,"B")+COUNTIF(FB2:FB31,"C")+COUNTIF(FB2:FB31,"D")+COUNTIF(FB2:FB31,"E")+COUNTIF(FB2:FB31,"F")+COUNTIF(FB2:FB31,"G")+FB40)</f>
        <v>0</v>
      </c>
      <c r="FC41" s="128">
        <f>FC32-(COUNTIF(FC2:FC31,"A")+COUNTIF(FC2:FC31,"B")+COUNTIF(FC2:FC31,"C")+COUNTIF(FC2:FC31,"D")+COUNTIF(FC2:FC31,"E")+COUNTIF(FC2:FC31,"F")+COUNTIF(FC2:FC31,"G")+FC40)</f>
        <v>0</v>
      </c>
      <c r="FD41" s="128">
        <f>FD32-(COUNTIF(FD2:FD31,"A")+COUNTIF(FD2:FD31,"B")+COUNTIF(FD2:FD31,"C")+COUNTIF(FD2:FD31,"D")+COUNTIF(FD2:FD31,"E")+COUNTIF(FD2:FD31,"F")+COUNTIF(FD2:FD31,"G")+FD40)</f>
        <v>0</v>
      </c>
      <c r="FE41" s="128">
        <f>FE32-(COUNTIF(FE2:FE31,"A")+COUNTIF(FE2:FE31,"B")+COUNTIF(FE2:FE31,"C")+COUNTIF(FE2:FE31,"D")+COUNTIF(FE2:FE31,"E")+COUNTIF(FE2:FE31,"F")+COUNTIF(FE2:FE31,"G")+FE40)</f>
        <v>0</v>
      </c>
      <c r="FF41" s="128">
        <f>FF32-(COUNTIF(FF2:FF31,"A")+COUNTIF(FF2:FF31,"B")+COUNTIF(FF2:FF31,"C")+COUNTIF(FF2:FF31,"D")+COUNTIF(FF2:FF31,"E")+COUNTIF(FF2:FF31,"F")+COUNTIF(FF2:FF31,"G")+FF40)</f>
        <v>0</v>
      </c>
      <c r="FG41" s="128">
        <f>FG32-(COUNTIF(FG2:FG31,"A")+COUNTIF(FG2:FG31,"B")+COUNTIF(FG2:FG31,"C")+COUNTIF(FG2:FG31,"D")+COUNTIF(FG2:FG31,"E")+COUNTIF(FG2:FG31,"F")+COUNTIF(FG2:FG31,"G")+FG40)</f>
        <v>0</v>
      </c>
      <c r="FH41" s="128">
        <f>FH32-(COUNTIF(FH2:FH31,"A")+COUNTIF(FH2:FH31,"B")+COUNTIF(FH2:FH31,"C")+COUNTIF(FH2:FH31,"D")+COUNTIF(FH2:FH31,"E")+COUNTIF(FH2:FH31,"F")+COUNTIF(FH2:FH31,"G")+FH40)</f>
        <v>0</v>
      </c>
      <c r="FI41" s="128">
        <f>FI32-(COUNTIF(FI2:FI31,"A")+COUNTIF(FI2:FI31,"B")+COUNTIF(FI2:FI31,"C")+COUNTIF(FI2:FI31,"D")+COUNTIF(FI2:FI31,"E")+COUNTIF(FI2:FI31,"F")+COUNTIF(FI2:FI31,"G")+FI40)</f>
        <v>0</v>
      </c>
      <c r="FJ41" s="128">
        <f>FJ32-(COUNTIF(FJ2:FJ31,"A")+COUNTIF(FJ2:FJ31,"B")+COUNTIF(FJ2:FJ31,"C")+COUNTIF(FJ2:FJ31,"D")+COUNTIF(FJ2:FJ31,"E")+COUNTIF(FJ2:FJ31,"F")+COUNTIF(FJ2:FJ31,"G")+FJ40)</f>
        <v>0</v>
      </c>
      <c r="FK41" s="128">
        <f>FK32-(COUNTIF(FK2:FK31,"A")+COUNTIF(FK2:FK31,"B")+COUNTIF(FK2:FK31,"C")+COUNTIF(FK2:FK31,"D")+COUNTIF(FK2:FK31,"E")+COUNTIF(FK2:FK31,"F")+COUNTIF(FK2:FK31,"G")+FK40)</f>
        <v>0</v>
      </c>
      <c r="FL41" s="128">
        <f>FL32-(COUNTIF(FL2:FL31,"A")+COUNTIF(FL2:FL31,"B")+COUNTIF(FL2:FL31,"C")+COUNTIF(FL2:FL31,"D")+COUNTIF(FL2:FL31,"E")+COUNTIF(FL2:FL31,"F")+COUNTIF(FL2:FL31,"G")+FL40)</f>
        <v>0</v>
      </c>
      <c r="FM41" s="128">
        <f>FM32-(COUNTIF(FM2:FM31,"A")+COUNTIF(FM2:FM31,"B")+COUNTIF(FM2:FM31,"C")+COUNTIF(FM2:FM31,"D")+COUNTIF(FM2:FM31,"E")+COUNTIF(FM2:FM31,"F")+COUNTIF(FM2:FM31,"G")+FM40)</f>
        <v>0</v>
      </c>
      <c r="FN41" s="128">
        <f>FN32-(COUNTIF(FN2:FN31,"A")+COUNTIF(FN2:FN31,"B")+COUNTIF(FN2:FN31,"C")+COUNTIF(FN2:FN31,"D")+COUNTIF(FN2:FN31,"E")+COUNTIF(FN2:FN31,"F")+COUNTIF(FN2:FN31,"G")+FN40)</f>
        <v>0</v>
      </c>
      <c r="FO41" s="128">
        <f>FO32-(COUNTIF(FO2:FO31,"A")+COUNTIF(FO2:FO31,"B")+COUNTIF(FO2:FO31,"C")+COUNTIF(FO2:FO31,"D")+COUNTIF(FO2:FO31,"E")+COUNTIF(FO2:FO31,"F")+COUNTIF(FO2:FO31,"G")+FO40)</f>
        <v>0</v>
      </c>
      <c r="FP41" s="128">
        <f>FP32-(COUNTIF(FP2:FP31,"A")+COUNTIF(FP2:FP31,"B")+COUNTIF(FP2:FP31,"C")+COUNTIF(FP2:FP31,"D")+COUNTIF(FP2:FP31,"E")+COUNTIF(FP2:FP31,"F")+COUNTIF(FP2:FP31,"G")+FP40)</f>
        <v>0</v>
      </c>
      <c r="FQ41" s="128">
        <f>FQ32-(COUNTIF(FQ2:FQ31,"A")+COUNTIF(FQ2:FQ31,"B")+COUNTIF(FQ2:FQ31,"C")+COUNTIF(FQ2:FQ31,"D")+COUNTIF(FQ2:FQ31,"E")+COUNTIF(FQ2:FQ31,"F")+COUNTIF(FQ2:FQ31,"G")+FQ40)</f>
        <v>0</v>
      </c>
      <c r="FR41" s="128">
        <f>FR32-(COUNTIF(FR2:FR31,"A")+COUNTIF(FR2:FR31,"B")+COUNTIF(FR2:FR31,"C")+COUNTIF(FR2:FR31,"D")+COUNTIF(FR2:FR31,"E")+COUNTIF(FR2:FR31,"F")+COUNTIF(FR2:FR31,"G")+FR40)</f>
        <v>0</v>
      </c>
      <c r="FS41" s="128">
        <f>FS32-(COUNTIF(FS2:FS31,"A")+COUNTIF(FS2:FS31,"B")+COUNTIF(FS2:FS31,"C")+COUNTIF(FS2:FS31,"D")+COUNTIF(FS2:FS31,"E")+COUNTIF(FS2:FS31,"F")+COUNTIF(FS2:FS31,"G")+FS40)</f>
        <v>0</v>
      </c>
      <c r="FT41" s="128">
        <f>FT32-(COUNTIF(FT2:FT31,"A")+COUNTIF(FT2:FT31,"B")+COUNTIF(FT2:FT31,"C")+COUNTIF(FT2:FT31,"D")+COUNTIF(FT2:FT31,"E")+COUNTIF(FT2:FT31,"F")+COUNTIF(FT2:FT31,"G")+FT40)</f>
        <v>0</v>
      </c>
      <c r="FU41" s="128">
        <f>FU32-(COUNTIF(FU2:FU31,"A")+COUNTIF(FU2:FU31,"B")+COUNTIF(FU2:FU31,"C")+COUNTIF(FU2:FU31,"D")+COUNTIF(FU2:FU31,"E")+COUNTIF(FU2:FU31,"F")+COUNTIF(FU2:FU31,"G")+FU40)</f>
        <v>0</v>
      </c>
      <c r="FV41" s="128">
        <f>FV32-(COUNTIF(FV2:FV31,"A")+COUNTIF(FV2:FV31,"B")+COUNTIF(FV2:FV31,"C")+COUNTIF(FV2:FV31,"D")+COUNTIF(FV2:FV31,"E")+COUNTIF(FV2:FV31,"F")+COUNTIF(FV2:FV31,"G")+FV40)</f>
        <v>0</v>
      </c>
      <c r="FW41" s="128">
        <f>FW32-(COUNTIF(FW2:FW31,"A")+COUNTIF(FW2:FW31,"B")+COUNTIF(FW2:FW31,"C")+COUNTIF(FW2:FW31,"D")+COUNTIF(FW2:FW31,"E")+COUNTIF(FW2:FW31,"F")+COUNTIF(FW2:FW31,"G")+FW40)</f>
        <v>0</v>
      </c>
      <c r="FX41" s="128">
        <f>FX32-(COUNTIF(FX2:FX31,"A")+COUNTIF(FX2:FX31,"B")+COUNTIF(FX2:FX31,"C")+COUNTIF(FX2:FX31,"D")+COUNTIF(FX2:FX31,"E")+COUNTIF(FX2:FX31,"F")+COUNTIF(FX2:FX31,"G")+FX40)</f>
        <v>0</v>
      </c>
      <c r="FY41" s="128">
        <f>FY32-(COUNTIF(FY2:FY31,"A")+COUNTIF(FY2:FY31,"B")+COUNTIF(FY2:FY31,"C")+COUNTIF(FY2:FY31,"D")+COUNTIF(FY2:FY31,"E")+COUNTIF(FY2:FY31,"F")+COUNTIF(FY2:FY31,"G")+FY40)</f>
        <v>0</v>
      </c>
      <c r="FZ41" s="128">
        <f>FZ32-(COUNTIF(FZ2:FZ31,"A")+COUNTIF(FZ2:FZ31,"B")+COUNTIF(FZ2:FZ31,"C")+COUNTIF(FZ2:FZ31,"D")+COUNTIF(FZ2:FZ31,"E")+COUNTIF(FZ2:FZ31,"F")+COUNTIF(FZ2:FZ31,"G")+FZ40)</f>
        <v>0</v>
      </c>
      <c r="GA41" s="128">
        <f>GA32-(COUNTIF(GA2:GA31,"A")+COUNTIF(GA2:GA31,"B")+COUNTIF(GA2:GA31,"C")+COUNTIF(GA2:GA31,"D")+COUNTIF(GA2:GA31,"E")+COUNTIF(GA2:GA31,"F")+COUNTIF(GA2:GA31,"G")+GA40)</f>
        <v>0</v>
      </c>
      <c r="GB41" s="128">
        <f>GB32-(COUNTIF(GB2:GB31,"A")+COUNTIF(GB2:GB31,"B")+COUNTIF(GB2:GB31,"C")+COUNTIF(GB2:GB31,"D")+COUNTIF(GB2:GB31,"E")+COUNTIF(GB2:GB31,"F")+COUNTIF(GB2:GB31,"G")+GB40)</f>
        <v>0</v>
      </c>
      <c r="GC41" s="128">
        <f>GC32-(COUNTIF(GC2:GC31,"A")+COUNTIF(GC2:GC31,"B")+COUNTIF(GC2:GC31,"C")+COUNTIF(GC2:GC31,"D")+COUNTIF(GC2:GC31,"E")+COUNTIF(GC2:GC31,"F")+COUNTIF(GC2:GC31,"G")+GC40)</f>
        <v>0</v>
      </c>
      <c r="GD41" s="128">
        <f>GD32-(COUNTIF(GD2:GD31,"A")+COUNTIF(GD2:GD31,"B")+COUNTIF(GD2:GD31,"C")+COUNTIF(GD2:GD31,"D")+COUNTIF(GD2:GD31,"E")+COUNTIF(GD2:GD31,"F")+COUNTIF(GD2:GD31,"G")+GD40)</f>
        <v>0</v>
      </c>
      <c r="GE41" s="128">
        <f>GE32-(COUNTIF(GE2:GE31,"A")+COUNTIF(GE2:GE31,"B")+COUNTIF(GE2:GE31,"C")+COUNTIF(GE2:GE31,"D")+COUNTIF(GE2:GE31,"E")+COUNTIF(GE2:GE31,"F")+COUNTIF(GE2:GE31,"G")+GE40)</f>
        <v>0</v>
      </c>
      <c r="GF41" s="128">
        <f>GF32-(COUNTIF(GF2:GF31,"A")+COUNTIF(GF2:GF31,"B")+COUNTIF(GF2:GF31,"C")+COUNTIF(GF2:GF31,"D")+COUNTIF(GF2:GF31,"E")+COUNTIF(GF2:GF31,"F")+COUNTIF(GF2:GF31,"G")+GF40)</f>
        <v>0</v>
      </c>
      <c r="GG41" s="128">
        <f>GG32-(COUNTIF(GG2:GG31,"A")+COUNTIF(GG2:GG31,"B")+COUNTIF(GG2:GG31,"C")+COUNTIF(GG2:GG31,"D")+COUNTIF(GG2:GG31,"E")+COUNTIF(GG2:GG31,"F")+COUNTIF(GG2:GG31,"G")+GG40)</f>
        <v>0</v>
      </c>
      <c r="GH41" s="128">
        <f>GH32-(COUNTIF(GH2:GH31,"A")+COUNTIF(GH2:GH31,"B")+COUNTIF(GH2:GH31,"C")+COUNTIF(GH2:GH31,"D")+COUNTIF(GH2:GH31,"E")+COUNTIF(GH2:GH31,"F")+COUNTIF(GH2:GH31,"G")+GH40)</f>
        <v>0</v>
      </c>
      <c r="GI41" s="128">
        <f>GI32-(COUNTIF(GI2:GI31,"A")+COUNTIF(GI2:GI31,"B")+COUNTIF(GI2:GI31,"C")+COUNTIF(GI2:GI31,"D")+COUNTIF(GI2:GI31,"E")+COUNTIF(GI2:GI31,"F")+COUNTIF(GI2:GI31,"G")+GI40)</f>
        <v>0</v>
      </c>
      <c r="GJ41" s="128">
        <f>GJ32-(COUNTIF(GJ2:GJ31,"A")+COUNTIF(GJ2:GJ31,"B")+COUNTIF(GJ2:GJ31,"C")+COUNTIF(GJ2:GJ31,"D")+COUNTIF(GJ2:GJ31,"E")+COUNTIF(GJ2:GJ31,"F")+COUNTIF(GJ2:GJ31,"G")+GJ40)</f>
        <v>0</v>
      </c>
      <c r="GK41" s="128">
        <f>GK32-(COUNTIF(GK2:GK31,"A")+COUNTIF(GK2:GK31,"B")+COUNTIF(GK2:GK31,"C")+COUNTIF(GK2:GK31,"D")+COUNTIF(GK2:GK31,"E")+COUNTIF(GK2:GK31,"F")+COUNTIF(GK2:GK31,"G")+GK40)</f>
        <v>0</v>
      </c>
      <c r="GL41" s="128">
        <f>GL32-(COUNTIF(GL2:GL31,"A")+COUNTIF(GL2:GL31,"B")+COUNTIF(GL2:GL31,"C")+COUNTIF(GL2:GL31,"D")+COUNTIF(GL2:GL31,"E")+COUNTIF(GL2:GL31,"F")+COUNTIF(GL2:GL31,"G")+GL40)</f>
        <v>0</v>
      </c>
      <c r="GM41" s="128">
        <f>GM32-(COUNTIF(GM2:GM31,"A")+COUNTIF(GM2:GM31,"B")+COUNTIF(GM2:GM31,"C")+COUNTIF(GM2:GM31,"D")+COUNTIF(GM2:GM31,"E")+COUNTIF(GM2:GM31,"F")+COUNTIF(GM2:GM31,"G")+GM40)</f>
        <v>0</v>
      </c>
      <c r="GN41" s="128">
        <f>GN32-(COUNTIF(GN2:GN31,"A")+COUNTIF(GN2:GN31,"B")+COUNTIF(GN2:GN31,"C")+COUNTIF(GN2:GN31,"D")+COUNTIF(GN2:GN31,"E")+COUNTIF(GN2:GN31,"F")+COUNTIF(GN2:GN31,"G")+GN40)</f>
        <v>0</v>
      </c>
      <c r="GO41" s="128">
        <f>GO32-(COUNTIF(GO2:GO31,"A")+COUNTIF(GO2:GO31,"B")+COUNTIF(GO2:GO31,"C")+COUNTIF(GO2:GO31,"D")+COUNTIF(GO2:GO31,"E")+COUNTIF(GO2:GO31,"F")+COUNTIF(GO2:GO31,"G")+GO40)</f>
        <v>0</v>
      </c>
      <c r="GP41" s="128">
        <f>GP32-(COUNTIF(GP2:GP31,"A")+COUNTIF(GP2:GP31,"B")+COUNTIF(GP2:GP31,"C")+COUNTIF(GP2:GP31,"D")+COUNTIF(GP2:GP31,"E")+COUNTIF(GP2:GP31,"F")+COUNTIF(GP2:GP31,"G")+GP40)</f>
        <v>0</v>
      </c>
      <c r="GQ41" s="128">
        <f>GQ32-(COUNTIF(GQ2:GQ31,"A")+COUNTIF(GQ2:GQ31,"B")+COUNTIF(GQ2:GQ31,"C")+COUNTIF(GQ2:GQ31,"D")+COUNTIF(GQ2:GQ31,"E")+COUNTIF(GQ2:GQ31,"F")+COUNTIF(GQ2:GQ31,"G")+GQ40)</f>
        <v>0</v>
      </c>
      <c r="GR41" s="128">
        <f>GR32-(COUNTIF(GR2:GR31,"A")+COUNTIF(GR2:GR31,"B")+COUNTIF(GR2:GR31,"C")+COUNTIF(GR2:GR31,"D")+COUNTIF(GR2:GR31,"E")+COUNTIF(GR2:GR31,"F")+COUNTIF(GR2:GR31,"G")+GR40)</f>
        <v>0</v>
      </c>
      <c r="GS41" s="128">
        <f>GS32-(COUNTIF(GS2:GS31,"A")+COUNTIF(GS2:GS31,"B")+COUNTIF(GS2:GS31,"C")+COUNTIF(GS2:GS31,"D")+COUNTIF(GS2:GS31,"E")+COUNTIF(GS2:GS31,"F")+COUNTIF(GS2:GS31,"G")+GS40)</f>
        <v>0</v>
      </c>
      <c r="GT41" s="128">
        <f>GT32-(COUNTIF(GT2:GT31,"A")+COUNTIF(GT2:GT31,"B")+COUNTIF(GT2:GT31,"C")+COUNTIF(GT2:GT31,"D")+COUNTIF(GT2:GT31,"E")+COUNTIF(GT2:GT31,"F")+COUNTIF(GT2:GT31,"G")+GT40)</f>
        <v>0</v>
      </c>
      <c r="GU41" s="128">
        <f>GU32-(COUNTIF(GU2:GU31,"A")+COUNTIF(GU2:GU31,"B")+COUNTIF(GU2:GU31,"C")+COUNTIF(GU2:GU31,"D")+COUNTIF(GU2:GU31,"E")+COUNTIF(GU2:GU31,"F")+COUNTIF(GU2:GU31,"G")+GU40)</f>
        <v>0</v>
      </c>
      <c r="GV41" s="128">
        <f>GV32-(COUNTIF(GV2:GV31,"A")+COUNTIF(GV2:GV31,"B")+COUNTIF(GV2:GV31,"C")+COUNTIF(GV2:GV31,"D")+COUNTIF(GV2:GV31,"E")+COUNTIF(GV2:GV31,"F")+COUNTIF(GV2:GV31,"G")+GV40)</f>
        <v>0</v>
      </c>
      <c r="GW41" s="128">
        <f>GW32-(COUNTIF(GW2:GW31,"A")+COUNTIF(GW2:GW31,"B")+COUNTIF(GW2:GW31,"C")+COUNTIF(GW2:GW31,"D")+COUNTIF(GW2:GW31,"E")+COUNTIF(GW2:GW31,"F")+COUNTIF(GW2:GW31,"G")+GW40)</f>
        <v>0</v>
      </c>
      <c r="GX41" s="128">
        <f>GX32-(COUNTIF(GX2:GX31,"A")+COUNTIF(GX2:GX31,"B")+COUNTIF(GX2:GX31,"C")+COUNTIF(GX2:GX31,"D")+COUNTIF(GX2:GX31,"E")+COUNTIF(GX2:GX31,"F")+COUNTIF(GX2:GX31,"G")+GX40)</f>
        <v>0</v>
      </c>
      <c r="GY41" s="128">
        <f>GY32-(COUNTIF(GY2:GY31,"A")+COUNTIF(GY2:GY31,"B")+COUNTIF(GY2:GY31,"C")+COUNTIF(GY2:GY31,"D")+COUNTIF(GY2:GY31,"E")+COUNTIF(GY2:GY31,"F")+COUNTIF(GY2:GY31,"G")+GY40)</f>
        <v>0</v>
      </c>
      <c r="GZ41" s="128">
        <f>GZ32-(COUNTIF(GZ2:GZ31,"A")+COUNTIF(GZ2:GZ31,"B")+COUNTIF(GZ2:GZ31,"C")+COUNTIF(GZ2:GZ31,"D")+COUNTIF(GZ2:GZ31,"E")+COUNTIF(GZ2:GZ31,"F")+COUNTIF(GZ2:GZ31,"G")+GZ40)</f>
        <v>0</v>
      </c>
      <c r="HA41" s="128">
        <f>HA32-(COUNTIF(HA2:HA31,"A")+COUNTIF(HA2:HA31,"B")+COUNTIF(HA2:HA31,"C")+COUNTIF(HA2:HA31,"D")+COUNTIF(HA2:HA31,"E")+COUNTIF(HA2:HA31,"F")+COUNTIF(HA2:HA31,"G")+HA40)</f>
        <v>0</v>
      </c>
      <c r="HB41" s="128">
        <f>HB32-(COUNTIF(HB2:HB31,"A")+COUNTIF(HB2:HB31,"B")+COUNTIF(HB2:HB31,"C")+COUNTIF(HB2:HB31,"D")+COUNTIF(HB2:HB31,"E")+COUNTIF(HB2:HB31,"F")+COUNTIF(HB2:HB31,"G")+HB40)</f>
        <v>0</v>
      </c>
      <c r="HC41" s="128">
        <f>HC32-(COUNTIF(HC2:HC31,"A")+COUNTIF(HC2:HC31,"B")+COUNTIF(HC2:HC31,"C")+COUNTIF(HC2:HC31,"D")+COUNTIF(HC2:HC31,"E")+COUNTIF(HC2:HC31,"F")+COUNTIF(HC2:HC31,"G")+HC40)</f>
        <v>0</v>
      </c>
      <c r="HD41" s="128">
        <f>HD32-(COUNTIF(HD2:HD31,"A")+COUNTIF(HD2:HD31,"B")+COUNTIF(HD2:HD31,"C")+COUNTIF(HD2:HD31,"D")+COUNTIF(HD2:HD31,"E")+COUNTIF(HD2:HD31,"F")+COUNTIF(HD2:HD31,"G")+HD40)</f>
        <v>0</v>
      </c>
      <c r="HE41" s="128">
        <f>HE32-(COUNTIF(HE2:HE31,"A")+COUNTIF(HE2:HE31,"B")+COUNTIF(HE2:HE31,"C")+COUNTIF(HE2:HE31,"D")+COUNTIF(HE2:HE31,"E")+COUNTIF(HE2:HE31,"F")+COUNTIF(HE2:HE31,"G")+HE40)</f>
        <v>0</v>
      </c>
      <c r="HF41" s="128">
        <f>HF32-(COUNTIF(HF2:HF31,"A")+COUNTIF(HF2:HF31,"B")+COUNTIF(HF2:HF31,"C")+COUNTIF(HF2:HF31,"D")+COUNTIF(HF2:HF31,"E")+COUNTIF(HF2:HF31,"F")+COUNTIF(HF2:HF31,"G")+HF40)</f>
        <v>0</v>
      </c>
      <c r="HG41" s="128">
        <f>HG32-(COUNTIF(HG2:HG31,"A")+COUNTIF(HG2:HG31,"B")+COUNTIF(HG2:HG31,"C")+COUNTIF(HG2:HG31,"D")+COUNTIF(HG2:HG31,"E")+COUNTIF(HG2:HG31,"F")+COUNTIF(HG2:HG31,"G")+HG40)</f>
        <v>0</v>
      </c>
      <c r="HH41" s="128">
        <f>HH32-(COUNTIF(HH2:HH31,"A")+COUNTIF(HH2:HH31,"B")+COUNTIF(HH2:HH31,"C")+COUNTIF(HH2:HH31,"D")+COUNTIF(HH2:HH31,"E")+COUNTIF(HH2:HH31,"F")+COUNTIF(HH2:HH31,"G")+HH40)</f>
        <v>0</v>
      </c>
      <c r="HI41" s="128">
        <f>HI32-(COUNTIF(HI2:HI31,"A")+COUNTIF(HI2:HI31,"B")+COUNTIF(HI2:HI31,"C")+COUNTIF(HI2:HI31,"D")+COUNTIF(HI2:HI31,"E")+COUNTIF(HI2:HI31,"F")+COUNTIF(HI2:HI31,"G")+HI40)</f>
        <v>0</v>
      </c>
      <c r="HJ41" s="128">
        <f>HJ32-(COUNTIF(HJ2:HJ31,"A")+COUNTIF(HJ2:HJ31,"B")+COUNTIF(HJ2:HJ31,"C")+COUNTIF(HJ2:HJ31,"D")+COUNTIF(HJ2:HJ31,"E")+COUNTIF(HJ2:HJ31,"F")+COUNTIF(HJ2:HJ31,"G")+HJ40)</f>
        <v>0</v>
      </c>
      <c r="HK41" s="128">
        <f>HK32-(COUNTIF(HK2:HK31,"A")+COUNTIF(HK2:HK31,"B")+COUNTIF(HK2:HK31,"C")+COUNTIF(HK2:HK31,"D")+COUNTIF(HK2:HK31,"E")+COUNTIF(HK2:HK31,"F")+COUNTIF(HK2:HK31,"G")+HK40)</f>
        <v>0</v>
      </c>
      <c r="HL41" s="128">
        <f>HL32-(COUNTIF(HL2:HL31,"A")+COUNTIF(HL2:HL31,"B")+COUNTIF(HL2:HL31,"C")+COUNTIF(HL2:HL31,"D")+COUNTIF(HL2:HL31,"E")+COUNTIF(HL2:HL31,"F")+COUNTIF(HL2:HL31,"G")+HL40)</f>
        <v>0</v>
      </c>
      <c r="HM41" s="128">
        <f>HM32-(COUNTIF(HM2:HM31,"A")+COUNTIF(HM2:HM31,"B")+COUNTIF(HM2:HM31,"C")+COUNTIF(HM2:HM31,"D")+COUNTIF(HM2:HM31,"E")+COUNTIF(HM2:HM31,"F")+COUNTIF(HM2:HM31,"G")+HM40)</f>
        <v>0</v>
      </c>
      <c r="HN41" s="128">
        <f>HN32-(COUNTIF(HN2:HN31,"A")+COUNTIF(HN2:HN31,"B")+COUNTIF(HN2:HN31,"C")+COUNTIF(HN2:HN31,"D")+COUNTIF(HN2:HN31,"E")+COUNTIF(HN2:HN31,"F")+COUNTIF(HN2:HN31,"G")+HN40)</f>
        <v>0</v>
      </c>
      <c r="HO41" s="128">
        <f>HO32-(COUNTIF(HO2:HO31,"A")+COUNTIF(HO2:HO31,"B")+COUNTIF(HO2:HO31,"C")+COUNTIF(HO2:HO31,"D")+COUNTIF(HO2:HO31,"E")+COUNTIF(HO2:HO31,"F")+COUNTIF(HO2:HO31,"G")+HO40)</f>
        <v>0</v>
      </c>
      <c r="HP41" s="128">
        <f>HP32-(COUNTIF(HP2:HP31,"A")+COUNTIF(HP2:HP31,"B")+COUNTIF(HP2:HP31,"C")+COUNTIF(HP2:HP31,"D")+COUNTIF(HP2:HP31,"E")+COUNTIF(HP2:HP31,"F")+COUNTIF(HP2:HP31,"G")+HP40)</f>
        <v>0</v>
      </c>
      <c r="HQ41" s="128">
        <f>HQ32-(COUNTIF(HQ2:HQ31,"A")+COUNTIF(HQ2:HQ31,"B")+COUNTIF(HQ2:HQ31,"C")+COUNTIF(HQ2:HQ31,"D")+COUNTIF(HQ2:HQ31,"E")+COUNTIF(HQ2:HQ31,"F")+COUNTIF(HQ2:HQ31,"G")+HQ40)</f>
        <v>0</v>
      </c>
      <c r="HR41" s="128">
        <f>HR32-(COUNTIF(HR2:HR31,"A")+COUNTIF(HR2:HR31,"B")+COUNTIF(HR2:HR31,"C")+COUNTIF(HR2:HR31,"D")+COUNTIF(HR2:HR31,"E")+COUNTIF(HR2:HR31,"F")+COUNTIF(HR2:HR31,"G")+HR40)</f>
        <v>0</v>
      </c>
      <c r="HS41" s="128">
        <f>HS32-(COUNTIF(HS2:HS31,"A")+COUNTIF(HS2:HS31,"B")+COUNTIF(HS2:HS31,"C")+COUNTIF(HS2:HS31,"D")+COUNTIF(HS2:HS31,"E")+COUNTIF(HS2:HS31,"F")+COUNTIF(HS2:HS31,"G")+HS40)</f>
        <v>0</v>
      </c>
      <c r="HT41" s="128">
        <f>HT32-(COUNTIF(HT2:HT31,"A")+COUNTIF(HT2:HT31,"B")+COUNTIF(HT2:HT31,"C")+COUNTIF(HT2:HT31,"D")+COUNTIF(HT2:HT31,"E")+COUNTIF(HT2:HT31,"F")+COUNTIF(HT2:HT31,"G")+HT40)</f>
        <v>0</v>
      </c>
      <c r="HU41" s="128">
        <f>HU32-(COUNTIF(HU2:HU31,"A")+COUNTIF(HU2:HU31,"B")+COUNTIF(HU2:HU31,"C")+COUNTIF(HU2:HU31,"D")+COUNTIF(HU2:HU31,"E")+COUNTIF(HU2:HU31,"F")+COUNTIF(HU2:HU31,"G")+HU40)</f>
        <v>0</v>
      </c>
      <c r="HV41" s="128">
        <f>HV32-(COUNTIF(HV2:HV31,"A")+COUNTIF(HV2:HV31,"B")+COUNTIF(HV2:HV31,"C")+COUNTIF(HV2:HV31,"D")+COUNTIF(HV2:HV31,"E")+COUNTIF(HV2:HV31,"F")+COUNTIF(HV2:HV31,"G")+HV40)</f>
        <v>0</v>
      </c>
      <c r="HW41" s="128">
        <f>HW32-(COUNTIF(HW2:HW31,"A")+COUNTIF(HW2:HW31,"B")+COUNTIF(HW2:HW31,"C")+COUNTIF(HW2:HW31,"D")+COUNTIF(HW2:HW31,"E")+COUNTIF(HW2:HW31,"F")+COUNTIF(HW2:HW31,"G")+HW40)</f>
        <v>0</v>
      </c>
      <c r="HX41" s="128">
        <f>HX32-(COUNTIF(HX2:HX31,"A")+COUNTIF(HX2:HX31,"B")+COUNTIF(HX2:HX31,"C")+COUNTIF(HX2:HX31,"D")+COUNTIF(HX2:HX31,"E")+COUNTIF(HX2:HX31,"F")+COUNTIF(HX2:HX31,"G")+HX40)</f>
        <v>0</v>
      </c>
      <c r="HY41" s="128">
        <f>HY32-(COUNTIF(HY2:HY31,"A")+COUNTIF(HY2:HY31,"B")+COUNTIF(HY2:HY31,"C")+COUNTIF(HY2:HY31,"D")+COUNTIF(HY2:HY31,"E")+COUNTIF(HY2:HY31,"F")+COUNTIF(HY2:HY31,"G")+HY40)</f>
        <v>0</v>
      </c>
      <c r="HZ41" s="128">
        <f>HZ32-(COUNTIF(HZ2:HZ31,"A")+COUNTIF(HZ2:HZ31,"B")+COUNTIF(HZ2:HZ31,"C")+COUNTIF(HZ2:HZ31,"D")+COUNTIF(HZ2:HZ31,"E")+COUNTIF(HZ2:HZ31,"F")+COUNTIF(HZ2:HZ31,"G")+HZ40)</f>
        <v>0</v>
      </c>
      <c r="IA41" s="128">
        <f>IA32-(COUNTIF(IA2:IA31,"A")+COUNTIF(IA2:IA31,"B")+COUNTIF(IA2:IA31,"C")+COUNTIF(IA2:IA31,"D")+COUNTIF(IA2:IA31,"E")+COUNTIF(IA2:IA31,"F")+COUNTIF(IA2:IA31,"G")+IA40)</f>
        <v>1</v>
      </c>
      <c r="IB41" s="128">
        <f>IB32-(COUNTIF(IB2:IB31,"A")+COUNTIF(IB2:IB31,"B")+COUNTIF(IB2:IB31,"C")+COUNTIF(IB2:IB31,"D")+COUNTIF(IB2:IB31,"E")+COUNTIF(IB2:IB31,"F")+COUNTIF(IB2:IB31,"G")+IB40)</f>
        <v>0</v>
      </c>
      <c r="IC41" s="128">
        <f>IC32-(COUNTIF(IC2:IC31,"A")+COUNTIF(IC2:IC31,"B")+COUNTIF(IC2:IC31,"C")+COUNTIF(IC2:IC31,"D")+COUNTIF(IC2:IC31,"E")+COUNTIF(IC2:IC31,"F")+COUNTIF(IC2:IC31,"G")+IC40)</f>
        <v>0</v>
      </c>
      <c r="ID41" s="128">
        <f>ID32-(COUNTIF(ID2:ID31,"A")+COUNTIF(ID2:ID31,"B")+COUNTIF(ID2:ID31,"C")+COUNTIF(ID2:ID31,"D")+COUNTIF(ID2:ID31,"E")+COUNTIF(ID2:ID31,"F")+COUNTIF(ID2:ID31,"G")+ID40)</f>
        <v>0</v>
      </c>
      <c r="IE41" s="128">
        <f>IE32-(COUNTIF(IE2:IE31,"A")+COUNTIF(IE2:IE31,"B")+COUNTIF(IE2:IE31,"C")+COUNTIF(IE2:IE31,"D")+COUNTIF(IE2:IE31,"E")+COUNTIF(IE2:IE31,"F")+COUNTIF(IE2:IE31,"G")+IE40)</f>
        <v>0</v>
      </c>
      <c r="IF41" s="128">
        <f>IF32-(COUNTIF(IF2:IF31,"A")+COUNTIF(IF2:IF31,"B")+COUNTIF(IF2:IF31,"C")+COUNTIF(IF2:IF31,"D")+COUNTIF(IF2:IF31,"E")+COUNTIF(IF2:IF31,"F")+COUNTIF(IF2:IF31,"G")+IF40)</f>
        <v>0</v>
      </c>
      <c r="IG41" s="128">
        <f>IG32-(COUNTIF(IG2:IG31,"A")+COUNTIF(IG2:IG31,"B")+COUNTIF(IG2:IG31,"C")+COUNTIF(IG2:IG31,"D")+COUNTIF(IG2:IG31,"E")+COUNTIF(IG2:IG31,"F")+COUNTIF(IG2:IG31,"G")+IG40)</f>
        <v>0</v>
      </c>
      <c r="IH41" s="128">
        <f>IH32-(COUNTIF(IH2:IH31,"A")+COUNTIF(IH2:IH31,"B")+COUNTIF(IH2:IH31,"C")+COUNTIF(IH2:IH31,"D")+COUNTIF(IH2:IH31,"E")+COUNTIF(IH2:IH31,"F")+COUNTIF(IH2:IH31,"G")+IH40)</f>
        <v>0</v>
      </c>
      <c r="II41" s="128">
        <f>II32-(COUNTIF(II2:II31,"A")+COUNTIF(II2:II31,"B")+COUNTIF(II2:II31,"C")+COUNTIF(II2:II31,"D")+COUNTIF(II2:II31,"E")+COUNTIF(II2:II31,"F")+COUNTIF(II2:II31,"G")+II40)</f>
        <v>0</v>
      </c>
      <c r="IJ41" s="128">
        <f>IJ32-(COUNTIF(IJ2:IJ31,"A")+COUNTIF(IJ2:IJ31,"B")+COUNTIF(IJ2:IJ31,"C")+COUNTIF(IJ2:IJ31,"D")+COUNTIF(IJ2:IJ31,"E")+COUNTIF(IJ2:IJ31,"F")+COUNTIF(IJ2:IJ31,"G")+IJ40)</f>
        <v>0</v>
      </c>
      <c r="IK41" s="128">
        <f>IK32-(COUNTIF(IK2:IK31,"A")+COUNTIF(IK2:IK31,"B")+COUNTIF(IK2:IK31,"C")+COUNTIF(IK2:IK31,"D")+COUNTIF(IK2:IK31,"E")+COUNTIF(IK2:IK31,"F")+COUNTIF(IK2:IK31,"G")+IK40)</f>
        <v>0</v>
      </c>
      <c r="IL41" s="128">
        <f>IL32-(COUNTIF(IL2:IL31,"A")+COUNTIF(IL2:IL31,"B")+COUNTIF(IL2:IL31,"C")+COUNTIF(IL2:IL31,"D")+COUNTIF(IL2:IL31,"E")+COUNTIF(IL2:IL31,"F")+COUNTIF(IL2:IL31,"G")+IL40)</f>
        <v>0</v>
      </c>
      <c r="IM41" s="128">
        <f>IM32-(COUNTIF(IM2:IM31,"A")+COUNTIF(IM2:IM31,"B")+COUNTIF(IM2:IM31,"C")+COUNTIF(IM2:IM31,"D")+COUNTIF(IM2:IM31,"E")+COUNTIF(IM2:IM31,"F")+COUNTIF(IM2:IM31,"G")+IM40)</f>
        <v>0</v>
      </c>
      <c r="IN41" s="128">
        <f>IN32-(COUNTIF(IN2:IN31,"A")+COUNTIF(IN2:IN31,"B")+COUNTIF(IN2:IN31,"C")+COUNTIF(IN2:IN31,"D")+COUNTIF(IN2:IN31,"E")+COUNTIF(IN2:IN31,"F")+COUNTIF(IN2:IN31,"G")+IN40)</f>
        <v>0</v>
      </c>
      <c r="IO41" s="128">
        <f>IO32-(COUNTIF(IO2:IO31,"A")+COUNTIF(IO2:IO31,"B")+COUNTIF(IO2:IO31,"C")+COUNTIF(IO2:IO31,"D")+COUNTIF(IO2:IO31,"E")+COUNTIF(IO2:IO31,"F")+COUNTIF(IO2:IO31,"G")+IO40)</f>
        <v>0</v>
      </c>
      <c r="IP41" s="128">
        <f>IP32-(COUNTIF(IP2:IP31,"A")+COUNTIF(IP2:IP31,"B")+COUNTIF(IP2:IP31,"C")+COUNTIF(IP2:IP31,"D")+COUNTIF(IP2:IP31,"E")+COUNTIF(IP2:IP31,"F")+COUNTIF(IP2:IP31,"G")+IP40)</f>
        <v>0</v>
      </c>
      <c r="IQ41" s="128">
        <f>IQ32-(COUNTIF(IQ2:IQ31,"A")+COUNTIF(IQ2:IQ31,"B")+COUNTIF(IQ2:IQ31,"C")+COUNTIF(IQ2:IQ31,"D")+COUNTIF(IQ2:IQ31,"E")+COUNTIF(IQ2:IQ31,"F")+COUNTIF(IQ2:IQ31,"G")+IQ40)</f>
        <v>0</v>
      </c>
      <c r="IR41" s="128">
        <f>IR32-(COUNTIF(IR2:IR31,"A")+COUNTIF(IR2:IR31,"B")+COUNTIF(IR2:IR31,"C")+COUNTIF(IR2:IR31,"D")+COUNTIF(IR2:IR31,"E")+COUNTIF(IR2:IR31,"F")+COUNTIF(IR2:IR31,"G")+IR40)</f>
        <v>0</v>
      </c>
    </row>
  </sheetData>
  <pageMargins left="0.7" right="0.7" top="0.75" bottom="0.75" header="0.3" footer="0.3"/>
  <pageSetup orientation="portrait" horizont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T43"/>
  <sheetViews>
    <sheetView topLeftCell="A22" workbookViewId="0">
      <selection activeCell="D35" sqref="D35"/>
    </sheetView>
  </sheetViews>
  <sheetFormatPr baseColWidth="10" defaultColWidth="10.81640625" defaultRowHeight="14.5" x14ac:dyDescent="0.35"/>
  <cols>
    <col min="1" max="1" width="35.81640625" style="1" bestFit="1" customWidth="1"/>
    <col min="2" max="2" width="8.81640625" style="1" bestFit="1" customWidth="1"/>
    <col min="3" max="3" width="11.1796875" style="1" bestFit="1" customWidth="1"/>
    <col min="4" max="4" width="43.453125" style="1" bestFit="1" customWidth="1"/>
    <col min="5" max="5" width="10.1796875" style="1" bestFit="1" customWidth="1"/>
    <col min="6" max="6" width="9.453125" style="1" bestFit="1" customWidth="1"/>
    <col min="7" max="7" width="9.1796875" style="1" bestFit="1" customWidth="1"/>
    <col min="8" max="8" width="10" style="1" bestFit="1" customWidth="1"/>
    <col min="9" max="9" width="13.1796875" style="1" bestFit="1" customWidth="1"/>
    <col min="10" max="10" width="20.81640625" style="1" bestFit="1" customWidth="1"/>
    <col min="11" max="11" width="10.54296875" style="1" customWidth="1"/>
    <col min="12" max="12" width="12.36328125" style="1" customWidth="1"/>
    <col min="13" max="21" width="3.81640625" style="1" bestFit="1" customWidth="1"/>
    <col min="22" max="111" width="4.81640625" style="1" bestFit="1" customWidth="1"/>
    <col min="112" max="146" width="5.81640625" style="1" bestFit="1" customWidth="1"/>
    <col min="147" max="147" width="5.08984375" style="1" customWidth="1"/>
    <col min="148" max="155" width="3.90625" style="1" bestFit="1" customWidth="1"/>
    <col min="156" max="245" width="4.90625" style="1" bestFit="1" customWidth="1"/>
    <col min="246" max="280" width="5.90625" style="1" bestFit="1" customWidth="1"/>
    <col min="281" max="16384" width="10.81640625" style="1"/>
  </cols>
  <sheetData>
    <row r="1" spans="1:280" customFormat="1" x14ac:dyDescent="0.35">
      <c r="A1" t="s">
        <v>293</v>
      </c>
      <c r="B1" t="s">
        <v>294</v>
      </c>
      <c r="C1" t="s">
        <v>295</v>
      </c>
      <c r="D1" t="s">
        <v>296</v>
      </c>
      <c r="E1" t="s">
        <v>297</v>
      </c>
      <c r="F1" t="s">
        <v>298</v>
      </c>
      <c r="G1" t="s">
        <v>299</v>
      </c>
      <c r="H1" t="s">
        <v>300</v>
      </c>
      <c r="I1" t="s">
        <v>301</v>
      </c>
      <c r="J1" t="s">
        <v>302</v>
      </c>
      <c r="K1" t="s">
        <v>303</v>
      </c>
      <c r="L1" t="s">
        <v>304</v>
      </c>
      <c r="M1" s="34" t="s">
        <v>0</v>
      </c>
      <c r="N1" s="34" t="s">
        <v>1</v>
      </c>
      <c r="O1" s="34" t="s">
        <v>2</v>
      </c>
      <c r="P1" s="34" t="s">
        <v>3</v>
      </c>
      <c r="Q1" s="34" t="s">
        <v>4</v>
      </c>
      <c r="R1" s="34" t="s">
        <v>5</v>
      </c>
      <c r="S1" s="34" t="s">
        <v>6</v>
      </c>
      <c r="T1" s="34" t="s">
        <v>7</v>
      </c>
      <c r="U1" s="34" t="s">
        <v>8</v>
      </c>
      <c r="V1" s="34" t="s">
        <v>9</v>
      </c>
      <c r="W1" s="34" t="s">
        <v>10</v>
      </c>
      <c r="X1" s="34" t="s">
        <v>11</v>
      </c>
      <c r="Y1" s="34" t="s">
        <v>12</v>
      </c>
      <c r="Z1" s="34" t="s">
        <v>13</v>
      </c>
      <c r="AA1" s="34" t="s">
        <v>14</v>
      </c>
      <c r="AB1" s="34" t="s">
        <v>15</v>
      </c>
      <c r="AC1" s="34" t="s">
        <v>16</v>
      </c>
      <c r="AD1" s="34" t="s">
        <v>17</v>
      </c>
      <c r="AE1" s="34" t="s">
        <v>18</v>
      </c>
      <c r="AF1" s="34" t="s">
        <v>19</v>
      </c>
      <c r="AG1" s="34" t="s">
        <v>20</v>
      </c>
      <c r="AH1" s="34" t="s">
        <v>21</v>
      </c>
      <c r="AI1" s="34" t="s">
        <v>22</v>
      </c>
      <c r="AJ1" s="34" t="s">
        <v>23</v>
      </c>
      <c r="AK1" s="34" t="s">
        <v>24</v>
      </c>
      <c r="AL1" s="33" t="s">
        <v>25</v>
      </c>
      <c r="AM1" s="33" t="s">
        <v>26</v>
      </c>
      <c r="AN1" s="33" t="s">
        <v>27</v>
      </c>
      <c r="AO1" s="33" t="s">
        <v>28</v>
      </c>
      <c r="AP1" s="33" t="s">
        <v>29</v>
      </c>
      <c r="AQ1" s="33" t="s">
        <v>30</v>
      </c>
      <c r="AR1" s="33" t="s">
        <v>31</v>
      </c>
      <c r="AS1" s="33" t="s">
        <v>32</v>
      </c>
      <c r="AT1" s="33" t="s">
        <v>33</v>
      </c>
      <c r="AU1" s="33" t="s">
        <v>34</v>
      </c>
      <c r="AV1" s="33" t="s">
        <v>35</v>
      </c>
      <c r="AW1" s="33" t="s">
        <v>36</v>
      </c>
      <c r="AX1" s="33" t="s">
        <v>37</v>
      </c>
      <c r="AY1" s="33" t="s">
        <v>38</v>
      </c>
      <c r="AZ1" s="33" t="s">
        <v>39</v>
      </c>
      <c r="BA1" s="33" t="s">
        <v>40</v>
      </c>
      <c r="BB1" s="33" t="s">
        <v>41</v>
      </c>
      <c r="BC1" s="33" t="s">
        <v>42</v>
      </c>
      <c r="BD1" s="33" t="s">
        <v>43</v>
      </c>
      <c r="BE1" s="33" t="s">
        <v>44</v>
      </c>
      <c r="BF1" s="33" t="s">
        <v>45</v>
      </c>
      <c r="BG1" s="33" t="s">
        <v>46</v>
      </c>
      <c r="BH1" s="33" t="s">
        <v>47</v>
      </c>
      <c r="BI1" s="33" t="s">
        <v>48</v>
      </c>
      <c r="BJ1" s="33" t="s">
        <v>49</v>
      </c>
      <c r="BK1" s="35" t="s">
        <v>53</v>
      </c>
      <c r="BL1" s="35" t="s">
        <v>59</v>
      </c>
      <c r="BM1" s="35" t="s">
        <v>61</v>
      </c>
      <c r="BN1" s="35" t="s">
        <v>62</v>
      </c>
      <c r="BO1" s="35" t="s">
        <v>78</v>
      </c>
      <c r="BP1" s="36" t="s">
        <v>50</v>
      </c>
      <c r="BQ1" s="36" t="s">
        <v>51</v>
      </c>
      <c r="BR1" s="36" t="s">
        <v>54</v>
      </c>
      <c r="BS1" s="36" t="s">
        <v>56</v>
      </c>
      <c r="BT1" s="36" t="s">
        <v>60</v>
      </c>
      <c r="BU1" s="36" t="s">
        <v>67</v>
      </c>
      <c r="BV1" s="36" t="s">
        <v>69</v>
      </c>
      <c r="BW1" s="36" t="s">
        <v>70</v>
      </c>
      <c r="BX1" s="36" t="s">
        <v>71</v>
      </c>
      <c r="BY1" s="36" t="s">
        <v>72</v>
      </c>
      <c r="BZ1" s="36" t="s">
        <v>74</v>
      </c>
      <c r="CA1" s="36" t="s">
        <v>76</v>
      </c>
      <c r="CB1" s="36" t="s">
        <v>77</v>
      </c>
      <c r="CC1" s="37" t="s">
        <v>52</v>
      </c>
      <c r="CD1" s="37" t="s">
        <v>55</v>
      </c>
      <c r="CE1" s="37" t="s">
        <v>57</v>
      </c>
      <c r="CF1" s="37" t="s">
        <v>58</v>
      </c>
      <c r="CG1" s="37" t="s">
        <v>63</v>
      </c>
      <c r="CH1" s="37" t="s">
        <v>64</v>
      </c>
      <c r="CI1" s="37" t="s">
        <v>65</v>
      </c>
      <c r="CJ1" s="37" t="s">
        <v>66</v>
      </c>
      <c r="CK1" s="37" t="s">
        <v>68</v>
      </c>
      <c r="CL1" s="37" t="s">
        <v>73</v>
      </c>
      <c r="CM1" s="126" t="s">
        <v>75</v>
      </c>
      <c r="CN1" s="40" t="s">
        <v>79</v>
      </c>
      <c r="CO1" s="40" t="s">
        <v>80</v>
      </c>
      <c r="CP1" s="40" t="s">
        <v>81</v>
      </c>
      <c r="CQ1" s="40" t="s">
        <v>82</v>
      </c>
      <c r="CR1" s="40" t="s">
        <v>83</v>
      </c>
      <c r="CS1" s="40" t="s">
        <v>84</v>
      </c>
      <c r="CT1" s="40" t="s">
        <v>85</v>
      </c>
      <c r="CU1" s="40" t="s">
        <v>86</v>
      </c>
      <c r="CV1" s="40" t="s">
        <v>87</v>
      </c>
      <c r="CW1" s="40" t="s">
        <v>88</v>
      </c>
      <c r="CX1" s="40" t="s">
        <v>89</v>
      </c>
      <c r="CY1" s="40" t="s">
        <v>90</v>
      </c>
      <c r="CZ1" s="40" t="s">
        <v>91</v>
      </c>
      <c r="DA1" s="40" t="s">
        <v>92</v>
      </c>
      <c r="DB1" s="40" t="s">
        <v>93</v>
      </c>
      <c r="DC1" s="40" t="s">
        <v>94</v>
      </c>
      <c r="DD1" s="40" t="s">
        <v>95</v>
      </c>
      <c r="DE1" s="40" t="s">
        <v>96</v>
      </c>
      <c r="DF1" s="40" t="s">
        <v>97</v>
      </c>
      <c r="DG1" s="40" t="s">
        <v>98</v>
      </c>
      <c r="DH1" s="40" t="s">
        <v>99</v>
      </c>
      <c r="DI1" s="40" t="s">
        <v>100</v>
      </c>
      <c r="DJ1" s="40" t="s">
        <v>101</v>
      </c>
      <c r="DK1" s="40" t="s">
        <v>102</v>
      </c>
      <c r="DL1" s="40" t="s">
        <v>103</v>
      </c>
      <c r="DM1" s="40" t="s">
        <v>104</v>
      </c>
      <c r="DN1" s="40" t="s">
        <v>105</v>
      </c>
      <c r="DO1" s="40" t="s">
        <v>106</v>
      </c>
      <c r="DP1" s="40" t="s">
        <v>107</v>
      </c>
      <c r="DQ1" s="40" t="s">
        <v>108</v>
      </c>
      <c r="DR1" s="40" t="s">
        <v>109</v>
      </c>
      <c r="DS1" s="40" t="s">
        <v>110</v>
      </c>
      <c r="DT1" s="40" t="s">
        <v>111</v>
      </c>
      <c r="DU1" s="40" t="s">
        <v>112</v>
      </c>
      <c r="DV1" s="40" t="s">
        <v>113</v>
      </c>
      <c r="DW1" s="40" t="s">
        <v>114</v>
      </c>
      <c r="DX1" s="40" t="s">
        <v>115</v>
      </c>
      <c r="DY1" s="40" t="s">
        <v>116</v>
      </c>
      <c r="DZ1" s="40" t="s">
        <v>117</v>
      </c>
      <c r="EA1" s="40" t="s">
        <v>118</v>
      </c>
      <c r="EB1" s="40" t="s">
        <v>119</v>
      </c>
      <c r="EC1" s="40" t="s">
        <v>172</v>
      </c>
      <c r="ED1" s="40" t="s">
        <v>173</v>
      </c>
      <c r="EE1" s="40" t="s">
        <v>174</v>
      </c>
      <c r="EF1" s="40" t="s">
        <v>175</v>
      </c>
      <c r="EG1" s="40" t="s">
        <v>176</v>
      </c>
      <c r="EH1" s="40" t="s">
        <v>177</v>
      </c>
      <c r="EI1" s="40" t="s">
        <v>178</v>
      </c>
      <c r="EJ1" s="40" t="s">
        <v>179</v>
      </c>
      <c r="EK1" s="40" t="s">
        <v>180</v>
      </c>
      <c r="EL1" s="40" t="s">
        <v>305</v>
      </c>
      <c r="EM1" s="40" t="s">
        <v>306</v>
      </c>
      <c r="EN1" s="40" t="s">
        <v>307</v>
      </c>
      <c r="EO1" s="40" t="s">
        <v>309</v>
      </c>
      <c r="EP1" s="40" t="s">
        <v>310</v>
      </c>
      <c r="EQ1" s="34" t="s">
        <v>350</v>
      </c>
      <c r="ER1" s="34" t="s">
        <v>351</v>
      </c>
      <c r="ES1" s="34" t="s">
        <v>352</v>
      </c>
      <c r="ET1" s="34" t="s">
        <v>353</v>
      </c>
      <c r="EU1" s="34" t="s">
        <v>354</v>
      </c>
      <c r="EV1" s="34" t="s">
        <v>355</v>
      </c>
      <c r="EW1" s="34" t="s">
        <v>356</v>
      </c>
      <c r="EX1" s="34" t="s">
        <v>357</v>
      </c>
      <c r="EY1" s="34" t="s">
        <v>358</v>
      </c>
      <c r="EZ1" s="34" t="s">
        <v>359</v>
      </c>
      <c r="FA1" s="34" t="s">
        <v>360</v>
      </c>
      <c r="FB1" s="34" t="s">
        <v>361</v>
      </c>
      <c r="FC1" s="34" t="s">
        <v>362</v>
      </c>
      <c r="FD1" s="34" t="s">
        <v>363</v>
      </c>
      <c r="FE1" s="34" t="s">
        <v>364</v>
      </c>
      <c r="FF1" s="34" t="s">
        <v>365</v>
      </c>
      <c r="FG1" s="34" t="s">
        <v>366</v>
      </c>
      <c r="FH1" s="34" t="s">
        <v>367</v>
      </c>
      <c r="FI1" s="34" t="s">
        <v>368</v>
      </c>
      <c r="FJ1" s="34" t="s">
        <v>369</v>
      </c>
      <c r="FK1" s="34" t="s">
        <v>370</v>
      </c>
      <c r="FL1" s="34" t="s">
        <v>371</v>
      </c>
      <c r="FM1" s="34" t="s">
        <v>372</v>
      </c>
      <c r="FN1" s="34" t="s">
        <v>373</v>
      </c>
      <c r="FO1" s="34" t="s">
        <v>374</v>
      </c>
      <c r="FP1" s="33" t="s">
        <v>375</v>
      </c>
      <c r="FQ1" s="33" t="s">
        <v>376</v>
      </c>
      <c r="FR1" s="33" t="s">
        <v>377</v>
      </c>
      <c r="FS1" s="33" t="s">
        <v>378</v>
      </c>
      <c r="FT1" s="33" t="s">
        <v>379</v>
      </c>
      <c r="FU1" s="33" t="s">
        <v>380</v>
      </c>
      <c r="FV1" s="33" t="s">
        <v>381</v>
      </c>
      <c r="FW1" s="33" t="s">
        <v>382</v>
      </c>
      <c r="FX1" s="33" t="s">
        <v>383</v>
      </c>
      <c r="FY1" s="33" t="s">
        <v>384</v>
      </c>
      <c r="FZ1" s="33" t="s">
        <v>385</v>
      </c>
      <c r="GA1" s="33" t="s">
        <v>386</v>
      </c>
      <c r="GB1" s="33" t="s">
        <v>387</v>
      </c>
      <c r="GC1" s="33" t="s">
        <v>388</v>
      </c>
      <c r="GD1" s="33" t="s">
        <v>389</v>
      </c>
      <c r="GE1" s="33" t="s">
        <v>390</v>
      </c>
      <c r="GF1" s="33" t="s">
        <v>391</v>
      </c>
      <c r="GG1" s="33" t="s">
        <v>392</v>
      </c>
      <c r="GH1" s="33" t="s">
        <v>393</v>
      </c>
      <c r="GI1" s="33" t="s">
        <v>394</v>
      </c>
      <c r="GJ1" s="33" t="s">
        <v>395</v>
      </c>
      <c r="GK1" s="33" t="s">
        <v>396</v>
      </c>
      <c r="GL1" s="33" t="s">
        <v>397</v>
      </c>
      <c r="GM1" s="33" t="s">
        <v>398</v>
      </c>
      <c r="GN1" s="33" t="s">
        <v>399</v>
      </c>
      <c r="GO1" s="35" t="s">
        <v>403</v>
      </c>
      <c r="GP1" s="136" t="s">
        <v>409</v>
      </c>
      <c r="GQ1" s="35" t="s">
        <v>411</v>
      </c>
      <c r="GR1" s="35" t="s">
        <v>412</v>
      </c>
      <c r="GS1" s="35" t="s">
        <v>428</v>
      </c>
      <c r="GT1" s="36" t="s">
        <v>400</v>
      </c>
      <c r="GU1" s="36" t="s">
        <v>401</v>
      </c>
      <c r="GV1" s="36" t="s">
        <v>404</v>
      </c>
      <c r="GW1" s="36" t="s">
        <v>406</v>
      </c>
      <c r="GX1" s="36" t="s">
        <v>410</v>
      </c>
      <c r="GY1" s="36" t="s">
        <v>417</v>
      </c>
      <c r="GZ1" s="36" t="s">
        <v>419</v>
      </c>
      <c r="HA1" s="36" t="s">
        <v>420</v>
      </c>
      <c r="HB1" s="36" t="s">
        <v>421</v>
      </c>
      <c r="HC1" s="36" t="s">
        <v>422</v>
      </c>
      <c r="HD1" s="36" t="s">
        <v>424</v>
      </c>
      <c r="HE1" s="36" t="s">
        <v>426</v>
      </c>
      <c r="HF1" s="36" t="s">
        <v>427</v>
      </c>
      <c r="HG1" s="37" t="s">
        <v>402</v>
      </c>
      <c r="HH1" s="37" t="s">
        <v>405</v>
      </c>
      <c r="HI1" s="37" t="s">
        <v>407</v>
      </c>
      <c r="HJ1" s="37" t="s">
        <v>408</v>
      </c>
      <c r="HK1" s="37" t="s">
        <v>413</v>
      </c>
      <c r="HL1" s="37" t="s">
        <v>414</v>
      </c>
      <c r="HM1" s="37" t="s">
        <v>415</v>
      </c>
      <c r="HN1" s="37" t="s">
        <v>416</v>
      </c>
      <c r="HO1" s="37" t="s">
        <v>418</v>
      </c>
      <c r="HP1" s="37" t="s">
        <v>423</v>
      </c>
      <c r="HQ1" s="126" t="s">
        <v>425</v>
      </c>
      <c r="HR1" s="40" t="s">
        <v>429</v>
      </c>
      <c r="HS1" s="40" t="s">
        <v>430</v>
      </c>
      <c r="HT1" s="40" t="s">
        <v>431</v>
      </c>
      <c r="HU1" s="40" t="s">
        <v>432</v>
      </c>
      <c r="HV1" s="40" t="s">
        <v>433</v>
      </c>
      <c r="HW1" s="40" t="s">
        <v>434</v>
      </c>
      <c r="HX1" s="40" t="s">
        <v>435</v>
      </c>
      <c r="HY1" s="40" t="s">
        <v>436</v>
      </c>
      <c r="HZ1" s="40" t="s">
        <v>437</v>
      </c>
      <c r="IA1" s="40" t="s">
        <v>438</v>
      </c>
      <c r="IB1" s="40" t="s">
        <v>439</v>
      </c>
      <c r="IC1" s="40" t="s">
        <v>440</v>
      </c>
      <c r="ID1" s="40" t="s">
        <v>454</v>
      </c>
      <c r="IE1" s="40" t="s">
        <v>447</v>
      </c>
      <c r="IF1" s="40" t="s">
        <v>455</v>
      </c>
      <c r="IG1" s="40" t="s">
        <v>441</v>
      </c>
      <c r="IH1" s="40" t="s">
        <v>442</v>
      </c>
      <c r="II1" s="40" t="s">
        <v>464</v>
      </c>
      <c r="IJ1" s="40" t="s">
        <v>456</v>
      </c>
      <c r="IK1" s="40" t="s">
        <v>457</v>
      </c>
      <c r="IL1" s="40" t="s">
        <v>448</v>
      </c>
      <c r="IM1" s="40" t="s">
        <v>443</v>
      </c>
      <c r="IN1" s="40" t="s">
        <v>449</v>
      </c>
      <c r="IO1" s="40" t="s">
        <v>458</v>
      </c>
      <c r="IP1" s="40" t="s">
        <v>444</v>
      </c>
      <c r="IQ1" s="40" t="s">
        <v>445</v>
      </c>
      <c r="IR1" s="40" t="s">
        <v>450</v>
      </c>
      <c r="IS1" s="40" t="s">
        <v>465</v>
      </c>
      <c r="IT1" s="40" t="s">
        <v>459</v>
      </c>
      <c r="IU1" s="40" t="s">
        <v>466</v>
      </c>
      <c r="IV1" s="40" t="s">
        <v>451</v>
      </c>
      <c r="IW1" s="40" t="s">
        <v>460</v>
      </c>
      <c r="IX1" s="40" t="s">
        <v>467</v>
      </c>
      <c r="IY1" s="40" t="s">
        <v>468</v>
      </c>
      <c r="IZ1" s="40" t="s">
        <v>452</v>
      </c>
      <c r="JA1" s="40" t="s">
        <v>469</v>
      </c>
      <c r="JB1" s="40" t="s">
        <v>461</v>
      </c>
      <c r="JC1" s="40" t="s">
        <v>462</v>
      </c>
      <c r="JD1" s="40" t="s">
        <v>453</v>
      </c>
      <c r="JE1" s="40" t="s">
        <v>463</v>
      </c>
      <c r="JF1" s="40" t="s">
        <v>446</v>
      </c>
      <c r="JG1" s="40" t="s">
        <v>471</v>
      </c>
      <c r="JH1" s="40" t="s">
        <v>472</v>
      </c>
      <c r="JI1" s="40" t="s">
        <v>473</v>
      </c>
      <c r="JJ1" s="40" t="s">
        <v>474</v>
      </c>
      <c r="JK1" s="40" t="s">
        <v>475</v>
      </c>
      <c r="JL1" s="40" t="s">
        <v>476</v>
      </c>
      <c r="JM1" s="40" t="s">
        <v>477</v>
      </c>
      <c r="JN1" s="40" t="s">
        <v>478</v>
      </c>
      <c r="JO1" s="40" t="s">
        <v>479</v>
      </c>
      <c r="JP1" s="40" t="s">
        <v>480</v>
      </c>
      <c r="JQ1" s="40" t="s">
        <v>481</v>
      </c>
      <c r="JR1" s="40" t="s">
        <v>482</v>
      </c>
      <c r="JS1" s="40" t="s">
        <v>483</v>
      </c>
      <c r="JT1" s="40" t="s">
        <v>484</v>
      </c>
    </row>
    <row r="2" spans="1:280" x14ac:dyDescent="0.35">
      <c r="A2" s="1" t="s">
        <v>1734</v>
      </c>
      <c r="D2" s="1" t="s">
        <v>1739</v>
      </c>
      <c r="E2" s="1">
        <v>5702</v>
      </c>
      <c r="G2" s="1" t="s">
        <v>470</v>
      </c>
      <c r="H2" s="1" t="s">
        <v>312</v>
      </c>
      <c r="I2" s="1" t="s">
        <v>1652</v>
      </c>
      <c r="J2" s="1" t="s">
        <v>1735</v>
      </c>
      <c r="K2" s="1" t="s">
        <v>1736</v>
      </c>
      <c r="M2" s="1">
        <v>0</v>
      </c>
      <c r="N2" s="1">
        <v>1</v>
      </c>
      <c r="O2" s="1">
        <v>1</v>
      </c>
      <c r="P2" s="1">
        <v>1</v>
      </c>
      <c r="Q2" s="1">
        <v>0</v>
      </c>
      <c r="R2" s="1">
        <v>0</v>
      </c>
      <c r="S2" s="1">
        <v>0</v>
      </c>
      <c r="T2" s="1">
        <v>1</v>
      </c>
      <c r="U2" s="1">
        <v>1</v>
      </c>
      <c r="V2" s="1">
        <v>0</v>
      </c>
      <c r="W2" s="1">
        <v>1</v>
      </c>
      <c r="X2" s="1">
        <v>0</v>
      </c>
      <c r="Y2" s="1">
        <v>1</v>
      </c>
      <c r="Z2" s="1">
        <v>0</v>
      </c>
      <c r="AA2" s="1">
        <v>1</v>
      </c>
      <c r="AB2" s="1">
        <v>1</v>
      </c>
      <c r="AC2" s="1">
        <v>1</v>
      </c>
      <c r="AD2" s="1">
        <v>1</v>
      </c>
      <c r="AE2" s="1">
        <v>1</v>
      </c>
      <c r="AF2" s="1">
        <v>1</v>
      </c>
      <c r="AG2" s="1">
        <v>1</v>
      </c>
      <c r="AH2" s="1">
        <v>1</v>
      </c>
      <c r="AI2" s="1">
        <v>0</v>
      </c>
      <c r="AJ2" s="1">
        <v>0</v>
      </c>
      <c r="AK2" s="1">
        <v>1</v>
      </c>
      <c r="AL2" s="1">
        <v>0</v>
      </c>
      <c r="AM2" s="1">
        <v>1</v>
      </c>
      <c r="AN2" s="1">
        <v>1</v>
      </c>
      <c r="AO2" s="1">
        <v>1</v>
      </c>
      <c r="AP2" s="1">
        <v>1</v>
      </c>
      <c r="AQ2" s="1">
        <v>0</v>
      </c>
      <c r="AR2" s="1">
        <v>1</v>
      </c>
      <c r="AS2" s="1">
        <v>1</v>
      </c>
      <c r="AT2" s="1">
        <v>1</v>
      </c>
      <c r="AU2" s="1">
        <v>0</v>
      </c>
      <c r="AV2" s="1">
        <v>0</v>
      </c>
      <c r="AW2" s="1">
        <v>1</v>
      </c>
      <c r="AX2" s="1">
        <v>1</v>
      </c>
      <c r="AY2" s="1">
        <v>1</v>
      </c>
      <c r="AZ2" s="1">
        <v>1</v>
      </c>
      <c r="BA2" s="1">
        <v>0</v>
      </c>
      <c r="BB2" s="1">
        <v>1</v>
      </c>
      <c r="BC2" s="1">
        <v>1</v>
      </c>
      <c r="BD2" s="1">
        <v>1</v>
      </c>
      <c r="BE2" s="1">
        <v>1</v>
      </c>
      <c r="BF2" s="1">
        <v>1</v>
      </c>
      <c r="BG2" s="1">
        <v>1</v>
      </c>
      <c r="BH2" s="1">
        <v>1</v>
      </c>
      <c r="BI2" s="1">
        <v>1</v>
      </c>
      <c r="BJ2" s="1">
        <v>1</v>
      </c>
      <c r="BK2" s="1">
        <v>1</v>
      </c>
      <c r="BL2" s="1">
        <v>1</v>
      </c>
      <c r="BM2" s="1">
        <v>0</v>
      </c>
      <c r="BN2" s="1">
        <v>1</v>
      </c>
      <c r="BO2" s="1">
        <v>1</v>
      </c>
      <c r="BP2" s="1">
        <v>1</v>
      </c>
      <c r="BQ2" s="1">
        <v>1</v>
      </c>
      <c r="BR2" s="1">
        <v>1</v>
      </c>
      <c r="BS2" s="1">
        <v>1</v>
      </c>
      <c r="BT2" s="1">
        <v>1</v>
      </c>
      <c r="BU2" s="1">
        <v>1</v>
      </c>
      <c r="BV2" s="1">
        <v>1</v>
      </c>
      <c r="BW2" s="1">
        <v>1</v>
      </c>
      <c r="BX2" s="1">
        <v>1</v>
      </c>
      <c r="BY2" s="1">
        <v>1</v>
      </c>
      <c r="BZ2" s="1">
        <v>1</v>
      </c>
      <c r="CA2" s="1">
        <v>1</v>
      </c>
      <c r="CB2" s="1">
        <v>1</v>
      </c>
      <c r="CC2" s="1">
        <v>1</v>
      </c>
      <c r="CD2" s="1">
        <v>1</v>
      </c>
      <c r="CE2" s="1">
        <v>0</v>
      </c>
      <c r="CF2" s="1">
        <v>1</v>
      </c>
      <c r="CG2" s="1">
        <v>1</v>
      </c>
      <c r="CH2" s="1">
        <v>1</v>
      </c>
      <c r="CI2" s="1">
        <v>0</v>
      </c>
      <c r="CJ2" s="1">
        <v>1</v>
      </c>
      <c r="CK2" s="1">
        <v>1</v>
      </c>
      <c r="CL2" s="1">
        <v>0</v>
      </c>
      <c r="CM2" s="1">
        <v>1</v>
      </c>
      <c r="CN2" s="1">
        <v>1</v>
      </c>
      <c r="CO2" s="1">
        <v>1</v>
      </c>
      <c r="CP2" s="1">
        <v>1</v>
      </c>
      <c r="CQ2" s="1">
        <v>0</v>
      </c>
      <c r="CR2" s="1">
        <v>1</v>
      </c>
      <c r="CS2" s="1">
        <v>1</v>
      </c>
      <c r="CT2" s="1">
        <v>0</v>
      </c>
      <c r="CU2" s="1">
        <v>1</v>
      </c>
      <c r="CV2" s="1">
        <v>0</v>
      </c>
      <c r="CW2" s="1">
        <v>1</v>
      </c>
      <c r="CX2" s="1">
        <v>1</v>
      </c>
      <c r="CY2" s="1">
        <v>0</v>
      </c>
      <c r="CZ2" s="1">
        <v>0</v>
      </c>
      <c r="DA2" s="1">
        <v>0</v>
      </c>
      <c r="DB2" s="1">
        <v>1</v>
      </c>
      <c r="DC2" s="1">
        <v>1</v>
      </c>
      <c r="DD2" s="1">
        <v>0</v>
      </c>
      <c r="DE2" s="1">
        <v>1</v>
      </c>
      <c r="DF2" s="1">
        <v>0</v>
      </c>
      <c r="DG2" s="1">
        <v>0</v>
      </c>
      <c r="DH2" s="1">
        <v>1</v>
      </c>
      <c r="DI2" s="1">
        <v>0</v>
      </c>
      <c r="DJ2" s="1">
        <v>1</v>
      </c>
      <c r="DK2" s="1">
        <v>1</v>
      </c>
      <c r="DL2" s="1">
        <v>0</v>
      </c>
      <c r="DM2" s="1">
        <v>1</v>
      </c>
      <c r="DN2" s="1">
        <v>0</v>
      </c>
      <c r="DO2" s="1">
        <v>0</v>
      </c>
      <c r="DP2" s="1">
        <v>1</v>
      </c>
      <c r="DQ2" s="1">
        <v>1</v>
      </c>
      <c r="DR2" s="1">
        <v>0</v>
      </c>
      <c r="DS2" s="1">
        <v>1</v>
      </c>
      <c r="DT2" s="1">
        <v>0</v>
      </c>
      <c r="DU2" s="1">
        <v>1</v>
      </c>
      <c r="DV2" s="1">
        <v>1</v>
      </c>
      <c r="DW2" s="1">
        <v>0</v>
      </c>
      <c r="DX2" s="1">
        <v>1</v>
      </c>
      <c r="DY2" s="1">
        <v>1</v>
      </c>
      <c r="DZ2" s="1">
        <v>0</v>
      </c>
      <c r="EA2" s="1">
        <v>1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1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1</v>
      </c>
      <c r="EP2" s="1">
        <v>1</v>
      </c>
      <c r="EQ2" s="1" t="s">
        <v>333</v>
      </c>
      <c r="ER2" s="1" t="s">
        <v>331</v>
      </c>
      <c r="ES2" s="1" t="s">
        <v>333</v>
      </c>
      <c r="ET2" s="1" t="s">
        <v>331</v>
      </c>
      <c r="EU2" s="1" t="s">
        <v>331</v>
      </c>
      <c r="EV2" s="1" t="s">
        <v>332</v>
      </c>
      <c r="EW2" s="1" t="s">
        <v>331</v>
      </c>
      <c r="EX2" s="1" t="s">
        <v>331</v>
      </c>
      <c r="EY2" s="1" t="s">
        <v>331</v>
      </c>
      <c r="EZ2" s="1" t="s">
        <v>332</v>
      </c>
      <c r="FA2" s="1" t="s">
        <v>332</v>
      </c>
      <c r="FB2" s="1" t="s">
        <v>333</v>
      </c>
      <c r="FC2" s="1" t="s">
        <v>332</v>
      </c>
      <c r="FD2" s="1" t="s">
        <v>330</v>
      </c>
      <c r="FE2" s="1" t="s">
        <v>331</v>
      </c>
      <c r="FF2" s="1" t="s">
        <v>333</v>
      </c>
      <c r="FG2" s="1" t="s">
        <v>331</v>
      </c>
      <c r="FH2" s="1" t="s">
        <v>333</v>
      </c>
      <c r="FI2" s="1" t="s">
        <v>330</v>
      </c>
      <c r="FJ2" s="1" t="s">
        <v>330</v>
      </c>
      <c r="FK2" s="1" t="s">
        <v>331</v>
      </c>
      <c r="FL2" s="1" t="s">
        <v>333</v>
      </c>
      <c r="FM2" s="1" t="s">
        <v>331</v>
      </c>
      <c r="FN2" s="1" t="s">
        <v>330</v>
      </c>
      <c r="FO2" s="1" t="s">
        <v>331</v>
      </c>
      <c r="FP2" s="1" t="s">
        <v>333</v>
      </c>
      <c r="FQ2" s="1" t="s">
        <v>330</v>
      </c>
      <c r="FR2" s="1" t="s">
        <v>333</v>
      </c>
      <c r="FS2" s="1" t="s">
        <v>331</v>
      </c>
      <c r="FT2" s="1" t="s">
        <v>333</v>
      </c>
      <c r="FU2" s="1" t="s">
        <v>331</v>
      </c>
      <c r="FV2" s="1" t="s">
        <v>331</v>
      </c>
      <c r="FW2" s="1" t="s">
        <v>331</v>
      </c>
      <c r="FX2" s="1" t="s">
        <v>331</v>
      </c>
      <c r="FY2" s="1" t="s">
        <v>332</v>
      </c>
      <c r="FZ2" s="1" t="s">
        <v>330</v>
      </c>
      <c r="GA2" s="1" t="s">
        <v>333</v>
      </c>
      <c r="GB2" s="1" t="s">
        <v>331</v>
      </c>
      <c r="GC2" s="1" t="s">
        <v>331</v>
      </c>
      <c r="GD2" s="1" t="s">
        <v>332</v>
      </c>
      <c r="GE2" s="1" t="s">
        <v>330</v>
      </c>
      <c r="GF2" s="1" t="s">
        <v>331</v>
      </c>
      <c r="GG2" s="1" t="s">
        <v>330</v>
      </c>
      <c r="GH2" s="1" t="s">
        <v>330</v>
      </c>
      <c r="GI2" s="1" t="s">
        <v>331</v>
      </c>
      <c r="GJ2" s="1" t="s">
        <v>333</v>
      </c>
      <c r="GK2" s="1" t="s">
        <v>332</v>
      </c>
      <c r="GL2" s="1" t="s">
        <v>331</v>
      </c>
      <c r="GM2" s="1" t="s">
        <v>331</v>
      </c>
      <c r="GN2" s="1" t="s">
        <v>333</v>
      </c>
      <c r="GO2" s="1" t="s">
        <v>333</v>
      </c>
      <c r="GP2" s="1" t="s">
        <v>332</v>
      </c>
      <c r="GQ2" s="1" t="s">
        <v>330</v>
      </c>
      <c r="GR2" s="1" t="s">
        <v>333</v>
      </c>
      <c r="GS2" s="1" t="s">
        <v>333</v>
      </c>
      <c r="GT2" s="1" t="s">
        <v>331</v>
      </c>
      <c r="GU2" s="1" t="s">
        <v>333</v>
      </c>
      <c r="GV2" s="1" t="s">
        <v>333</v>
      </c>
      <c r="GW2" s="1" t="s">
        <v>331</v>
      </c>
      <c r="GX2" s="1" t="s">
        <v>331</v>
      </c>
      <c r="GY2" s="1" t="s">
        <v>330</v>
      </c>
      <c r="GZ2" s="1" t="s">
        <v>331</v>
      </c>
      <c r="HA2" s="1" t="s">
        <v>330</v>
      </c>
      <c r="HB2" s="1" t="s">
        <v>331</v>
      </c>
      <c r="HC2" s="1" t="s">
        <v>330</v>
      </c>
      <c r="HD2" s="1" t="s">
        <v>332</v>
      </c>
      <c r="HE2" s="1" t="s">
        <v>332</v>
      </c>
      <c r="HF2" s="1" t="s">
        <v>331</v>
      </c>
      <c r="HG2" s="1" t="s">
        <v>333</v>
      </c>
      <c r="HH2" s="1" t="s">
        <v>333</v>
      </c>
      <c r="HI2" s="1" t="s">
        <v>333</v>
      </c>
      <c r="HJ2" s="1" t="s">
        <v>333</v>
      </c>
      <c r="HK2" s="1" t="s">
        <v>333</v>
      </c>
      <c r="HL2" s="1" t="s">
        <v>330</v>
      </c>
      <c r="HM2" s="1" t="s">
        <v>333</v>
      </c>
      <c r="HN2" s="1" t="s">
        <v>330</v>
      </c>
      <c r="HO2" s="1" t="s">
        <v>331</v>
      </c>
      <c r="HP2" s="1" t="s">
        <v>330</v>
      </c>
      <c r="HQ2" s="1" t="s">
        <v>333</v>
      </c>
      <c r="HR2" s="1" t="s">
        <v>333</v>
      </c>
      <c r="HS2" s="1" t="s">
        <v>330</v>
      </c>
      <c r="HT2" s="1" t="s">
        <v>331</v>
      </c>
      <c r="HU2" s="1" t="s">
        <v>332</v>
      </c>
      <c r="HV2" s="1" t="s">
        <v>336</v>
      </c>
      <c r="HW2" s="1" t="s">
        <v>333</v>
      </c>
      <c r="HX2" s="1" t="s">
        <v>331</v>
      </c>
      <c r="HY2" s="1" t="s">
        <v>333</v>
      </c>
      <c r="HZ2" s="1" t="s">
        <v>331</v>
      </c>
      <c r="IA2" s="1" t="s">
        <v>333</v>
      </c>
      <c r="IB2" s="1" t="s">
        <v>331</v>
      </c>
      <c r="IC2" s="1" t="s">
        <v>331</v>
      </c>
      <c r="ID2" s="1" t="s">
        <v>331</v>
      </c>
      <c r="IE2" s="1" t="s">
        <v>333</v>
      </c>
      <c r="IF2" s="1" t="s">
        <v>333</v>
      </c>
      <c r="IG2" s="1" t="s">
        <v>330</v>
      </c>
      <c r="IH2" s="1" t="s">
        <v>333</v>
      </c>
      <c r="II2" s="1" t="s">
        <v>333</v>
      </c>
      <c r="IJ2" s="1" t="s">
        <v>330</v>
      </c>
      <c r="IK2" s="1" t="s">
        <v>330</v>
      </c>
      <c r="IL2" s="1" t="s">
        <v>331</v>
      </c>
      <c r="IM2" s="1" t="s">
        <v>331</v>
      </c>
      <c r="IN2" s="1" t="s">
        <v>331</v>
      </c>
      <c r="IO2" s="1" t="s">
        <v>333</v>
      </c>
      <c r="IP2" s="1" t="s">
        <v>331</v>
      </c>
      <c r="IQ2" s="1" t="s">
        <v>331</v>
      </c>
      <c r="IR2" s="1" t="s">
        <v>330</v>
      </c>
      <c r="IS2" s="1" t="s">
        <v>331</v>
      </c>
      <c r="IT2" s="1" t="s">
        <v>333</v>
      </c>
      <c r="IU2" s="1" t="s">
        <v>330</v>
      </c>
      <c r="IV2" s="1" t="s">
        <v>333</v>
      </c>
      <c r="IW2" s="1" t="s">
        <v>333</v>
      </c>
      <c r="IX2" s="1" t="s">
        <v>330</v>
      </c>
      <c r="IY2" s="1" t="s">
        <v>331</v>
      </c>
      <c r="IZ2" s="1" t="s">
        <v>330</v>
      </c>
      <c r="JA2" s="1" t="s">
        <v>330</v>
      </c>
      <c r="JB2" s="1" t="s">
        <v>330</v>
      </c>
      <c r="JC2" s="1" t="s">
        <v>333</v>
      </c>
      <c r="JD2" s="1" t="s">
        <v>333</v>
      </c>
      <c r="JE2" s="1" t="s">
        <v>333</v>
      </c>
      <c r="JF2" s="1" t="s">
        <v>330</v>
      </c>
      <c r="JG2" s="1" t="s">
        <v>330</v>
      </c>
      <c r="JH2" s="1" t="s">
        <v>333</v>
      </c>
      <c r="JI2" s="1" t="s">
        <v>330</v>
      </c>
      <c r="JJ2" s="1" t="s">
        <v>332</v>
      </c>
      <c r="JK2" s="1" t="s">
        <v>330</v>
      </c>
      <c r="JL2" s="1" t="s">
        <v>330</v>
      </c>
      <c r="JM2" s="1" t="s">
        <v>330</v>
      </c>
      <c r="JN2" s="1" t="s">
        <v>333</v>
      </c>
      <c r="JO2" s="1" t="s">
        <v>331</v>
      </c>
      <c r="JP2" s="1" t="s">
        <v>330</v>
      </c>
      <c r="JQ2" s="1" t="s">
        <v>330</v>
      </c>
      <c r="JR2" s="1" t="s">
        <v>332</v>
      </c>
      <c r="JS2" s="1" t="s">
        <v>333</v>
      </c>
      <c r="JT2" s="1" t="s">
        <v>332</v>
      </c>
    </row>
    <row r="3" spans="1:280" x14ac:dyDescent="0.35">
      <c r="A3" s="1" t="s">
        <v>1734</v>
      </c>
      <c r="D3" s="1" t="s">
        <v>1740</v>
      </c>
      <c r="E3" s="1">
        <v>5704</v>
      </c>
      <c r="G3" s="1" t="s">
        <v>1686</v>
      </c>
      <c r="H3" s="1" t="s">
        <v>312</v>
      </c>
      <c r="I3" s="1" t="s">
        <v>1707</v>
      </c>
      <c r="J3" s="1" t="s">
        <v>1735</v>
      </c>
      <c r="K3" s="1" t="s">
        <v>1736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1</v>
      </c>
      <c r="T3" s="1">
        <v>0</v>
      </c>
      <c r="U3" s="1">
        <v>0</v>
      </c>
      <c r="V3" s="1">
        <v>0</v>
      </c>
      <c r="W3" s="1">
        <v>1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1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1</v>
      </c>
      <c r="AM3" s="1">
        <v>1</v>
      </c>
      <c r="AN3" s="1">
        <v>1</v>
      </c>
      <c r="AO3" s="1">
        <v>0</v>
      </c>
      <c r="AP3" s="1">
        <v>0</v>
      </c>
      <c r="AQ3" s="1">
        <v>0</v>
      </c>
      <c r="AR3" s="1">
        <v>1</v>
      </c>
      <c r="AS3" s="1">
        <v>0</v>
      </c>
      <c r="AT3" s="1">
        <v>1</v>
      </c>
      <c r="AU3" s="1">
        <v>0</v>
      </c>
      <c r="AV3" s="1">
        <v>1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1</v>
      </c>
      <c r="BK3" s="1">
        <v>0</v>
      </c>
      <c r="BL3" s="1">
        <v>1</v>
      </c>
      <c r="BM3" s="1">
        <v>0</v>
      </c>
      <c r="BN3" s="1">
        <v>0</v>
      </c>
      <c r="BO3" s="1">
        <v>1</v>
      </c>
      <c r="BP3" s="1">
        <v>0</v>
      </c>
      <c r="BQ3" s="1">
        <v>0</v>
      </c>
      <c r="BR3" s="1">
        <v>1</v>
      </c>
      <c r="BS3" s="1">
        <v>0</v>
      </c>
      <c r="BT3" s="1">
        <v>0</v>
      </c>
      <c r="BU3" s="1">
        <v>0</v>
      </c>
      <c r="BV3" s="1">
        <v>1</v>
      </c>
      <c r="BW3" s="1">
        <v>0</v>
      </c>
      <c r="BX3" s="1">
        <v>0</v>
      </c>
      <c r="BY3" s="1">
        <v>0</v>
      </c>
      <c r="BZ3" s="1">
        <v>1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1</v>
      </c>
      <c r="CG3" s="1">
        <v>1</v>
      </c>
      <c r="CH3" s="1">
        <v>0</v>
      </c>
      <c r="CI3" s="1">
        <v>1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1</v>
      </c>
      <c r="CW3" s="1">
        <v>1</v>
      </c>
      <c r="CX3" s="1">
        <v>0</v>
      </c>
      <c r="CY3" s="1">
        <v>1</v>
      </c>
      <c r="CZ3" s="1">
        <v>0</v>
      </c>
      <c r="DA3" s="1">
        <v>0</v>
      </c>
      <c r="DB3" s="1">
        <v>1</v>
      </c>
      <c r="DC3" s="1">
        <v>0</v>
      </c>
      <c r="DD3" s="1">
        <v>1</v>
      </c>
      <c r="DE3" s="1">
        <v>0</v>
      </c>
      <c r="DF3" s="1">
        <v>1</v>
      </c>
      <c r="DG3" s="1">
        <v>0</v>
      </c>
      <c r="DH3" s="1">
        <v>0</v>
      </c>
      <c r="DI3" s="1">
        <v>0</v>
      </c>
      <c r="DJ3" s="1">
        <v>1</v>
      </c>
      <c r="DK3" s="1">
        <v>0</v>
      </c>
      <c r="DL3" s="1">
        <v>0</v>
      </c>
      <c r="DM3" s="1">
        <v>1</v>
      </c>
      <c r="DN3" s="1">
        <v>0</v>
      </c>
      <c r="DO3" s="1">
        <v>1</v>
      </c>
      <c r="DP3" s="1">
        <v>0</v>
      </c>
      <c r="DQ3" s="1">
        <v>0</v>
      </c>
      <c r="DR3" s="1">
        <v>1</v>
      </c>
      <c r="DS3" s="1">
        <v>0</v>
      </c>
      <c r="DT3" s="1">
        <v>0</v>
      </c>
      <c r="DU3" s="1">
        <v>1</v>
      </c>
      <c r="DV3" s="1">
        <v>0</v>
      </c>
      <c r="DW3" s="1">
        <v>0</v>
      </c>
      <c r="DX3" s="1">
        <v>0</v>
      </c>
      <c r="DY3" s="1">
        <v>1</v>
      </c>
      <c r="DZ3" s="1">
        <v>1</v>
      </c>
      <c r="EA3" s="1">
        <v>0</v>
      </c>
      <c r="EB3" s="1">
        <v>1</v>
      </c>
      <c r="EC3" s="1">
        <v>1</v>
      </c>
      <c r="ED3" s="1">
        <v>0</v>
      </c>
      <c r="EE3" s="1">
        <v>1</v>
      </c>
      <c r="EF3" s="1">
        <v>1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 t="s">
        <v>333</v>
      </c>
      <c r="ER3" s="1" t="s">
        <v>333</v>
      </c>
      <c r="ES3" s="1" t="s">
        <v>330</v>
      </c>
      <c r="ET3" s="1" t="s">
        <v>332</v>
      </c>
      <c r="EU3" s="1" t="s">
        <v>330</v>
      </c>
      <c r="EV3" s="1" t="s">
        <v>331</v>
      </c>
      <c r="EW3" s="1" t="s">
        <v>332</v>
      </c>
      <c r="EX3" s="1" t="s">
        <v>330</v>
      </c>
      <c r="EY3" s="1" t="s">
        <v>330</v>
      </c>
      <c r="EZ3" s="1" t="s">
        <v>331</v>
      </c>
      <c r="FA3" s="1" t="s">
        <v>332</v>
      </c>
      <c r="FB3" s="1" t="s">
        <v>332</v>
      </c>
      <c r="FC3" s="1" t="s">
        <v>330</v>
      </c>
      <c r="FD3" s="1" t="s">
        <v>333</v>
      </c>
      <c r="FE3" s="1" t="s">
        <v>332</v>
      </c>
      <c r="FF3" s="1" t="s">
        <v>330</v>
      </c>
      <c r="FG3" s="1" t="s">
        <v>330</v>
      </c>
      <c r="FH3" s="1" t="s">
        <v>333</v>
      </c>
      <c r="FI3" s="1" t="s">
        <v>333</v>
      </c>
      <c r="FJ3" s="1" t="s">
        <v>332</v>
      </c>
      <c r="FK3" s="1" t="s">
        <v>332</v>
      </c>
      <c r="FL3" s="1" t="s">
        <v>331</v>
      </c>
      <c r="FM3" s="1" t="s">
        <v>332</v>
      </c>
      <c r="FN3" s="1" t="s">
        <v>331</v>
      </c>
      <c r="FO3" s="1" t="s">
        <v>330</v>
      </c>
      <c r="FP3" s="1" t="s">
        <v>330</v>
      </c>
      <c r="FQ3" s="1" t="s">
        <v>330</v>
      </c>
      <c r="FR3" s="1" t="s">
        <v>333</v>
      </c>
      <c r="FS3" s="1" t="s">
        <v>332</v>
      </c>
      <c r="FT3" s="1" t="s">
        <v>330</v>
      </c>
      <c r="FU3" s="1" t="s">
        <v>332</v>
      </c>
      <c r="FV3" s="1" t="s">
        <v>331</v>
      </c>
      <c r="FW3" s="1" t="s">
        <v>330</v>
      </c>
      <c r="FX3" s="1" t="s">
        <v>331</v>
      </c>
      <c r="FY3" s="1" t="s">
        <v>333</v>
      </c>
      <c r="FZ3" s="1" t="s">
        <v>331</v>
      </c>
      <c r="GA3" s="1" t="s">
        <v>332</v>
      </c>
      <c r="GB3" s="1" t="s">
        <v>332</v>
      </c>
      <c r="GC3" s="1" t="s">
        <v>333</v>
      </c>
      <c r="GD3" s="1" t="s">
        <v>333</v>
      </c>
      <c r="GE3" s="1" t="s">
        <v>332</v>
      </c>
      <c r="GF3" s="1" t="s">
        <v>330</v>
      </c>
      <c r="GG3" s="1" t="s">
        <v>331</v>
      </c>
      <c r="GH3" s="1" t="s">
        <v>332</v>
      </c>
      <c r="GI3" s="1" t="s">
        <v>332</v>
      </c>
      <c r="GJ3" s="1" t="s">
        <v>331</v>
      </c>
      <c r="GK3" s="1" t="s">
        <v>330</v>
      </c>
      <c r="GL3" s="1" t="s">
        <v>330</v>
      </c>
      <c r="GM3" s="1" t="s">
        <v>332</v>
      </c>
      <c r="GN3" s="1" t="s">
        <v>333</v>
      </c>
      <c r="GO3" s="1" t="s">
        <v>330</v>
      </c>
      <c r="GP3" s="1" t="s">
        <v>332</v>
      </c>
      <c r="GQ3" s="1" t="s">
        <v>330</v>
      </c>
      <c r="GR3" s="1" t="s">
        <v>331</v>
      </c>
      <c r="GS3" s="1" t="s">
        <v>333</v>
      </c>
      <c r="GT3" s="1" t="s">
        <v>330</v>
      </c>
      <c r="GU3" s="1" t="s">
        <v>331</v>
      </c>
      <c r="GV3" s="1" t="s">
        <v>333</v>
      </c>
      <c r="GW3" s="1" t="s">
        <v>333</v>
      </c>
      <c r="GX3" s="1" t="s">
        <v>330</v>
      </c>
      <c r="GY3" s="1" t="s">
        <v>332</v>
      </c>
      <c r="GZ3" s="1" t="s">
        <v>331</v>
      </c>
      <c r="HA3" s="1" t="s">
        <v>332</v>
      </c>
      <c r="HB3" s="1" t="s">
        <v>332</v>
      </c>
      <c r="HC3" s="1" t="s">
        <v>333</v>
      </c>
      <c r="HD3" s="1" t="s">
        <v>332</v>
      </c>
      <c r="HE3" s="1" t="s">
        <v>330</v>
      </c>
      <c r="HF3" s="1" t="s">
        <v>332</v>
      </c>
      <c r="HG3" s="1" t="s">
        <v>330</v>
      </c>
      <c r="HH3" s="1" t="s">
        <v>331</v>
      </c>
      <c r="HI3" s="1" t="s">
        <v>332</v>
      </c>
      <c r="HJ3" s="1" t="s">
        <v>333</v>
      </c>
      <c r="HK3" s="1" t="s">
        <v>333</v>
      </c>
      <c r="HL3" s="1" t="s">
        <v>332</v>
      </c>
      <c r="HM3" s="1" t="s">
        <v>330</v>
      </c>
      <c r="HN3" s="1" t="s">
        <v>333</v>
      </c>
      <c r="HO3" s="1" t="s">
        <v>330</v>
      </c>
      <c r="HP3" s="1" t="s">
        <v>333</v>
      </c>
      <c r="HQ3" s="1" t="s">
        <v>330</v>
      </c>
      <c r="HR3" s="1" t="s">
        <v>330</v>
      </c>
      <c r="HS3" s="1" t="s">
        <v>337</v>
      </c>
      <c r="HT3" s="1" t="s">
        <v>332</v>
      </c>
      <c r="HU3" s="1" t="s">
        <v>333</v>
      </c>
      <c r="HV3" s="1" t="s">
        <v>335</v>
      </c>
      <c r="HW3" s="1" t="s">
        <v>330</v>
      </c>
      <c r="HX3" s="1" t="s">
        <v>331</v>
      </c>
      <c r="HY3" s="1" t="s">
        <v>331</v>
      </c>
      <c r="HZ3" s="1" t="s">
        <v>330</v>
      </c>
      <c r="IA3" s="1" t="s">
        <v>333</v>
      </c>
      <c r="IB3" s="1" t="s">
        <v>333</v>
      </c>
      <c r="IC3" s="1" t="s">
        <v>333</v>
      </c>
      <c r="ID3" s="1" t="s">
        <v>331</v>
      </c>
      <c r="IE3" s="1" t="s">
        <v>333</v>
      </c>
      <c r="IF3" s="1" t="s">
        <v>333</v>
      </c>
      <c r="IG3" s="1" t="s">
        <v>331</v>
      </c>
      <c r="IH3" s="1" t="s">
        <v>330</v>
      </c>
      <c r="II3" s="1" t="s">
        <v>330</v>
      </c>
      <c r="IJ3" s="1" t="s">
        <v>331</v>
      </c>
      <c r="IK3" s="1" t="s">
        <v>333</v>
      </c>
      <c r="IL3" s="1" t="s">
        <v>330</v>
      </c>
      <c r="IM3" s="1" t="s">
        <v>331</v>
      </c>
      <c r="IN3" s="1" t="s">
        <v>331</v>
      </c>
      <c r="IO3" s="1" t="s">
        <v>330</v>
      </c>
      <c r="IP3" s="1" t="s">
        <v>333</v>
      </c>
      <c r="IQ3" s="1" t="s">
        <v>331</v>
      </c>
      <c r="IR3" s="1" t="s">
        <v>330</v>
      </c>
      <c r="IS3" s="1" t="s">
        <v>333</v>
      </c>
      <c r="IT3" s="1" t="s">
        <v>330</v>
      </c>
      <c r="IU3" s="1" t="s">
        <v>331</v>
      </c>
      <c r="IV3" s="1" t="s">
        <v>331</v>
      </c>
      <c r="IW3" s="1" t="s">
        <v>330</v>
      </c>
      <c r="IX3" s="1" t="s">
        <v>330</v>
      </c>
      <c r="IY3" s="1" t="s">
        <v>331</v>
      </c>
      <c r="IZ3" s="1" t="s">
        <v>333</v>
      </c>
      <c r="JA3" s="1" t="s">
        <v>333</v>
      </c>
      <c r="JB3" s="1" t="s">
        <v>331</v>
      </c>
      <c r="JC3" s="1" t="s">
        <v>333</v>
      </c>
      <c r="JD3" s="1" t="s">
        <v>330</v>
      </c>
      <c r="JE3" s="1" t="s">
        <v>331</v>
      </c>
      <c r="JF3" s="1" t="s">
        <v>333</v>
      </c>
      <c r="JG3" s="1" t="s">
        <v>332</v>
      </c>
      <c r="JH3" s="1" t="s">
        <v>333</v>
      </c>
      <c r="JI3" s="1" t="s">
        <v>331</v>
      </c>
      <c r="JJ3" s="1" t="s">
        <v>330</v>
      </c>
      <c r="JK3" s="1" t="s">
        <v>331</v>
      </c>
      <c r="JL3" s="1" t="s">
        <v>330</v>
      </c>
      <c r="JM3" s="1" t="s">
        <v>332</v>
      </c>
      <c r="JN3" s="1" t="s">
        <v>333</v>
      </c>
      <c r="JO3" s="1" t="s">
        <v>332</v>
      </c>
      <c r="JP3" s="1" t="s">
        <v>332</v>
      </c>
      <c r="JQ3" s="1" t="s">
        <v>333</v>
      </c>
      <c r="JR3" s="1" t="s">
        <v>332</v>
      </c>
      <c r="JS3" s="1" t="s">
        <v>330</v>
      </c>
      <c r="JT3" s="1" t="s">
        <v>331</v>
      </c>
    </row>
    <row r="4" spans="1:280" x14ac:dyDescent="0.35">
      <c r="A4" s="1" t="s">
        <v>1734</v>
      </c>
      <c r="D4" s="1" t="s">
        <v>1741</v>
      </c>
      <c r="E4" s="1">
        <v>5705</v>
      </c>
      <c r="G4" s="1" t="s">
        <v>314</v>
      </c>
      <c r="H4" s="1" t="s">
        <v>312</v>
      </c>
      <c r="I4" s="1" t="s">
        <v>324</v>
      </c>
      <c r="J4" s="1" t="s">
        <v>1735</v>
      </c>
      <c r="K4" s="1" t="s">
        <v>1736</v>
      </c>
      <c r="M4" s="1">
        <v>1</v>
      </c>
      <c r="N4" s="1">
        <v>1</v>
      </c>
      <c r="O4" s="1">
        <v>1</v>
      </c>
      <c r="P4" s="1">
        <v>0</v>
      </c>
      <c r="Q4" s="1">
        <v>0</v>
      </c>
      <c r="R4" s="1">
        <v>1</v>
      </c>
      <c r="S4" s="1">
        <v>0</v>
      </c>
      <c r="T4" s="1">
        <v>0</v>
      </c>
      <c r="U4" s="1">
        <v>1</v>
      </c>
      <c r="V4" s="1">
        <v>1</v>
      </c>
      <c r="W4" s="1">
        <v>1</v>
      </c>
      <c r="X4" s="1">
        <v>1</v>
      </c>
      <c r="Y4" s="1">
        <v>0</v>
      </c>
      <c r="Z4" s="1">
        <v>1</v>
      </c>
      <c r="AA4" s="1">
        <v>0</v>
      </c>
      <c r="AB4" s="1">
        <v>1</v>
      </c>
      <c r="AC4" s="1">
        <v>0</v>
      </c>
      <c r="AD4" s="1">
        <v>0</v>
      </c>
      <c r="AE4" s="1">
        <v>1</v>
      </c>
      <c r="AF4" s="1">
        <v>1</v>
      </c>
      <c r="AG4" s="1">
        <v>1</v>
      </c>
      <c r="AH4" s="1">
        <v>0</v>
      </c>
      <c r="AI4" s="1">
        <v>0</v>
      </c>
      <c r="AJ4" s="1">
        <v>0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0</v>
      </c>
      <c r="AQ4" s="1">
        <v>1</v>
      </c>
      <c r="AR4" s="1">
        <v>1</v>
      </c>
      <c r="AS4" s="1">
        <v>0</v>
      </c>
      <c r="AT4" s="1">
        <v>0</v>
      </c>
      <c r="AU4" s="1">
        <v>0</v>
      </c>
      <c r="AV4" s="1">
        <v>0</v>
      </c>
      <c r="AW4" s="1">
        <v>1</v>
      </c>
      <c r="AX4" s="1">
        <v>1</v>
      </c>
      <c r="AY4" s="1">
        <v>1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1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1</v>
      </c>
      <c r="BR4" s="1">
        <v>1</v>
      </c>
      <c r="BS4" s="1">
        <v>0</v>
      </c>
      <c r="BT4" s="1">
        <v>1</v>
      </c>
      <c r="BU4" s="1">
        <v>1</v>
      </c>
      <c r="BV4" s="1">
        <v>0</v>
      </c>
      <c r="BW4" s="1">
        <v>1</v>
      </c>
      <c r="BX4" s="1">
        <v>0</v>
      </c>
      <c r="BY4" s="1">
        <v>1</v>
      </c>
      <c r="BZ4" s="1">
        <v>1</v>
      </c>
      <c r="CA4" s="1">
        <v>0</v>
      </c>
      <c r="CB4" s="1">
        <v>1</v>
      </c>
      <c r="CC4" s="1">
        <v>1</v>
      </c>
      <c r="CD4" s="1">
        <v>1</v>
      </c>
      <c r="CE4" s="1">
        <v>0</v>
      </c>
      <c r="CF4" s="1">
        <v>0</v>
      </c>
      <c r="CG4" s="1">
        <v>0</v>
      </c>
      <c r="CH4" s="1">
        <v>1</v>
      </c>
      <c r="CI4" s="1">
        <v>0</v>
      </c>
      <c r="CJ4" s="1">
        <v>0</v>
      </c>
      <c r="CK4" s="1">
        <v>0</v>
      </c>
      <c r="CL4" s="1">
        <v>0</v>
      </c>
      <c r="CM4" s="1">
        <v>1</v>
      </c>
      <c r="CN4" s="1">
        <v>1</v>
      </c>
      <c r="CO4" s="1">
        <v>1</v>
      </c>
      <c r="CP4" s="1">
        <v>1</v>
      </c>
      <c r="CQ4" s="1">
        <v>0</v>
      </c>
      <c r="CR4" s="1">
        <v>0</v>
      </c>
      <c r="CS4" s="1">
        <v>1</v>
      </c>
      <c r="CT4" s="1">
        <v>0</v>
      </c>
      <c r="CU4" s="1">
        <v>1</v>
      </c>
      <c r="CV4" s="1">
        <v>0</v>
      </c>
      <c r="CW4" s="1">
        <v>1</v>
      </c>
      <c r="CX4" s="1">
        <v>0</v>
      </c>
      <c r="CY4" s="1">
        <v>0</v>
      </c>
      <c r="CZ4" s="1">
        <v>0</v>
      </c>
      <c r="DA4" s="1">
        <v>0</v>
      </c>
      <c r="DB4" s="1">
        <v>1</v>
      </c>
      <c r="DC4" s="1">
        <v>1</v>
      </c>
      <c r="DD4" s="1">
        <v>1</v>
      </c>
      <c r="DE4" s="1">
        <v>1</v>
      </c>
      <c r="DF4" s="1">
        <v>0</v>
      </c>
      <c r="DG4" s="1">
        <v>0</v>
      </c>
      <c r="DH4" s="1">
        <v>1</v>
      </c>
      <c r="DI4" s="1">
        <v>1</v>
      </c>
      <c r="DJ4" s="1">
        <v>0</v>
      </c>
      <c r="DK4" s="1">
        <v>1</v>
      </c>
      <c r="DL4" s="1">
        <v>1</v>
      </c>
      <c r="DM4" s="1">
        <v>0</v>
      </c>
      <c r="DN4" s="1">
        <v>0</v>
      </c>
      <c r="DO4" s="1">
        <v>1</v>
      </c>
      <c r="DP4" s="1">
        <v>1</v>
      </c>
      <c r="DQ4" s="1">
        <v>1</v>
      </c>
      <c r="DR4" s="1">
        <v>1</v>
      </c>
      <c r="DS4" s="1">
        <v>0</v>
      </c>
      <c r="DT4" s="1">
        <v>0</v>
      </c>
      <c r="DU4" s="1">
        <v>1</v>
      </c>
      <c r="DV4" s="1">
        <v>1</v>
      </c>
      <c r="DW4" s="1">
        <v>0</v>
      </c>
      <c r="DX4" s="1">
        <v>1</v>
      </c>
      <c r="DY4" s="1">
        <v>1</v>
      </c>
      <c r="DZ4" s="1">
        <v>0</v>
      </c>
      <c r="EA4" s="1">
        <v>0</v>
      </c>
      <c r="EB4" s="1">
        <v>1</v>
      </c>
      <c r="EC4" s="1">
        <v>0</v>
      </c>
      <c r="ED4" s="1">
        <v>0</v>
      </c>
      <c r="EE4" s="1">
        <v>1</v>
      </c>
      <c r="EF4" s="1">
        <v>1</v>
      </c>
      <c r="EG4" s="1">
        <v>0</v>
      </c>
      <c r="EH4" s="1">
        <v>0</v>
      </c>
      <c r="EI4" s="1">
        <v>0</v>
      </c>
      <c r="EJ4" s="1">
        <v>0</v>
      </c>
      <c r="EK4" s="1">
        <v>1</v>
      </c>
      <c r="EL4" s="1">
        <v>0</v>
      </c>
      <c r="EM4" s="1">
        <v>0</v>
      </c>
      <c r="EN4" s="1">
        <v>0</v>
      </c>
      <c r="EO4" s="1">
        <v>1</v>
      </c>
      <c r="EP4" s="1">
        <v>0</v>
      </c>
      <c r="EQ4" s="1" t="s">
        <v>330</v>
      </c>
      <c r="ER4" s="1" t="s">
        <v>331</v>
      </c>
      <c r="ES4" s="1" t="s">
        <v>333</v>
      </c>
      <c r="ET4" s="1" t="s">
        <v>330</v>
      </c>
      <c r="EU4" s="1" t="s">
        <v>330</v>
      </c>
      <c r="EV4" s="1" t="s">
        <v>330</v>
      </c>
      <c r="EW4" s="1" t="s">
        <v>331</v>
      </c>
      <c r="EX4" s="1" t="s">
        <v>333</v>
      </c>
      <c r="EY4" s="1" t="s">
        <v>331</v>
      </c>
      <c r="EZ4" s="1" t="s">
        <v>330</v>
      </c>
      <c r="FA4" s="1" t="s">
        <v>332</v>
      </c>
      <c r="FB4" s="1" t="s">
        <v>330</v>
      </c>
      <c r="FC4" s="1" t="s">
        <v>333</v>
      </c>
      <c r="FD4" s="1" t="s">
        <v>332</v>
      </c>
      <c r="FE4" s="1" t="s">
        <v>330</v>
      </c>
      <c r="FF4" s="1" t="s">
        <v>333</v>
      </c>
      <c r="FG4" s="1" t="s">
        <v>333</v>
      </c>
      <c r="FH4" s="1" t="s">
        <v>331</v>
      </c>
      <c r="FI4" s="1" t="s">
        <v>330</v>
      </c>
      <c r="FJ4" s="1" t="s">
        <v>330</v>
      </c>
      <c r="FK4" s="1" t="s">
        <v>331</v>
      </c>
      <c r="FL4" s="1" t="s">
        <v>332</v>
      </c>
      <c r="FM4" s="1" t="s">
        <v>331</v>
      </c>
      <c r="FN4" s="1" t="s">
        <v>331</v>
      </c>
      <c r="FO4" s="1" t="s">
        <v>331</v>
      </c>
      <c r="FP4" s="1" t="s">
        <v>330</v>
      </c>
      <c r="FQ4" s="1" t="s">
        <v>330</v>
      </c>
      <c r="FR4" s="1" t="s">
        <v>333</v>
      </c>
      <c r="FS4" s="1" t="s">
        <v>331</v>
      </c>
      <c r="FT4" s="1" t="s">
        <v>332</v>
      </c>
      <c r="FU4" s="1" t="s">
        <v>333</v>
      </c>
      <c r="FV4" s="1" t="s">
        <v>331</v>
      </c>
      <c r="FW4" s="1" t="s">
        <v>330</v>
      </c>
      <c r="FX4" s="1" t="s">
        <v>332</v>
      </c>
      <c r="FY4" s="1" t="s">
        <v>330</v>
      </c>
      <c r="FZ4" s="1" t="s">
        <v>330</v>
      </c>
      <c r="GA4" s="1" t="s">
        <v>333</v>
      </c>
      <c r="GB4" s="1" t="s">
        <v>331</v>
      </c>
      <c r="GC4" s="1" t="s">
        <v>331</v>
      </c>
      <c r="GD4" s="1" t="s">
        <v>333</v>
      </c>
      <c r="GE4" s="1" t="s">
        <v>330</v>
      </c>
      <c r="GF4" s="1" t="s">
        <v>333</v>
      </c>
      <c r="GG4" s="1" t="s">
        <v>331</v>
      </c>
      <c r="GH4" s="1" t="s">
        <v>333</v>
      </c>
      <c r="GI4" s="1" t="s">
        <v>332</v>
      </c>
      <c r="GJ4" s="1" t="s">
        <v>333</v>
      </c>
      <c r="GK4" s="1" t="s">
        <v>333</v>
      </c>
      <c r="GL4" s="1" t="s">
        <v>332</v>
      </c>
      <c r="GM4" s="1" t="s">
        <v>330</v>
      </c>
      <c r="GN4" s="1" t="s">
        <v>330</v>
      </c>
      <c r="GO4" s="1" t="s">
        <v>331</v>
      </c>
      <c r="GP4" s="1" t="s">
        <v>330</v>
      </c>
      <c r="GQ4" s="1" t="s">
        <v>333</v>
      </c>
      <c r="GR4" s="1" t="s">
        <v>331</v>
      </c>
      <c r="GS4" s="1" t="s">
        <v>331</v>
      </c>
      <c r="GT4" s="1" t="s">
        <v>330</v>
      </c>
      <c r="GU4" s="1" t="s">
        <v>333</v>
      </c>
      <c r="GV4" s="1" t="s">
        <v>333</v>
      </c>
      <c r="GW4" s="1" t="s">
        <v>333</v>
      </c>
      <c r="GX4" s="1" t="s">
        <v>331</v>
      </c>
      <c r="GY4" s="1" t="s">
        <v>330</v>
      </c>
      <c r="GZ4" s="1" t="s">
        <v>333</v>
      </c>
      <c r="HA4" s="1" t="s">
        <v>330</v>
      </c>
      <c r="HB4" s="1" t="s">
        <v>330</v>
      </c>
      <c r="HC4" s="1" t="s">
        <v>330</v>
      </c>
      <c r="HD4" s="1" t="s">
        <v>332</v>
      </c>
      <c r="HE4" s="1" t="s">
        <v>330</v>
      </c>
      <c r="HF4" s="1" t="s">
        <v>331</v>
      </c>
      <c r="HG4" s="1" t="s">
        <v>333</v>
      </c>
      <c r="HH4" s="1" t="s">
        <v>333</v>
      </c>
      <c r="HI4" s="1" t="s">
        <v>333</v>
      </c>
      <c r="HJ4" s="1" t="s">
        <v>331</v>
      </c>
      <c r="HK4" s="1" t="s">
        <v>331</v>
      </c>
      <c r="HL4" s="1" t="s">
        <v>330</v>
      </c>
      <c r="HM4" s="1" t="s">
        <v>333</v>
      </c>
      <c r="HN4" s="1" t="s">
        <v>333</v>
      </c>
      <c r="HO4" s="1" t="s">
        <v>332</v>
      </c>
      <c r="HP4" s="1" t="s">
        <v>332</v>
      </c>
      <c r="HQ4" s="1" t="s">
        <v>333</v>
      </c>
      <c r="HR4" s="1" t="s">
        <v>333</v>
      </c>
      <c r="HS4" s="1" t="s">
        <v>330</v>
      </c>
      <c r="HT4" s="1" t="s">
        <v>331</v>
      </c>
      <c r="HU4" s="1" t="s">
        <v>332</v>
      </c>
      <c r="HV4" s="1" t="s">
        <v>335</v>
      </c>
      <c r="HW4" s="1" t="s">
        <v>333</v>
      </c>
      <c r="HX4" s="1" t="s">
        <v>331</v>
      </c>
      <c r="HY4" s="1" t="s">
        <v>333</v>
      </c>
      <c r="HZ4" s="1" t="s">
        <v>333</v>
      </c>
      <c r="IA4" s="1" t="s">
        <v>333</v>
      </c>
      <c r="IB4" s="1" t="s">
        <v>330</v>
      </c>
      <c r="IC4" s="1" t="s">
        <v>330</v>
      </c>
      <c r="ID4" s="1" t="s">
        <v>331</v>
      </c>
      <c r="IE4" s="1" t="s">
        <v>333</v>
      </c>
      <c r="IF4" s="1" t="s">
        <v>333</v>
      </c>
      <c r="IG4" s="1" t="s">
        <v>330</v>
      </c>
      <c r="IH4" s="1" t="s">
        <v>330</v>
      </c>
      <c r="II4" s="1" t="s">
        <v>333</v>
      </c>
      <c r="IJ4" s="1" t="s">
        <v>333</v>
      </c>
      <c r="IK4" s="1" t="s">
        <v>330</v>
      </c>
      <c r="IL4" s="1" t="s">
        <v>331</v>
      </c>
      <c r="IM4" s="1" t="s">
        <v>333</v>
      </c>
      <c r="IN4" s="1" t="s">
        <v>330</v>
      </c>
      <c r="IO4" s="1" t="s">
        <v>333</v>
      </c>
      <c r="IP4" s="1" t="s">
        <v>330</v>
      </c>
      <c r="IQ4" s="1" t="s">
        <v>330</v>
      </c>
      <c r="IR4" s="1" t="s">
        <v>330</v>
      </c>
      <c r="IS4" s="1" t="s">
        <v>333</v>
      </c>
      <c r="IT4" s="1" t="s">
        <v>333</v>
      </c>
      <c r="IU4" s="1" t="s">
        <v>330</v>
      </c>
      <c r="IV4" s="1" t="s">
        <v>331</v>
      </c>
      <c r="IW4" s="1" t="s">
        <v>331</v>
      </c>
      <c r="IX4" s="1" t="s">
        <v>330</v>
      </c>
      <c r="IY4" s="1" t="s">
        <v>331</v>
      </c>
      <c r="IZ4" s="1" t="s">
        <v>330</v>
      </c>
      <c r="JA4" s="1" t="s">
        <v>330</v>
      </c>
      <c r="JB4" s="1" t="s">
        <v>330</v>
      </c>
      <c r="JC4" s="1" t="s">
        <v>333</v>
      </c>
      <c r="JD4" s="1" t="s">
        <v>333</v>
      </c>
      <c r="JE4" s="1" t="s">
        <v>330</v>
      </c>
      <c r="JF4" s="1" t="s">
        <v>333</v>
      </c>
      <c r="JG4" s="1" t="s">
        <v>330</v>
      </c>
      <c r="JH4" s="1" t="s">
        <v>330</v>
      </c>
      <c r="JI4" s="1" t="s">
        <v>331</v>
      </c>
      <c r="JJ4" s="1" t="s">
        <v>330</v>
      </c>
      <c r="JK4" s="1" t="s">
        <v>330</v>
      </c>
      <c r="JL4" s="1" t="s">
        <v>330</v>
      </c>
      <c r="JM4" s="1" t="s">
        <v>333</v>
      </c>
      <c r="JN4" s="1" t="s">
        <v>333</v>
      </c>
      <c r="JO4" s="1" t="s">
        <v>333</v>
      </c>
      <c r="JP4" s="1" t="s">
        <v>333</v>
      </c>
      <c r="JQ4" s="1" t="s">
        <v>330</v>
      </c>
      <c r="JR4" s="1" t="s">
        <v>331</v>
      </c>
      <c r="JS4" s="1" t="s">
        <v>333</v>
      </c>
      <c r="JT4" s="1" t="s">
        <v>333</v>
      </c>
    </row>
    <row r="5" spans="1:280" x14ac:dyDescent="0.35">
      <c r="A5" s="1" t="s">
        <v>1734</v>
      </c>
      <c r="D5" s="1" t="s">
        <v>1742</v>
      </c>
      <c r="E5" s="1">
        <v>5706</v>
      </c>
      <c r="G5" s="1" t="s">
        <v>183</v>
      </c>
      <c r="H5" s="1" t="s">
        <v>312</v>
      </c>
      <c r="I5" s="1" t="s">
        <v>1702</v>
      </c>
      <c r="J5" s="1" t="s">
        <v>1735</v>
      </c>
      <c r="K5" s="1" t="s">
        <v>1736</v>
      </c>
      <c r="M5" s="1">
        <v>0</v>
      </c>
      <c r="N5" s="1">
        <v>0</v>
      </c>
      <c r="O5" s="1">
        <v>0</v>
      </c>
      <c r="P5" s="1">
        <v>1</v>
      </c>
      <c r="Q5" s="1">
        <v>0</v>
      </c>
      <c r="R5" s="1">
        <v>1</v>
      </c>
      <c r="S5" s="1">
        <v>0</v>
      </c>
      <c r="T5" s="1">
        <v>1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1</v>
      </c>
      <c r="AA5" s="1">
        <v>0</v>
      </c>
      <c r="AB5" s="1">
        <v>0</v>
      </c>
      <c r="AC5" s="1">
        <v>0</v>
      </c>
      <c r="AD5" s="1">
        <v>1</v>
      </c>
      <c r="AE5" s="1">
        <v>1</v>
      </c>
      <c r="AF5" s="1">
        <v>1</v>
      </c>
      <c r="AG5" s="1">
        <v>1</v>
      </c>
      <c r="AH5" s="1">
        <v>0</v>
      </c>
      <c r="AI5" s="1">
        <v>1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1</v>
      </c>
      <c r="AP5" s="1">
        <v>1</v>
      </c>
      <c r="AQ5" s="1">
        <v>1</v>
      </c>
      <c r="AR5" s="1">
        <v>1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1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1</v>
      </c>
      <c r="BJ5" s="1">
        <v>0</v>
      </c>
      <c r="BK5" s="1">
        <v>0</v>
      </c>
      <c r="BL5" s="1">
        <v>0</v>
      </c>
      <c r="BM5" s="1">
        <v>1</v>
      </c>
      <c r="BN5" s="1">
        <v>0</v>
      </c>
      <c r="BO5" s="1">
        <v>0</v>
      </c>
      <c r="BP5" s="1">
        <v>1</v>
      </c>
      <c r="BQ5" s="1">
        <v>1</v>
      </c>
      <c r="BR5" s="1">
        <v>0</v>
      </c>
      <c r="BS5" s="1">
        <v>1</v>
      </c>
      <c r="BT5" s="1">
        <v>0</v>
      </c>
      <c r="BU5" s="1">
        <v>1</v>
      </c>
      <c r="BV5" s="1">
        <v>1</v>
      </c>
      <c r="BW5" s="1">
        <v>0</v>
      </c>
      <c r="BX5" s="1">
        <v>0</v>
      </c>
      <c r="BY5" s="1">
        <v>1</v>
      </c>
      <c r="BZ5" s="1">
        <v>0</v>
      </c>
      <c r="CA5" s="1">
        <v>0</v>
      </c>
      <c r="CB5" s="1">
        <v>0</v>
      </c>
      <c r="CC5" s="1">
        <v>1</v>
      </c>
      <c r="CD5" s="1">
        <v>1</v>
      </c>
      <c r="CE5" s="1">
        <v>1</v>
      </c>
      <c r="CF5" s="1">
        <v>0</v>
      </c>
      <c r="CG5" s="1">
        <v>1</v>
      </c>
      <c r="CH5" s="1">
        <v>0</v>
      </c>
      <c r="CI5" s="1">
        <v>0</v>
      </c>
      <c r="CJ5" s="1">
        <v>0</v>
      </c>
      <c r="CK5" s="1">
        <v>1</v>
      </c>
      <c r="CL5" s="1">
        <v>1</v>
      </c>
      <c r="CM5" s="1">
        <v>0</v>
      </c>
      <c r="CN5" s="1">
        <v>1</v>
      </c>
      <c r="CO5" s="1">
        <v>1</v>
      </c>
      <c r="CP5" s="1">
        <v>1</v>
      </c>
      <c r="CQ5" s="1">
        <v>0</v>
      </c>
      <c r="CR5" s="1">
        <v>0</v>
      </c>
      <c r="CS5" s="1">
        <v>0</v>
      </c>
      <c r="CT5" s="1">
        <v>1</v>
      </c>
      <c r="CU5" s="1">
        <v>1</v>
      </c>
      <c r="CV5" s="1">
        <v>1</v>
      </c>
      <c r="CW5" s="1">
        <v>1</v>
      </c>
      <c r="CX5" s="1">
        <v>0</v>
      </c>
      <c r="CY5" s="1">
        <v>1</v>
      </c>
      <c r="CZ5" s="1">
        <v>0</v>
      </c>
      <c r="DA5" s="1">
        <v>0</v>
      </c>
      <c r="DB5" s="1">
        <v>0</v>
      </c>
      <c r="DC5" s="1">
        <v>1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1</v>
      </c>
      <c r="DO5" s="1">
        <v>1</v>
      </c>
      <c r="DP5" s="1">
        <v>0</v>
      </c>
      <c r="DQ5" s="1">
        <v>0</v>
      </c>
      <c r="DR5" s="1">
        <v>0</v>
      </c>
      <c r="DS5" s="1">
        <v>1</v>
      </c>
      <c r="DT5" s="1">
        <v>0</v>
      </c>
      <c r="DU5" s="1">
        <v>1</v>
      </c>
      <c r="DV5" s="1">
        <v>1</v>
      </c>
      <c r="DW5" s="1">
        <v>0</v>
      </c>
      <c r="DX5" s="1">
        <v>1</v>
      </c>
      <c r="DY5" s="1">
        <v>0</v>
      </c>
      <c r="DZ5" s="1">
        <v>0</v>
      </c>
      <c r="EA5" s="1">
        <v>0</v>
      </c>
      <c r="EB5" s="1">
        <v>1</v>
      </c>
      <c r="EC5" s="1">
        <v>0</v>
      </c>
      <c r="ED5" s="1">
        <v>1</v>
      </c>
      <c r="EE5" s="1">
        <v>0</v>
      </c>
      <c r="EF5" s="1">
        <v>0</v>
      </c>
      <c r="EG5" s="1">
        <v>1</v>
      </c>
      <c r="EH5" s="1">
        <v>0</v>
      </c>
      <c r="EI5" s="1">
        <v>1</v>
      </c>
      <c r="EJ5" s="1">
        <v>0</v>
      </c>
      <c r="EK5" s="1">
        <v>1</v>
      </c>
      <c r="EL5" s="1">
        <v>1</v>
      </c>
      <c r="EM5" s="1">
        <v>0</v>
      </c>
      <c r="EN5" s="1">
        <v>0</v>
      </c>
      <c r="EO5" s="1">
        <v>1</v>
      </c>
      <c r="EP5" s="1">
        <v>0</v>
      </c>
      <c r="EQ5" s="1" t="s">
        <v>332</v>
      </c>
      <c r="ER5" s="1" t="s">
        <v>333</v>
      </c>
      <c r="ES5" s="1" t="s">
        <v>331</v>
      </c>
      <c r="ET5" s="1" t="s">
        <v>331</v>
      </c>
      <c r="EU5" s="1" t="s">
        <v>331</v>
      </c>
      <c r="EV5" s="1" t="s">
        <v>330</v>
      </c>
      <c r="EW5" s="1" t="s">
        <v>333</v>
      </c>
      <c r="EX5" s="1" t="s">
        <v>331</v>
      </c>
      <c r="EY5" s="1" t="s">
        <v>333</v>
      </c>
      <c r="EZ5" s="1" t="s">
        <v>332</v>
      </c>
      <c r="FA5" s="1" t="s">
        <v>333</v>
      </c>
      <c r="FB5" s="1" t="s">
        <v>332</v>
      </c>
      <c r="FC5" s="1" t="s">
        <v>333</v>
      </c>
      <c r="FD5" s="1" t="s">
        <v>332</v>
      </c>
      <c r="FE5" s="1" t="s">
        <v>330</v>
      </c>
      <c r="FF5" s="1" t="s">
        <v>331</v>
      </c>
      <c r="FG5" s="1" t="s">
        <v>332</v>
      </c>
      <c r="FH5" s="1" t="s">
        <v>333</v>
      </c>
      <c r="FI5" s="1" t="s">
        <v>330</v>
      </c>
      <c r="FJ5" s="1" t="s">
        <v>330</v>
      </c>
      <c r="FK5" s="1" t="s">
        <v>331</v>
      </c>
      <c r="FL5" s="1" t="s">
        <v>332</v>
      </c>
      <c r="FM5" s="1" t="s">
        <v>333</v>
      </c>
      <c r="FN5" s="1" t="s">
        <v>331</v>
      </c>
      <c r="FO5" s="1" t="s">
        <v>333</v>
      </c>
      <c r="FP5" s="1" t="s">
        <v>331</v>
      </c>
      <c r="FQ5" s="1" t="s">
        <v>333</v>
      </c>
      <c r="FR5" s="1" t="s">
        <v>332</v>
      </c>
      <c r="FS5" s="1" t="s">
        <v>331</v>
      </c>
      <c r="FT5" s="1" t="s">
        <v>333</v>
      </c>
      <c r="FU5" s="1" t="s">
        <v>333</v>
      </c>
      <c r="FV5" s="1" t="s">
        <v>331</v>
      </c>
      <c r="FW5" s="1" t="s">
        <v>330</v>
      </c>
      <c r="FX5" s="1" t="s">
        <v>333</v>
      </c>
      <c r="FY5" s="1" t="s">
        <v>332</v>
      </c>
      <c r="FZ5" s="1" t="s">
        <v>332</v>
      </c>
      <c r="GA5" s="1" t="s">
        <v>331</v>
      </c>
      <c r="GB5" s="1" t="s">
        <v>332</v>
      </c>
      <c r="GC5" s="1" t="s">
        <v>330</v>
      </c>
      <c r="GD5" s="1" t="s">
        <v>331</v>
      </c>
      <c r="GE5" s="1" t="s">
        <v>330</v>
      </c>
      <c r="GF5" s="1" t="s">
        <v>331</v>
      </c>
      <c r="GG5" s="1" t="s">
        <v>332</v>
      </c>
      <c r="GH5" s="1" t="s">
        <v>333</v>
      </c>
      <c r="GI5" s="1" t="s">
        <v>332</v>
      </c>
      <c r="GJ5" s="1" t="s">
        <v>330</v>
      </c>
      <c r="GK5" s="1" t="s">
        <v>331</v>
      </c>
      <c r="GL5" s="1" t="s">
        <v>333</v>
      </c>
      <c r="GM5" s="1" t="s">
        <v>331</v>
      </c>
      <c r="GN5" s="1" t="s">
        <v>330</v>
      </c>
      <c r="GO5" s="1" t="s">
        <v>331</v>
      </c>
      <c r="GP5" s="1" t="s">
        <v>333</v>
      </c>
      <c r="GQ5" s="1" t="s">
        <v>331</v>
      </c>
      <c r="GR5" s="1" t="s">
        <v>331</v>
      </c>
      <c r="GS5" s="1" t="s">
        <v>332</v>
      </c>
      <c r="GT5" s="1" t="s">
        <v>331</v>
      </c>
      <c r="GU5" s="1" t="s">
        <v>333</v>
      </c>
      <c r="GV5" s="1" t="s">
        <v>332</v>
      </c>
      <c r="GW5" s="1" t="s">
        <v>331</v>
      </c>
      <c r="GX5" s="1" t="s">
        <v>330</v>
      </c>
      <c r="GY5" s="1" t="s">
        <v>330</v>
      </c>
      <c r="GZ5" s="1" t="s">
        <v>331</v>
      </c>
      <c r="HA5" s="1" t="s">
        <v>333</v>
      </c>
      <c r="HB5" s="1" t="s">
        <v>330</v>
      </c>
      <c r="HC5" s="1" t="s">
        <v>330</v>
      </c>
      <c r="HD5" s="1" t="s">
        <v>333</v>
      </c>
      <c r="HE5" s="1" t="s">
        <v>333</v>
      </c>
      <c r="HF5" s="1" t="s">
        <v>333</v>
      </c>
      <c r="HG5" s="1" t="s">
        <v>333</v>
      </c>
      <c r="HH5" s="1" t="s">
        <v>333</v>
      </c>
      <c r="HI5" s="1" t="s">
        <v>330</v>
      </c>
      <c r="HJ5" s="1" t="s">
        <v>331</v>
      </c>
      <c r="HK5" s="1" t="s">
        <v>333</v>
      </c>
      <c r="HL5" s="1" t="s">
        <v>331</v>
      </c>
      <c r="HM5" s="1" t="s">
        <v>333</v>
      </c>
      <c r="HN5" s="1" t="s">
        <v>332</v>
      </c>
      <c r="HO5" s="1" t="s">
        <v>331</v>
      </c>
      <c r="HP5" s="1" t="s">
        <v>331</v>
      </c>
      <c r="HQ5" s="1" t="s">
        <v>331</v>
      </c>
      <c r="HR5" s="1" t="s">
        <v>333</v>
      </c>
      <c r="HS5" s="1" t="s">
        <v>330</v>
      </c>
      <c r="HT5" s="1" t="s">
        <v>331</v>
      </c>
      <c r="HU5" s="1" t="s">
        <v>332</v>
      </c>
      <c r="HV5" s="1" t="s">
        <v>335</v>
      </c>
      <c r="HW5" s="1" t="s">
        <v>331</v>
      </c>
      <c r="HX5" s="1" t="s">
        <v>330</v>
      </c>
      <c r="HY5" s="1" t="s">
        <v>333</v>
      </c>
      <c r="HZ5" s="1" t="s">
        <v>330</v>
      </c>
      <c r="IA5" s="1" t="s">
        <v>333</v>
      </c>
      <c r="IB5" s="1" t="s">
        <v>330</v>
      </c>
      <c r="IC5" s="1" t="s">
        <v>333</v>
      </c>
      <c r="ID5" s="1" t="s">
        <v>331</v>
      </c>
      <c r="IE5" s="1" t="s">
        <v>333</v>
      </c>
      <c r="IF5" s="1" t="s">
        <v>331</v>
      </c>
      <c r="IG5" s="1" t="s">
        <v>330</v>
      </c>
      <c r="IH5" s="1" t="s">
        <v>331</v>
      </c>
      <c r="II5" s="1" t="s">
        <v>331</v>
      </c>
      <c r="IJ5" s="1" t="s">
        <v>333</v>
      </c>
      <c r="IK5" s="1" t="s">
        <v>330</v>
      </c>
      <c r="IL5" s="1" t="s">
        <v>333</v>
      </c>
      <c r="IM5" s="1" t="s">
        <v>330</v>
      </c>
      <c r="IN5" s="1" t="s">
        <v>333</v>
      </c>
      <c r="IO5" s="1" t="s">
        <v>330</v>
      </c>
      <c r="IP5" s="1" t="s">
        <v>331</v>
      </c>
      <c r="IQ5" s="1" t="s">
        <v>330</v>
      </c>
      <c r="IR5" s="1" t="s">
        <v>331</v>
      </c>
      <c r="IS5" s="1" t="s">
        <v>333</v>
      </c>
      <c r="IT5" s="1" t="s">
        <v>330</v>
      </c>
      <c r="IU5" s="1" t="s">
        <v>333</v>
      </c>
      <c r="IV5" s="1" t="s">
        <v>330</v>
      </c>
      <c r="IW5" s="1" t="s">
        <v>333</v>
      </c>
      <c r="IX5" s="1" t="s">
        <v>330</v>
      </c>
      <c r="IY5" s="1" t="s">
        <v>331</v>
      </c>
      <c r="IZ5" s="1" t="s">
        <v>330</v>
      </c>
      <c r="JA5" s="1" t="s">
        <v>333</v>
      </c>
      <c r="JB5" s="1" t="s">
        <v>330</v>
      </c>
      <c r="JC5" s="1" t="s">
        <v>330</v>
      </c>
      <c r="JD5" s="1" t="s">
        <v>333</v>
      </c>
      <c r="JE5" s="1" t="s">
        <v>331</v>
      </c>
      <c r="JF5" s="1" t="s">
        <v>333</v>
      </c>
      <c r="JG5" s="1" t="s">
        <v>330</v>
      </c>
      <c r="JH5" s="1" t="s">
        <v>331</v>
      </c>
      <c r="JI5" s="1" t="s">
        <v>330</v>
      </c>
      <c r="JJ5" s="1" t="s">
        <v>331</v>
      </c>
      <c r="JK5" s="1" t="s">
        <v>333</v>
      </c>
      <c r="JL5" s="1" t="s">
        <v>331</v>
      </c>
      <c r="JM5" s="1" t="s">
        <v>330</v>
      </c>
      <c r="JN5" s="1" t="s">
        <v>331</v>
      </c>
      <c r="JO5" s="1" t="s">
        <v>333</v>
      </c>
      <c r="JP5" s="1" t="s">
        <v>331</v>
      </c>
      <c r="JQ5" s="1" t="s">
        <v>330</v>
      </c>
      <c r="JR5" s="1" t="s">
        <v>331</v>
      </c>
      <c r="JS5" s="1" t="s">
        <v>333</v>
      </c>
      <c r="JT5" s="1" t="s">
        <v>330</v>
      </c>
    </row>
    <row r="6" spans="1:280" x14ac:dyDescent="0.35">
      <c r="A6" s="1" t="s">
        <v>1734</v>
      </c>
      <c r="D6" s="1" t="s">
        <v>1743</v>
      </c>
      <c r="E6" s="1">
        <v>5707</v>
      </c>
      <c r="G6" s="1" t="s">
        <v>1691</v>
      </c>
      <c r="H6" s="1" t="s">
        <v>312</v>
      </c>
      <c r="I6" s="1" t="s">
        <v>326</v>
      </c>
      <c r="J6" s="1" t="s">
        <v>1735</v>
      </c>
      <c r="K6" s="1" t="s">
        <v>1736</v>
      </c>
      <c r="M6" s="1">
        <v>1</v>
      </c>
      <c r="N6" s="1">
        <v>0</v>
      </c>
      <c r="O6" s="1">
        <v>1</v>
      </c>
      <c r="P6" s="1">
        <v>0</v>
      </c>
      <c r="Q6" s="1">
        <v>0</v>
      </c>
      <c r="R6" s="1">
        <v>1</v>
      </c>
      <c r="S6" s="1">
        <v>0</v>
      </c>
      <c r="T6" s="1">
        <v>1</v>
      </c>
      <c r="U6" s="1">
        <v>0</v>
      </c>
      <c r="V6" s="1">
        <v>0</v>
      </c>
      <c r="W6" s="1">
        <v>1</v>
      </c>
      <c r="X6" s="1">
        <v>1</v>
      </c>
      <c r="Y6" s="1">
        <v>0</v>
      </c>
      <c r="Z6" s="1">
        <v>0</v>
      </c>
      <c r="AA6" s="1">
        <v>1</v>
      </c>
      <c r="AB6" s="1">
        <v>0</v>
      </c>
      <c r="AC6" s="1">
        <v>0</v>
      </c>
      <c r="AD6" s="1">
        <v>1</v>
      </c>
      <c r="AE6" s="1">
        <v>1</v>
      </c>
      <c r="AF6" s="1">
        <v>1</v>
      </c>
      <c r="AG6" s="1">
        <v>1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1</v>
      </c>
      <c r="AP6" s="1">
        <v>0</v>
      </c>
      <c r="AQ6" s="1">
        <v>1</v>
      </c>
      <c r="AR6" s="1">
        <v>1</v>
      </c>
      <c r="AS6" s="1">
        <v>0</v>
      </c>
      <c r="AT6" s="1">
        <v>1</v>
      </c>
      <c r="AU6" s="1">
        <v>0</v>
      </c>
      <c r="AV6" s="1">
        <v>1</v>
      </c>
      <c r="AW6" s="1">
        <v>1</v>
      </c>
      <c r="AX6" s="1">
        <v>1</v>
      </c>
      <c r="AY6" s="1">
        <v>1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1</v>
      </c>
      <c r="BK6" s="1">
        <v>0</v>
      </c>
      <c r="BL6" s="1">
        <v>0</v>
      </c>
      <c r="BM6" s="1">
        <v>0</v>
      </c>
      <c r="BN6" s="1">
        <v>1</v>
      </c>
      <c r="BO6" s="1">
        <v>1</v>
      </c>
      <c r="BP6" s="1">
        <v>0</v>
      </c>
      <c r="BQ6" s="1">
        <v>0</v>
      </c>
      <c r="BR6" s="1">
        <v>0</v>
      </c>
      <c r="BS6" s="1">
        <v>1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1</v>
      </c>
      <c r="CA6" s="1">
        <v>0</v>
      </c>
      <c r="CB6" s="1">
        <v>1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1</v>
      </c>
      <c r="CO6" s="1">
        <v>1</v>
      </c>
      <c r="CP6" s="1">
        <v>0</v>
      </c>
      <c r="CQ6" s="1">
        <v>1</v>
      </c>
      <c r="CR6" s="1">
        <v>0</v>
      </c>
      <c r="CS6" s="1">
        <v>1</v>
      </c>
      <c r="CT6" s="1">
        <v>1</v>
      </c>
      <c r="CU6" s="1">
        <v>0</v>
      </c>
      <c r="CV6" s="1">
        <v>0</v>
      </c>
      <c r="CW6" s="1">
        <v>1</v>
      </c>
      <c r="CX6" s="1">
        <v>1</v>
      </c>
      <c r="CY6" s="1">
        <v>0</v>
      </c>
      <c r="CZ6" s="1">
        <v>0</v>
      </c>
      <c r="DA6" s="1">
        <v>0</v>
      </c>
      <c r="DB6" s="1">
        <v>0</v>
      </c>
      <c r="DC6" s="1">
        <v>1</v>
      </c>
      <c r="DD6" s="1">
        <v>1</v>
      </c>
      <c r="DE6" s="1">
        <v>1</v>
      </c>
      <c r="DF6" s="1">
        <v>0</v>
      </c>
      <c r="DG6" s="1">
        <v>0</v>
      </c>
      <c r="DH6" s="1">
        <v>1</v>
      </c>
      <c r="DI6" s="1">
        <v>1</v>
      </c>
      <c r="DJ6" s="1">
        <v>0</v>
      </c>
      <c r="DK6" s="1">
        <v>1</v>
      </c>
      <c r="DL6" s="1">
        <v>0</v>
      </c>
      <c r="DM6" s="1">
        <v>0</v>
      </c>
      <c r="DN6" s="1">
        <v>0</v>
      </c>
      <c r="DO6" s="1">
        <v>0</v>
      </c>
      <c r="DP6" s="1">
        <v>1</v>
      </c>
      <c r="DQ6" s="1">
        <v>1</v>
      </c>
      <c r="DR6" s="1">
        <v>0</v>
      </c>
      <c r="DS6" s="1">
        <v>0</v>
      </c>
      <c r="DT6" s="1">
        <v>1</v>
      </c>
      <c r="DU6" s="1">
        <v>1</v>
      </c>
      <c r="DV6" s="1">
        <v>1</v>
      </c>
      <c r="DW6" s="1">
        <v>0</v>
      </c>
      <c r="DX6" s="1">
        <v>1</v>
      </c>
      <c r="DY6" s="1">
        <v>0</v>
      </c>
      <c r="DZ6" s="1">
        <v>1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1</v>
      </c>
      <c r="EJ6" s="1">
        <v>0</v>
      </c>
      <c r="EK6" s="1">
        <v>1</v>
      </c>
      <c r="EL6" s="1">
        <v>1</v>
      </c>
      <c r="EM6" s="1">
        <v>0</v>
      </c>
      <c r="EN6" s="1">
        <v>0</v>
      </c>
      <c r="EO6" s="1">
        <v>0</v>
      </c>
      <c r="EP6" s="1">
        <v>0</v>
      </c>
      <c r="EQ6" s="1" t="s">
        <v>330</v>
      </c>
      <c r="ER6" s="1" t="s">
        <v>333</v>
      </c>
      <c r="ES6" s="1" t="s">
        <v>333</v>
      </c>
      <c r="ET6" s="1" t="s">
        <v>330</v>
      </c>
      <c r="EU6" s="1" t="s">
        <v>333</v>
      </c>
      <c r="EV6" s="1" t="s">
        <v>330</v>
      </c>
      <c r="EW6" s="1" t="s">
        <v>333</v>
      </c>
      <c r="EX6" s="1" t="s">
        <v>331</v>
      </c>
      <c r="EY6" s="1" t="s">
        <v>330</v>
      </c>
      <c r="EZ6" s="1" t="s">
        <v>333</v>
      </c>
      <c r="FA6" s="1" t="s">
        <v>332</v>
      </c>
      <c r="FB6" s="1" t="s">
        <v>330</v>
      </c>
      <c r="FC6" s="1" t="s">
        <v>333</v>
      </c>
      <c r="FD6" s="1" t="s">
        <v>333</v>
      </c>
      <c r="FE6" s="1" t="s">
        <v>331</v>
      </c>
      <c r="FF6" s="1" t="s">
        <v>330</v>
      </c>
      <c r="FG6" s="1" t="s">
        <v>332</v>
      </c>
      <c r="FH6" s="1" t="s">
        <v>333</v>
      </c>
      <c r="FI6" s="1" t="s">
        <v>330</v>
      </c>
      <c r="FJ6" s="1" t="s">
        <v>330</v>
      </c>
      <c r="FK6" s="1" t="s">
        <v>331</v>
      </c>
      <c r="FL6" s="1" t="s">
        <v>332</v>
      </c>
      <c r="FM6" s="1" t="s">
        <v>330</v>
      </c>
      <c r="FN6" s="1" t="s">
        <v>333</v>
      </c>
      <c r="FO6" s="1" t="s">
        <v>333</v>
      </c>
      <c r="FP6" s="1" t="s">
        <v>332</v>
      </c>
      <c r="FQ6" s="1" t="s">
        <v>333</v>
      </c>
      <c r="FR6" s="1" t="s">
        <v>332</v>
      </c>
      <c r="FS6" s="1" t="s">
        <v>331</v>
      </c>
      <c r="FT6" s="1" t="s">
        <v>332</v>
      </c>
      <c r="FU6" s="1" t="s">
        <v>333</v>
      </c>
      <c r="FV6" s="1" t="s">
        <v>331</v>
      </c>
      <c r="FW6" s="1" t="s">
        <v>333</v>
      </c>
      <c r="FX6" s="1" t="s">
        <v>331</v>
      </c>
      <c r="FY6" s="1" t="s">
        <v>332</v>
      </c>
      <c r="FZ6" s="1" t="s">
        <v>331</v>
      </c>
      <c r="GA6" s="1" t="s">
        <v>333</v>
      </c>
      <c r="GB6" s="1" t="s">
        <v>331</v>
      </c>
      <c r="GC6" s="1" t="s">
        <v>331</v>
      </c>
      <c r="GD6" s="1" t="s">
        <v>330</v>
      </c>
      <c r="GE6" s="1" t="s">
        <v>331</v>
      </c>
      <c r="GF6" s="1" t="s">
        <v>332</v>
      </c>
      <c r="GG6" s="1" t="s">
        <v>332</v>
      </c>
      <c r="GH6" s="1" t="s">
        <v>332</v>
      </c>
      <c r="GI6" s="1" t="s">
        <v>330</v>
      </c>
      <c r="GJ6" s="1" t="s">
        <v>330</v>
      </c>
      <c r="GK6" s="1" t="s">
        <v>331</v>
      </c>
      <c r="GL6" s="1" t="s">
        <v>332</v>
      </c>
      <c r="GM6" s="1" t="s">
        <v>330</v>
      </c>
      <c r="GN6" s="1" t="s">
        <v>333</v>
      </c>
      <c r="GO6" s="1" t="s">
        <v>332</v>
      </c>
      <c r="GP6" s="1" t="s">
        <v>333</v>
      </c>
      <c r="GQ6" s="1" t="s">
        <v>333</v>
      </c>
      <c r="GR6" s="1" t="s">
        <v>333</v>
      </c>
      <c r="GS6" s="1" t="s">
        <v>333</v>
      </c>
      <c r="GT6" s="1" t="s">
        <v>332</v>
      </c>
      <c r="GU6" s="1" t="s">
        <v>330</v>
      </c>
      <c r="GV6" s="1" t="s">
        <v>331</v>
      </c>
      <c r="GW6" s="1" t="s">
        <v>331</v>
      </c>
      <c r="GX6" s="1" t="s">
        <v>332</v>
      </c>
      <c r="GY6" s="1" t="s">
        <v>333</v>
      </c>
      <c r="GZ6" s="1" t="s">
        <v>333</v>
      </c>
      <c r="HA6" s="1" t="s">
        <v>331</v>
      </c>
      <c r="HB6" s="1" t="s">
        <v>333</v>
      </c>
      <c r="HC6" s="1" t="s">
        <v>331</v>
      </c>
      <c r="HD6" s="1" t="s">
        <v>332</v>
      </c>
      <c r="HE6" s="1" t="s">
        <v>333</v>
      </c>
      <c r="HF6" s="1" t="s">
        <v>331</v>
      </c>
      <c r="HG6" s="1" t="s">
        <v>331</v>
      </c>
      <c r="HH6" s="1" t="s">
        <v>330</v>
      </c>
      <c r="HI6" s="1" t="s">
        <v>333</v>
      </c>
      <c r="HJ6" s="1" t="s">
        <v>331</v>
      </c>
      <c r="HK6" s="1" t="s">
        <v>330</v>
      </c>
      <c r="HL6" s="1" t="s">
        <v>332</v>
      </c>
      <c r="HM6" s="1" t="s">
        <v>333</v>
      </c>
      <c r="HN6" s="1" t="s">
        <v>331</v>
      </c>
      <c r="HO6" s="1" t="s">
        <v>330</v>
      </c>
      <c r="HP6" s="1" t="s">
        <v>332</v>
      </c>
      <c r="HQ6" s="1" t="s">
        <v>331</v>
      </c>
      <c r="HR6" s="1" t="s">
        <v>333</v>
      </c>
      <c r="HS6" s="1" t="s">
        <v>330</v>
      </c>
      <c r="HT6" s="1" t="s">
        <v>332</v>
      </c>
      <c r="HU6" s="1" t="s">
        <v>337</v>
      </c>
      <c r="HV6" s="1" t="s">
        <v>335</v>
      </c>
      <c r="HW6" s="1" t="s">
        <v>333</v>
      </c>
      <c r="HX6" s="1" t="s">
        <v>330</v>
      </c>
      <c r="HY6" s="1" t="s">
        <v>331</v>
      </c>
      <c r="HZ6" s="1" t="s">
        <v>331</v>
      </c>
      <c r="IA6" s="1" t="s">
        <v>333</v>
      </c>
      <c r="IB6" s="1" t="s">
        <v>331</v>
      </c>
      <c r="IC6" s="1" t="s">
        <v>330</v>
      </c>
      <c r="ID6" s="1" t="s">
        <v>333</v>
      </c>
      <c r="IE6" s="1" t="s">
        <v>333</v>
      </c>
      <c r="IF6" s="1" t="s">
        <v>331</v>
      </c>
      <c r="IG6" s="1" t="s">
        <v>330</v>
      </c>
      <c r="IH6" s="1" t="s">
        <v>330</v>
      </c>
      <c r="II6" s="1" t="s">
        <v>333</v>
      </c>
      <c r="IJ6" s="1" t="s">
        <v>333</v>
      </c>
      <c r="IK6" s="1" t="s">
        <v>330</v>
      </c>
      <c r="IL6" s="1" t="s">
        <v>331</v>
      </c>
      <c r="IM6" s="1" t="s">
        <v>333</v>
      </c>
      <c r="IN6" s="1" t="s">
        <v>330</v>
      </c>
      <c r="IO6" s="1" t="s">
        <v>333</v>
      </c>
      <c r="IP6" s="1" t="s">
        <v>333</v>
      </c>
      <c r="IQ6" s="1" t="s">
        <v>333</v>
      </c>
      <c r="IR6" s="1" t="s">
        <v>333</v>
      </c>
      <c r="IS6" s="1" t="s">
        <v>330</v>
      </c>
      <c r="IT6" s="1" t="s">
        <v>333</v>
      </c>
      <c r="IU6" s="1" t="s">
        <v>330</v>
      </c>
      <c r="IV6" s="1" t="s">
        <v>333</v>
      </c>
      <c r="IW6" s="1" t="s">
        <v>330</v>
      </c>
      <c r="IX6" s="1" t="s">
        <v>331</v>
      </c>
      <c r="IY6" s="1" t="s">
        <v>331</v>
      </c>
      <c r="IZ6" s="1" t="s">
        <v>330</v>
      </c>
      <c r="JA6" s="1" t="s">
        <v>330</v>
      </c>
      <c r="JB6" s="1" t="s">
        <v>330</v>
      </c>
      <c r="JC6" s="1" t="s">
        <v>330</v>
      </c>
      <c r="JD6" s="1" t="s">
        <v>330</v>
      </c>
      <c r="JE6" s="1" t="s">
        <v>331</v>
      </c>
      <c r="JF6" s="1" t="s">
        <v>332</v>
      </c>
      <c r="JG6" s="1" t="s">
        <v>331</v>
      </c>
      <c r="JH6" s="1" t="s">
        <v>332</v>
      </c>
      <c r="JI6" s="1" t="s">
        <v>333</v>
      </c>
      <c r="JJ6" s="1" t="s">
        <v>332</v>
      </c>
      <c r="JK6" s="1" t="s">
        <v>331</v>
      </c>
      <c r="JL6" s="1" t="s">
        <v>332</v>
      </c>
      <c r="JM6" s="1" t="s">
        <v>330</v>
      </c>
      <c r="JN6" s="1" t="s">
        <v>331</v>
      </c>
      <c r="JO6" s="1" t="s">
        <v>333</v>
      </c>
      <c r="JP6" s="1" t="s">
        <v>331</v>
      </c>
      <c r="JQ6" s="1" t="s">
        <v>333</v>
      </c>
      <c r="JR6" s="1" t="s">
        <v>332</v>
      </c>
      <c r="JS6" s="1" t="s">
        <v>331</v>
      </c>
      <c r="JT6" s="1" t="s">
        <v>333</v>
      </c>
    </row>
    <row r="7" spans="1:280" x14ac:dyDescent="0.35">
      <c r="A7" s="1" t="s">
        <v>1734</v>
      </c>
      <c r="D7" s="1" t="s">
        <v>1744</v>
      </c>
      <c r="E7" s="1">
        <v>5708</v>
      </c>
      <c r="G7" s="1" t="s">
        <v>327</v>
      </c>
      <c r="H7" s="1" t="s">
        <v>312</v>
      </c>
      <c r="I7" s="1" t="s">
        <v>329</v>
      </c>
      <c r="J7" s="1" t="s">
        <v>1735</v>
      </c>
      <c r="K7" s="1" t="s">
        <v>1736</v>
      </c>
      <c r="M7" s="1">
        <v>0</v>
      </c>
      <c r="N7" s="1">
        <v>0</v>
      </c>
      <c r="O7" s="1">
        <v>0</v>
      </c>
      <c r="P7" s="1">
        <v>1</v>
      </c>
      <c r="Q7" s="1">
        <v>0</v>
      </c>
      <c r="R7" s="1">
        <v>1</v>
      </c>
      <c r="S7" s="1">
        <v>0</v>
      </c>
      <c r="T7" s="1">
        <v>0</v>
      </c>
      <c r="U7" s="1">
        <v>1</v>
      </c>
      <c r="V7" s="1">
        <v>0</v>
      </c>
      <c r="W7" s="1">
        <v>0</v>
      </c>
      <c r="X7" s="1">
        <v>0</v>
      </c>
      <c r="Y7" s="1">
        <v>1</v>
      </c>
      <c r="Z7" s="1">
        <v>0</v>
      </c>
      <c r="AA7" s="1">
        <v>1</v>
      </c>
      <c r="AB7" s="1">
        <v>1</v>
      </c>
      <c r="AC7" s="1">
        <v>0</v>
      </c>
      <c r="AD7" s="1">
        <v>1</v>
      </c>
      <c r="AE7" s="1">
        <v>0</v>
      </c>
      <c r="AF7" s="1">
        <v>1</v>
      </c>
      <c r="AG7" s="1">
        <v>1</v>
      </c>
      <c r="AH7" s="1">
        <v>0</v>
      </c>
      <c r="AI7" s="1">
        <v>1</v>
      </c>
      <c r="AJ7" s="1">
        <v>0</v>
      </c>
      <c r="AK7" s="1">
        <v>1</v>
      </c>
      <c r="AL7" s="1">
        <v>0</v>
      </c>
      <c r="AM7" s="1">
        <v>1</v>
      </c>
      <c r="AN7" s="1">
        <v>1</v>
      </c>
      <c r="AO7" s="1">
        <v>1</v>
      </c>
      <c r="AP7" s="1">
        <v>1</v>
      </c>
      <c r="AQ7" s="1">
        <v>0</v>
      </c>
      <c r="AR7" s="1">
        <v>1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1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1</v>
      </c>
      <c r="BO7" s="1">
        <v>1</v>
      </c>
      <c r="BP7" s="1">
        <v>0</v>
      </c>
      <c r="BQ7" s="1">
        <v>1</v>
      </c>
      <c r="BR7" s="1">
        <v>0</v>
      </c>
      <c r="BS7" s="1">
        <v>0</v>
      </c>
      <c r="BT7" s="1">
        <v>0</v>
      </c>
      <c r="BU7" s="1">
        <v>0</v>
      </c>
      <c r="BV7" s="1">
        <v>1</v>
      </c>
      <c r="BW7" s="1">
        <v>1</v>
      </c>
      <c r="BX7" s="1">
        <v>0</v>
      </c>
      <c r="BY7" s="1">
        <v>0</v>
      </c>
      <c r="BZ7" s="1">
        <v>0</v>
      </c>
      <c r="CA7" s="1">
        <v>1</v>
      </c>
      <c r="CB7" s="1">
        <v>0</v>
      </c>
      <c r="CC7" s="1">
        <v>1</v>
      </c>
      <c r="CD7" s="1">
        <v>1</v>
      </c>
      <c r="CE7" s="1">
        <v>0</v>
      </c>
      <c r="CF7" s="1">
        <v>1</v>
      </c>
      <c r="CG7" s="1">
        <v>1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1</v>
      </c>
      <c r="CO7" s="1">
        <v>1</v>
      </c>
      <c r="CP7" s="1">
        <v>0</v>
      </c>
      <c r="CQ7" s="1">
        <v>0</v>
      </c>
      <c r="CR7" s="1">
        <v>1</v>
      </c>
      <c r="CS7" s="1">
        <v>1</v>
      </c>
      <c r="CT7" s="1">
        <v>0</v>
      </c>
      <c r="CU7" s="1">
        <v>0</v>
      </c>
      <c r="CV7" s="1">
        <v>0</v>
      </c>
      <c r="CW7" s="1">
        <v>1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1</v>
      </c>
      <c r="DF7" s="1">
        <v>0</v>
      </c>
      <c r="DG7" s="1">
        <v>0</v>
      </c>
      <c r="DH7" s="1">
        <v>0</v>
      </c>
      <c r="DI7" s="1">
        <v>1</v>
      </c>
      <c r="DJ7" s="1">
        <v>1</v>
      </c>
      <c r="DK7" s="1">
        <v>0</v>
      </c>
      <c r="DL7" s="1">
        <v>0</v>
      </c>
      <c r="DM7" s="1">
        <v>1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1</v>
      </c>
      <c r="DU7" s="1">
        <v>1</v>
      </c>
      <c r="DV7" s="1">
        <v>1</v>
      </c>
      <c r="DW7" s="1">
        <v>0</v>
      </c>
      <c r="DX7" s="1">
        <v>1</v>
      </c>
      <c r="DY7" s="1">
        <v>1</v>
      </c>
      <c r="DZ7" s="1">
        <v>0</v>
      </c>
      <c r="EA7" s="1">
        <v>0</v>
      </c>
      <c r="EB7" s="1">
        <v>1</v>
      </c>
      <c r="EC7" s="1">
        <v>0</v>
      </c>
      <c r="ED7" s="1">
        <v>1</v>
      </c>
      <c r="EE7" s="1">
        <v>0</v>
      </c>
      <c r="EF7" s="1">
        <v>0</v>
      </c>
      <c r="EG7" s="1">
        <v>0</v>
      </c>
      <c r="EH7" s="1">
        <v>1</v>
      </c>
      <c r="EI7" s="1">
        <v>1</v>
      </c>
      <c r="EJ7" s="1">
        <v>0</v>
      </c>
      <c r="EK7" s="1">
        <v>1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 t="s">
        <v>332</v>
      </c>
      <c r="ER7" s="1" t="s">
        <v>333</v>
      </c>
      <c r="ES7" s="1" t="s">
        <v>332</v>
      </c>
      <c r="ET7" s="1" t="s">
        <v>331</v>
      </c>
      <c r="EU7" s="1" t="s">
        <v>330</v>
      </c>
      <c r="EV7" s="1" t="s">
        <v>330</v>
      </c>
      <c r="EW7" s="1" t="s">
        <v>330</v>
      </c>
      <c r="EX7" s="1" t="s">
        <v>330</v>
      </c>
      <c r="EY7" s="1" t="s">
        <v>331</v>
      </c>
      <c r="EZ7" s="1" t="s">
        <v>333</v>
      </c>
      <c r="FB7" s="1" t="s">
        <v>332</v>
      </c>
      <c r="FC7" s="1" t="s">
        <v>332</v>
      </c>
      <c r="FD7" s="1" t="s">
        <v>331</v>
      </c>
      <c r="FE7" s="1" t="s">
        <v>331</v>
      </c>
      <c r="FF7" s="1" t="s">
        <v>333</v>
      </c>
      <c r="FG7" s="1" t="s">
        <v>333</v>
      </c>
      <c r="FH7" s="1" t="s">
        <v>333</v>
      </c>
      <c r="FI7" s="1" t="s">
        <v>331</v>
      </c>
      <c r="FJ7" s="1" t="s">
        <v>330</v>
      </c>
      <c r="FK7" s="1" t="s">
        <v>331</v>
      </c>
      <c r="FL7" s="1" t="s">
        <v>332</v>
      </c>
      <c r="FM7" s="1" t="s">
        <v>333</v>
      </c>
      <c r="FN7" s="1" t="s">
        <v>331</v>
      </c>
      <c r="FO7" s="1" t="s">
        <v>331</v>
      </c>
      <c r="FP7" s="1" t="s">
        <v>333</v>
      </c>
      <c r="FQ7" s="1" t="s">
        <v>330</v>
      </c>
      <c r="FR7" s="1" t="s">
        <v>333</v>
      </c>
      <c r="FS7" s="1" t="s">
        <v>331</v>
      </c>
      <c r="FT7" s="1" t="s">
        <v>333</v>
      </c>
      <c r="FU7" s="1" t="s">
        <v>332</v>
      </c>
      <c r="FV7" s="1" t="s">
        <v>331</v>
      </c>
      <c r="FW7" s="1" t="s">
        <v>330</v>
      </c>
      <c r="FX7" s="1" t="s">
        <v>333</v>
      </c>
      <c r="FY7" s="1" t="s">
        <v>332</v>
      </c>
      <c r="FZ7" s="1" t="s">
        <v>330</v>
      </c>
      <c r="GA7" s="1" t="s">
        <v>331</v>
      </c>
      <c r="GB7" s="1" t="s">
        <v>330</v>
      </c>
      <c r="GC7" s="1" t="s">
        <v>330</v>
      </c>
      <c r="GD7" s="1" t="s">
        <v>331</v>
      </c>
      <c r="GE7" s="1" t="s">
        <v>331</v>
      </c>
      <c r="GF7" s="1" t="s">
        <v>331</v>
      </c>
      <c r="GG7" s="1" t="s">
        <v>333</v>
      </c>
      <c r="GH7" s="1" t="s">
        <v>331</v>
      </c>
      <c r="GI7" s="1" t="s">
        <v>330</v>
      </c>
      <c r="GJ7" s="1" t="s">
        <v>332</v>
      </c>
      <c r="GK7" s="1" t="s">
        <v>330</v>
      </c>
      <c r="GL7" s="1" t="s">
        <v>333</v>
      </c>
      <c r="GM7" s="1" t="s">
        <v>332</v>
      </c>
      <c r="GN7" s="1" t="s">
        <v>330</v>
      </c>
      <c r="GO7" s="1" t="s">
        <v>330</v>
      </c>
      <c r="GP7" s="1" t="s">
        <v>330</v>
      </c>
      <c r="GQ7" s="1" t="s">
        <v>330</v>
      </c>
      <c r="GR7" s="1" t="s">
        <v>333</v>
      </c>
      <c r="GS7" s="1" t="s">
        <v>333</v>
      </c>
      <c r="GT7" s="1" t="s">
        <v>333</v>
      </c>
      <c r="GU7" s="1" t="s">
        <v>333</v>
      </c>
      <c r="GV7" s="1" t="s">
        <v>331</v>
      </c>
      <c r="GW7" s="1" t="s">
        <v>330</v>
      </c>
      <c r="GX7" s="1" t="s">
        <v>332</v>
      </c>
      <c r="GY7" s="1" t="s">
        <v>332</v>
      </c>
      <c r="GZ7" s="1" t="s">
        <v>331</v>
      </c>
      <c r="HA7" s="1" t="s">
        <v>330</v>
      </c>
      <c r="HB7" s="1" t="s">
        <v>332</v>
      </c>
      <c r="HC7" s="1" t="s">
        <v>333</v>
      </c>
      <c r="HD7" s="1" t="s">
        <v>333</v>
      </c>
      <c r="HE7" s="1" t="s">
        <v>332</v>
      </c>
      <c r="HF7" s="1" t="s">
        <v>332</v>
      </c>
      <c r="HG7" s="1" t="s">
        <v>333</v>
      </c>
      <c r="HH7" s="1" t="s">
        <v>333</v>
      </c>
      <c r="HI7" s="1" t="s">
        <v>332</v>
      </c>
      <c r="HJ7" s="1" t="s">
        <v>333</v>
      </c>
      <c r="HK7" s="1" t="s">
        <v>333</v>
      </c>
      <c r="HL7" s="1" t="s">
        <v>332</v>
      </c>
      <c r="HM7" s="1" t="s">
        <v>333</v>
      </c>
      <c r="HN7" s="1" t="s">
        <v>331</v>
      </c>
      <c r="HO7" s="1" t="s">
        <v>330</v>
      </c>
      <c r="HP7" s="1" t="s">
        <v>330</v>
      </c>
      <c r="HQ7" s="1" t="s">
        <v>331</v>
      </c>
      <c r="HR7" s="1" t="s">
        <v>333</v>
      </c>
      <c r="HS7" s="1" t="s">
        <v>330</v>
      </c>
      <c r="HT7" s="1" t="s">
        <v>332</v>
      </c>
      <c r="HU7" s="1" t="s">
        <v>331</v>
      </c>
      <c r="HV7" s="1" t="s">
        <v>336</v>
      </c>
      <c r="HW7" s="1" t="s">
        <v>333</v>
      </c>
      <c r="HX7" s="1" t="s">
        <v>333</v>
      </c>
      <c r="HY7" s="1" t="s">
        <v>331</v>
      </c>
      <c r="HZ7" s="1" t="s">
        <v>333</v>
      </c>
      <c r="IA7" s="1" t="s">
        <v>333</v>
      </c>
      <c r="IB7" s="1" t="s">
        <v>330</v>
      </c>
      <c r="IC7" s="1" t="s">
        <v>330</v>
      </c>
      <c r="ID7" s="1" t="s">
        <v>331</v>
      </c>
      <c r="IE7" s="1" t="s">
        <v>330</v>
      </c>
      <c r="IF7" s="1" t="s">
        <v>330</v>
      </c>
      <c r="IG7" s="1" t="s">
        <v>333</v>
      </c>
      <c r="IH7" s="1" t="s">
        <v>333</v>
      </c>
      <c r="II7" s="1" t="s">
        <v>333</v>
      </c>
      <c r="IJ7" s="1" t="s">
        <v>330</v>
      </c>
      <c r="IK7" s="1" t="s">
        <v>333</v>
      </c>
      <c r="IL7" s="1" t="s">
        <v>330</v>
      </c>
      <c r="IM7" s="1" t="s">
        <v>333</v>
      </c>
      <c r="IN7" s="1" t="s">
        <v>331</v>
      </c>
      <c r="IO7" s="1" t="s">
        <v>330</v>
      </c>
      <c r="IP7" s="1" t="s">
        <v>333</v>
      </c>
      <c r="IQ7" s="1" t="s">
        <v>331</v>
      </c>
      <c r="IR7" s="1" t="s">
        <v>330</v>
      </c>
      <c r="IS7" s="1" t="s">
        <v>331</v>
      </c>
      <c r="IT7" s="1" t="s">
        <v>330</v>
      </c>
      <c r="IU7" s="1" t="s">
        <v>331</v>
      </c>
      <c r="IV7" s="1" t="s">
        <v>333</v>
      </c>
      <c r="IW7" s="1" t="s">
        <v>331</v>
      </c>
      <c r="IX7" s="1" t="s">
        <v>331</v>
      </c>
      <c r="IY7" s="1" t="s">
        <v>331</v>
      </c>
      <c r="IZ7" s="1" t="s">
        <v>330</v>
      </c>
      <c r="JA7" s="1" t="s">
        <v>330</v>
      </c>
      <c r="JB7" s="1" t="s">
        <v>330</v>
      </c>
      <c r="JC7" s="1" t="s">
        <v>333</v>
      </c>
      <c r="JD7" s="1" t="s">
        <v>333</v>
      </c>
      <c r="JE7" s="1" t="s">
        <v>331</v>
      </c>
      <c r="JF7" s="1" t="s">
        <v>333</v>
      </c>
      <c r="JG7" s="1" t="s">
        <v>331</v>
      </c>
      <c r="JH7" s="1" t="s">
        <v>331</v>
      </c>
      <c r="JI7" s="1" t="s">
        <v>330</v>
      </c>
      <c r="JJ7" s="1" t="s">
        <v>332</v>
      </c>
      <c r="JK7" s="1" t="s">
        <v>332</v>
      </c>
      <c r="JL7" s="1" t="s">
        <v>333</v>
      </c>
      <c r="JM7" s="1" t="s">
        <v>330</v>
      </c>
      <c r="JN7" s="1" t="s">
        <v>331</v>
      </c>
      <c r="JO7" s="1" t="s">
        <v>333</v>
      </c>
      <c r="JP7" s="1" t="s">
        <v>333</v>
      </c>
      <c r="JQ7" s="1" t="s">
        <v>331</v>
      </c>
      <c r="JR7" s="1" t="s">
        <v>333</v>
      </c>
      <c r="JS7" s="1" t="s">
        <v>331</v>
      </c>
      <c r="JT7" s="1" t="s">
        <v>333</v>
      </c>
    </row>
    <row r="8" spans="1:280" x14ac:dyDescent="0.35">
      <c r="A8" s="1" t="s">
        <v>1734</v>
      </c>
      <c r="D8" s="1" t="s">
        <v>1745</v>
      </c>
      <c r="E8" s="1">
        <v>5709</v>
      </c>
      <c r="G8" s="1" t="s">
        <v>316</v>
      </c>
      <c r="H8" s="1" t="s">
        <v>312</v>
      </c>
      <c r="I8" s="1" t="s">
        <v>1705</v>
      </c>
      <c r="J8" s="1" t="s">
        <v>1735</v>
      </c>
      <c r="K8" s="1" t="s">
        <v>1736</v>
      </c>
      <c r="M8" s="1">
        <v>1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1</v>
      </c>
      <c r="T8" s="1">
        <v>1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1</v>
      </c>
      <c r="AB8" s="1">
        <v>0</v>
      </c>
      <c r="AC8" s="1">
        <v>0</v>
      </c>
      <c r="AD8" s="1">
        <v>0</v>
      </c>
      <c r="AE8" s="1">
        <v>1</v>
      </c>
      <c r="AF8" s="1">
        <v>1</v>
      </c>
      <c r="AG8" s="1">
        <v>1</v>
      </c>
      <c r="AH8" s="1">
        <v>0</v>
      </c>
      <c r="AI8" s="1">
        <v>1</v>
      </c>
      <c r="AJ8" s="1">
        <v>0</v>
      </c>
      <c r="AK8" s="1">
        <v>0</v>
      </c>
      <c r="AL8" s="1">
        <v>0</v>
      </c>
      <c r="AM8" s="1">
        <v>0</v>
      </c>
      <c r="AN8" s="1">
        <v>1</v>
      </c>
      <c r="AO8" s="1">
        <v>1</v>
      </c>
      <c r="AP8" s="1">
        <v>1</v>
      </c>
      <c r="AQ8" s="1">
        <v>1</v>
      </c>
      <c r="AR8" s="1">
        <v>0</v>
      </c>
      <c r="AS8" s="1">
        <v>0</v>
      </c>
      <c r="AT8" s="1">
        <v>1</v>
      </c>
      <c r="AU8" s="1">
        <v>0</v>
      </c>
      <c r="AV8" s="1">
        <v>0</v>
      </c>
      <c r="AW8" s="1">
        <v>1</v>
      </c>
      <c r="AX8" s="1">
        <v>0</v>
      </c>
      <c r="AY8" s="1">
        <v>1</v>
      </c>
      <c r="AZ8" s="1">
        <v>0</v>
      </c>
      <c r="BA8" s="1">
        <v>1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1</v>
      </c>
      <c r="BI8" s="1">
        <v>0</v>
      </c>
      <c r="BJ8" s="1">
        <v>0</v>
      </c>
      <c r="BK8" s="1">
        <v>0</v>
      </c>
      <c r="BL8" s="1">
        <v>1</v>
      </c>
      <c r="BM8" s="1">
        <v>0</v>
      </c>
      <c r="BN8" s="1">
        <v>0</v>
      </c>
      <c r="BO8" s="1">
        <v>1</v>
      </c>
      <c r="BP8" s="1">
        <v>0</v>
      </c>
      <c r="BQ8" s="1">
        <v>1</v>
      </c>
      <c r="BR8" s="1">
        <v>1</v>
      </c>
      <c r="BS8" s="1">
        <v>0</v>
      </c>
      <c r="BT8" s="1">
        <v>1</v>
      </c>
      <c r="BU8" s="1">
        <v>1</v>
      </c>
      <c r="BV8" s="1">
        <v>0</v>
      </c>
      <c r="BW8" s="1">
        <v>0</v>
      </c>
      <c r="BX8" s="1">
        <v>0</v>
      </c>
      <c r="BY8" s="1">
        <v>1</v>
      </c>
      <c r="BZ8" s="1">
        <v>1</v>
      </c>
      <c r="CA8" s="1">
        <v>0</v>
      </c>
      <c r="CB8" s="1">
        <v>1</v>
      </c>
      <c r="CC8" s="1">
        <v>1</v>
      </c>
      <c r="CD8" s="1">
        <v>1</v>
      </c>
      <c r="CE8" s="1">
        <v>0</v>
      </c>
      <c r="CF8" s="1">
        <v>1</v>
      </c>
      <c r="CG8" s="1">
        <v>0</v>
      </c>
      <c r="CH8" s="1">
        <v>1</v>
      </c>
      <c r="CI8" s="1">
        <v>0</v>
      </c>
      <c r="CJ8" s="1">
        <v>0</v>
      </c>
      <c r="CK8" s="1">
        <v>1</v>
      </c>
      <c r="CL8" s="1">
        <v>0</v>
      </c>
      <c r="CM8" s="1">
        <v>1</v>
      </c>
      <c r="CN8" s="1">
        <v>1</v>
      </c>
      <c r="CO8" s="1">
        <v>1</v>
      </c>
      <c r="CP8" s="1">
        <v>1</v>
      </c>
      <c r="CQ8" s="1">
        <v>0</v>
      </c>
      <c r="CR8" s="1">
        <v>0</v>
      </c>
      <c r="CS8" s="1">
        <v>1</v>
      </c>
      <c r="CT8" s="1">
        <v>0</v>
      </c>
      <c r="CU8" s="1">
        <v>0</v>
      </c>
      <c r="CV8" s="1">
        <v>0</v>
      </c>
      <c r="CW8" s="1">
        <v>1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1</v>
      </c>
      <c r="DE8" s="1">
        <v>1</v>
      </c>
      <c r="DF8" s="1">
        <v>1</v>
      </c>
      <c r="DG8" s="1">
        <v>0</v>
      </c>
      <c r="DH8" s="1">
        <v>1</v>
      </c>
      <c r="DI8" s="1">
        <v>0</v>
      </c>
      <c r="DJ8" s="1">
        <v>0</v>
      </c>
      <c r="DK8" s="1">
        <v>1</v>
      </c>
      <c r="DL8" s="1">
        <v>1</v>
      </c>
      <c r="DM8" s="1">
        <v>0</v>
      </c>
      <c r="DN8" s="1">
        <v>0</v>
      </c>
      <c r="DO8" s="1">
        <v>0</v>
      </c>
      <c r="DP8" s="1">
        <v>1</v>
      </c>
      <c r="DQ8" s="1">
        <v>1</v>
      </c>
      <c r="DR8" s="1">
        <v>1</v>
      </c>
      <c r="DS8" s="1">
        <v>0</v>
      </c>
      <c r="DT8" s="1">
        <v>0</v>
      </c>
      <c r="DU8" s="1">
        <v>1</v>
      </c>
      <c r="DV8" s="1">
        <v>1</v>
      </c>
      <c r="DW8" s="1">
        <v>0</v>
      </c>
      <c r="DX8" s="1">
        <v>1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1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1</v>
      </c>
      <c r="EP8" s="1">
        <v>1</v>
      </c>
      <c r="EQ8" s="1" t="s">
        <v>330</v>
      </c>
      <c r="ER8" s="1" t="s">
        <v>333</v>
      </c>
      <c r="ES8" s="1" t="s">
        <v>332</v>
      </c>
      <c r="ET8" s="1" t="s">
        <v>333</v>
      </c>
      <c r="EU8" s="1" t="s">
        <v>331</v>
      </c>
      <c r="EV8" s="1" t="s">
        <v>333</v>
      </c>
      <c r="EW8" s="1" t="s">
        <v>332</v>
      </c>
      <c r="EX8" s="1" t="s">
        <v>331</v>
      </c>
      <c r="EY8" s="1" t="s">
        <v>333</v>
      </c>
      <c r="EZ8" s="1" t="s">
        <v>333</v>
      </c>
      <c r="FA8" s="1" t="s">
        <v>333</v>
      </c>
      <c r="FB8" s="1" t="s">
        <v>332</v>
      </c>
      <c r="FC8" s="1" t="s">
        <v>333</v>
      </c>
      <c r="FD8" s="1" t="s">
        <v>333</v>
      </c>
      <c r="FE8" s="1" t="s">
        <v>331</v>
      </c>
      <c r="FF8" s="1" t="s">
        <v>332</v>
      </c>
      <c r="FG8" s="1" t="s">
        <v>333</v>
      </c>
      <c r="FH8" s="1" t="s">
        <v>332</v>
      </c>
      <c r="FI8" s="1" t="s">
        <v>330</v>
      </c>
      <c r="FJ8" s="1" t="s">
        <v>330</v>
      </c>
      <c r="FK8" s="1" t="s">
        <v>331</v>
      </c>
      <c r="FL8" s="1" t="s">
        <v>332</v>
      </c>
      <c r="FM8" s="1" t="s">
        <v>333</v>
      </c>
      <c r="FN8" s="1" t="s">
        <v>330</v>
      </c>
      <c r="FO8" s="1" t="s">
        <v>330</v>
      </c>
      <c r="FP8" s="1" t="s">
        <v>333</v>
      </c>
      <c r="FQ8" s="1" t="s">
        <v>331</v>
      </c>
      <c r="FR8" s="1" t="s">
        <v>333</v>
      </c>
      <c r="FS8" s="1" t="s">
        <v>331</v>
      </c>
      <c r="FT8" s="1" t="s">
        <v>333</v>
      </c>
      <c r="FU8" s="1" t="s">
        <v>333</v>
      </c>
      <c r="FV8" s="1" t="s">
        <v>330</v>
      </c>
      <c r="FW8" s="1" t="s">
        <v>333</v>
      </c>
      <c r="FX8" s="1" t="s">
        <v>331</v>
      </c>
      <c r="FY8" s="1" t="s">
        <v>333</v>
      </c>
      <c r="FZ8" s="1" t="s">
        <v>332</v>
      </c>
      <c r="GA8" s="1" t="s">
        <v>333</v>
      </c>
      <c r="GB8" s="1" t="s">
        <v>332</v>
      </c>
      <c r="GC8" s="1" t="s">
        <v>331</v>
      </c>
      <c r="GD8" s="1" t="s">
        <v>330</v>
      </c>
      <c r="GE8" s="1" t="s">
        <v>333</v>
      </c>
      <c r="GF8" s="1" t="s">
        <v>333</v>
      </c>
      <c r="GG8" s="1" t="s">
        <v>332</v>
      </c>
      <c r="GH8" s="1" t="s">
        <v>333</v>
      </c>
      <c r="GI8" s="1" t="s">
        <v>333</v>
      </c>
      <c r="GJ8" s="1" t="s">
        <v>330</v>
      </c>
      <c r="GK8" s="1" t="s">
        <v>331</v>
      </c>
      <c r="GL8" s="1" t="s">
        <v>331</v>
      </c>
      <c r="GM8" s="1" t="s">
        <v>333</v>
      </c>
      <c r="GN8" s="1" t="s">
        <v>331</v>
      </c>
      <c r="GO8" s="1" t="s">
        <v>332</v>
      </c>
      <c r="GP8" s="1" t="s">
        <v>332</v>
      </c>
      <c r="GQ8" s="1" t="s">
        <v>333</v>
      </c>
      <c r="GR8" s="1" t="s">
        <v>331</v>
      </c>
      <c r="GS8" s="1" t="s">
        <v>333</v>
      </c>
      <c r="GT8" s="1" t="s">
        <v>330</v>
      </c>
      <c r="GU8" s="1" t="s">
        <v>333</v>
      </c>
      <c r="GV8" s="1" t="s">
        <v>333</v>
      </c>
      <c r="GW8" s="1" t="s">
        <v>330</v>
      </c>
      <c r="GX8" s="1" t="s">
        <v>331</v>
      </c>
      <c r="GY8" s="1" t="s">
        <v>330</v>
      </c>
      <c r="GZ8" s="1" t="s">
        <v>332</v>
      </c>
      <c r="HA8" s="1" t="s">
        <v>333</v>
      </c>
      <c r="HB8" s="1" t="s">
        <v>333</v>
      </c>
      <c r="HC8" s="1" t="s">
        <v>330</v>
      </c>
      <c r="HD8" s="1" t="s">
        <v>332</v>
      </c>
      <c r="HE8" s="1" t="s">
        <v>330</v>
      </c>
      <c r="HF8" s="1" t="s">
        <v>331</v>
      </c>
      <c r="HG8" s="1" t="s">
        <v>333</v>
      </c>
      <c r="HH8" s="1" t="s">
        <v>333</v>
      </c>
      <c r="HI8" s="1" t="s">
        <v>333</v>
      </c>
      <c r="HJ8" s="1" t="s">
        <v>333</v>
      </c>
      <c r="HK8" s="1" t="s">
        <v>330</v>
      </c>
      <c r="HL8" s="1" t="s">
        <v>330</v>
      </c>
      <c r="HM8" s="1" t="s">
        <v>333</v>
      </c>
      <c r="HN8" s="1" t="s">
        <v>331</v>
      </c>
      <c r="HO8" s="1" t="s">
        <v>331</v>
      </c>
      <c r="HP8" s="1" t="s">
        <v>332</v>
      </c>
      <c r="HQ8" s="1" t="s">
        <v>333</v>
      </c>
      <c r="HR8" s="1" t="s">
        <v>333</v>
      </c>
      <c r="HS8" s="1" t="s">
        <v>330</v>
      </c>
      <c r="HT8" s="1" t="s">
        <v>331</v>
      </c>
      <c r="HU8" s="1" t="s">
        <v>332</v>
      </c>
      <c r="HV8" s="1" t="s">
        <v>335</v>
      </c>
      <c r="HW8" s="1" t="s">
        <v>333</v>
      </c>
      <c r="HX8" s="1" t="s">
        <v>333</v>
      </c>
      <c r="HY8" s="1" t="s">
        <v>331</v>
      </c>
      <c r="HZ8" s="1" t="s">
        <v>333</v>
      </c>
      <c r="IA8" s="1" t="s">
        <v>333</v>
      </c>
      <c r="IB8" s="1" t="s">
        <v>330</v>
      </c>
      <c r="IC8" s="1" t="s">
        <v>330</v>
      </c>
      <c r="ID8" s="1" t="s">
        <v>333</v>
      </c>
      <c r="IE8" s="1" t="s">
        <v>333</v>
      </c>
      <c r="IF8" s="1" t="s">
        <v>330</v>
      </c>
      <c r="IG8" s="1" t="s">
        <v>331</v>
      </c>
      <c r="IH8" s="1" t="s">
        <v>330</v>
      </c>
      <c r="II8" s="1" t="s">
        <v>333</v>
      </c>
      <c r="IJ8" s="1" t="s">
        <v>331</v>
      </c>
      <c r="IK8" s="1" t="s">
        <v>330</v>
      </c>
      <c r="IL8" s="1" t="s">
        <v>331</v>
      </c>
      <c r="IM8" s="1" t="s">
        <v>330</v>
      </c>
      <c r="IN8" s="1" t="s">
        <v>330</v>
      </c>
      <c r="IO8" s="1" t="s">
        <v>333</v>
      </c>
      <c r="IP8" s="1" t="s">
        <v>330</v>
      </c>
      <c r="IQ8" s="1" t="s">
        <v>330</v>
      </c>
      <c r="IR8" s="1" t="s">
        <v>330</v>
      </c>
      <c r="IS8" s="1" t="s">
        <v>331</v>
      </c>
      <c r="IT8" s="1" t="s">
        <v>333</v>
      </c>
      <c r="IU8" s="1" t="s">
        <v>330</v>
      </c>
      <c r="IV8" s="1" t="s">
        <v>331</v>
      </c>
      <c r="IW8" s="1" t="s">
        <v>331</v>
      </c>
      <c r="IX8" s="1" t="s">
        <v>333</v>
      </c>
      <c r="IY8" s="1" t="s">
        <v>331</v>
      </c>
      <c r="IZ8" s="1" t="s">
        <v>330</v>
      </c>
      <c r="JA8" s="1" t="s">
        <v>330</v>
      </c>
      <c r="JB8" s="1" t="s">
        <v>330</v>
      </c>
      <c r="JC8" s="1" t="s">
        <v>330</v>
      </c>
      <c r="JD8" s="1" t="s">
        <v>333</v>
      </c>
      <c r="JE8" s="1" t="s">
        <v>331</v>
      </c>
      <c r="JF8" s="1" t="s">
        <v>332</v>
      </c>
      <c r="JG8" s="1" t="s">
        <v>333</v>
      </c>
      <c r="JH8" s="1" t="s">
        <v>332</v>
      </c>
      <c r="JI8" s="1" t="s">
        <v>330</v>
      </c>
      <c r="JJ8" s="1" t="s">
        <v>332</v>
      </c>
      <c r="JK8" s="1" t="s">
        <v>330</v>
      </c>
      <c r="JL8" s="1" t="s">
        <v>333</v>
      </c>
      <c r="JM8" s="1" t="s">
        <v>332</v>
      </c>
      <c r="JN8" s="1" t="s">
        <v>333</v>
      </c>
      <c r="JO8" s="1" t="s">
        <v>331</v>
      </c>
      <c r="JP8" s="1" t="s">
        <v>333</v>
      </c>
      <c r="JQ8" s="1" t="s">
        <v>333</v>
      </c>
      <c r="JR8" s="1" t="s">
        <v>331</v>
      </c>
      <c r="JS8" s="1" t="s">
        <v>333</v>
      </c>
      <c r="JT8" s="1" t="s">
        <v>332</v>
      </c>
    </row>
    <row r="9" spans="1:280" x14ac:dyDescent="0.35">
      <c r="A9" s="1" t="s">
        <v>1734</v>
      </c>
      <c r="D9" s="1" t="s">
        <v>1746</v>
      </c>
      <c r="E9" s="1">
        <v>5711</v>
      </c>
      <c r="G9" s="1" t="s">
        <v>313</v>
      </c>
      <c r="H9" s="1" t="s">
        <v>312</v>
      </c>
      <c r="I9" s="1" t="s">
        <v>325</v>
      </c>
      <c r="J9" s="1" t="s">
        <v>1735</v>
      </c>
      <c r="K9" s="1" t="s">
        <v>1736</v>
      </c>
      <c r="M9" s="1">
        <v>1</v>
      </c>
      <c r="N9" s="1">
        <v>1</v>
      </c>
      <c r="O9" s="1">
        <v>1</v>
      </c>
      <c r="P9" s="1">
        <v>1</v>
      </c>
      <c r="Q9" s="1">
        <v>0</v>
      </c>
      <c r="R9" s="1">
        <v>1</v>
      </c>
      <c r="S9" s="1">
        <v>0</v>
      </c>
      <c r="T9" s="1">
        <v>1</v>
      </c>
      <c r="U9" s="1">
        <v>1</v>
      </c>
      <c r="V9" s="1">
        <v>0</v>
      </c>
      <c r="W9" s="1">
        <v>1</v>
      </c>
      <c r="X9" s="1">
        <v>0</v>
      </c>
      <c r="Y9" s="1">
        <v>1</v>
      </c>
      <c r="Z9" s="1">
        <v>0</v>
      </c>
      <c r="AA9" s="1">
        <v>0</v>
      </c>
      <c r="AB9" s="1">
        <v>0</v>
      </c>
      <c r="AC9" s="1">
        <v>1</v>
      </c>
      <c r="AD9" s="1">
        <v>0</v>
      </c>
      <c r="AE9" s="1">
        <v>0</v>
      </c>
      <c r="AF9" s="1">
        <v>1</v>
      </c>
      <c r="AG9" s="1">
        <v>1</v>
      </c>
      <c r="AH9" s="1">
        <v>0</v>
      </c>
      <c r="AI9" s="1">
        <v>0</v>
      </c>
      <c r="AJ9" s="1">
        <v>0</v>
      </c>
      <c r="AK9" s="1">
        <v>1</v>
      </c>
      <c r="AL9" s="1">
        <v>0</v>
      </c>
      <c r="AM9" s="1">
        <v>0</v>
      </c>
      <c r="AN9" s="1">
        <v>0</v>
      </c>
      <c r="AO9" s="1">
        <v>1</v>
      </c>
      <c r="AP9" s="1">
        <v>1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1</v>
      </c>
      <c r="AW9" s="1">
        <v>0</v>
      </c>
      <c r="AX9" s="1">
        <v>1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1</v>
      </c>
      <c r="BE9" s="1">
        <v>0</v>
      </c>
      <c r="BF9" s="1">
        <v>0</v>
      </c>
      <c r="BG9" s="1">
        <v>0</v>
      </c>
      <c r="BH9" s="1">
        <v>1</v>
      </c>
      <c r="BI9" s="1">
        <v>0</v>
      </c>
      <c r="BJ9" s="1">
        <v>0</v>
      </c>
      <c r="BK9" s="1">
        <v>1</v>
      </c>
      <c r="BL9" s="1">
        <v>0</v>
      </c>
      <c r="BM9" s="1">
        <v>0</v>
      </c>
      <c r="BN9" s="1">
        <v>0</v>
      </c>
      <c r="BO9" s="1">
        <v>1</v>
      </c>
      <c r="BP9" s="1">
        <v>1</v>
      </c>
      <c r="BQ9" s="1">
        <v>0</v>
      </c>
      <c r="BR9" s="1">
        <v>1</v>
      </c>
      <c r="BS9" s="1">
        <v>0</v>
      </c>
      <c r="BT9" s="1">
        <v>1</v>
      </c>
      <c r="BU9" s="1">
        <v>1</v>
      </c>
      <c r="BV9" s="1">
        <v>1</v>
      </c>
      <c r="BW9" s="1">
        <v>0</v>
      </c>
      <c r="BX9" s="1">
        <v>0</v>
      </c>
      <c r="BY9" s="1">
        <v>1</v>
      </c>
      <c r="BZ9" s="1">
        <v>1</v>
      </c>
      <c r="CA9" s="1">
        <v>0</v>
      </c>
      <c r="CB9" s="1">
        <v>0</v>
      </c>
      <c r="CC9" s="1">
        <v>1</v>
      </c>
      <c r="CD9" s="1">
        <v>1</v>
      </c>
      <c r="CE9" s="1">
        <v>0</v>
      </c>
      <c r="CF9" s="1">
        <v>1</v>
      </c>
      <c r="CG9" s="1">
        <v>0</v>
      </c>
      <c r="CH9" s="1">
        <v>1</v>
      </c>
      <c r="CI9" s="1">
        <v>0</v>
      </c>
      <c r="CJ9" s="1">
        <v>0</v>
      </c>
      <c r="CK9" s="1">
        <v>1</v>
      </c>
      <c r="CL9" s="1">
        <v>0</v>
      </c>
      <c r="CM9" s="1">
        <v>0</v>
      </c>
      <c r="CN9" s="1">
        <v>0</v>
      </c>
      <c r="CO9" s="1">
        <v>1</v>
      </c>
      <c r="CP9" s="1">
        <v>0</v>
      </c>
      <c r="CQ9" s="1">
        <v>0</v>
      </c>
      <c r="CR9" s="1">
        <v>1</v>
      </c>
      <c r="CS9" s="1">
        <v>1</v>
      </c>
      <c r="CT9" s="1">
        <v>0</v>
      </c>
      <c r="CU9" s="1">
        <v>0</v>
      </c>
      <c r="CV9" s="1">
        <v>0</v>
      </c>
      <c r="CW9" s="1">
        <v>1</v>
      </c>
      <c r="CX9" s="1">
        <v>1</v>
      </c>
      <c r="CY9" s="1">
        <v>0</v>
      </c>
      <c r="CZ9" s="1">
        <v>0</v>
      </c>
      <c r="DA9" s="1">
        <v>0</v>
      </c>
      <c r="DB9" s="1">
        <v>1</v>
      </c>
      <c r="DC9" s="1">
        <v>0</v>
      </c>
      <c r="DD9" s="1">
        <v>0</v>
      </c>
      <c r="DE9" s="1">
        <v>1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1</v>
      </c>
      <c r="DL9" s="1">
        <v>0</v>
      </c>
      <c r="DM9" s="1">
        <v>1</v>
      </c>
      <c r="DN9" s="1">
        <v>0</v>
      </c>
      <c r="DO9" s="1">
        <v>0</v>
      </c>
      <c r="DP9" s="1">
        <v>1</v>
      </c>
      <c r="DQ9" s="1">
        <v>0</v>
      </c>
      <c r="DR9" s="1">
        <v>0</v>
      </c>
      <c r="DS9" s="1">
        <v>0</v>
      </c>
      <c r="DT9" s="1">
        <v>0</v>
      </c>
      <c r="DU9" s="1">
        <v>1</v>
      </c>
      <c r="DV9" s="1">
        <v>1</v>
      </c>
      <c r="DW9" s="1">
        <v>0</v>
      </c>
      <c r="DX9" s="1">
        <v>1</v>
      </c>
      <c r="DY9" s="1">
        <v>1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1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1</v>
      </c>
      <c r="EP9" s="1">
        <v>0</v>
      </c>
      <c r="EQ9" s="1" t="s">
        <v>330</v>
      </c>
      <c r="ER9" s="1" t="s">
        <v>331</v>
      </c>
      <c r="ES9" s="1" t="s">
        <v>333</v>
      </c>
      <c r="ET9" s="1" t="s">
        <v>331</v>
      </c>
      <c r="EU9" s="1" t="s">
        <v>331</v>
      </c>
      <c r="EV9" s="1" t="s">
        <v>330</v>
      </c>
      <c r="EW9" s="1" t="s">
        <v>331</v>
      </c>
      <c r="EX9" s="1" t="s">
        <v>331</v>
      </c>
      <c r="EY9" s="1" t="s">
        <v>331</v>
      </c>
      <c r="EZ9" s="1" t="s">
        <v>333</v>
      </c>
      <c r="FA9" s="1" t="s">
        <v>332</v>
      </c>
      <c r="FB9" s="1" t="s">
        <v>333</v>
      </c>
      <c r="FC9" s="1" t="s">
        <v>332</v>
      </c>
      <c r="FD9" s="1" t="s">
        <v>333</v>
      </c>
      <c r="FE9" s="1" t="s">
        <v>330</v>
      </c>
      <c r="FF9" s="1" t="s">
        <v>330</v>
      </c>
      <c r="FG9" s="1" t="s">
        <v>331</v>
      </c>
      <c r="FH9" s="1" t="s">
        <v>330</v>
      </c>
      <c r="FI9" s="1" t="s">
        <v>333</v>
      </c>
      <c r="FJ9" s="1" t="s">
        <v>330</v>
      </c>
      <c r="FK9" s="1" t="s">
        <v>331</v>
      </c>
      <c r="FL9" s="1" t="s">
        <v>330</v>
      </c>
      <c r="FM9" s="1" t="s">
        <v>330</v>
      </c>
      <c r="FN9" s="1" t="s">
        <v>330</v>
      </c>
      <c r="FO9" s="1" t="s">
        <v>331</v>
      </c>
      <c r="FP9" s="1" t="s">
        <v>331</v>
      </c>
      <c r="FQ9" s="1" t="s">
        <v>331</v>
      </c>
      <c r="FR9" s="1" t="s">
        <v>331</v>
      </c>
      <c r="FS9" s="1" t="s">
        <v>331</v>
      </c>
      <c r="FT9" s="1" t="s">
        <v>333</v>
      </c>
      <c r="FU9" s="1" t="s">
        <v>332</v>
      </c>
      <c r="FV9" s="1" t="s">
        <v>332</v>
      </c>
      <c r="FW9" s="1" t="s">
        <v>330</v>
      </c>
      <c r="FX9" s="1" t="s">
        <v>333</v>
      </c>
      <c r="FY9" s="1" t="s">
        <v>330</v>
      </c>
      <c r="FZ9" s="1" t="s">
        <v>331</v>
      </c>
      <c r="GA9" s="1" t="s">
        <v>331</v>
      </c>
      <c r="GB9" s="1" t="s">
        <v>331</v>
      </c>
      <c r="GC9" s="1" t="s">
        <v>330</v>
      </c>
      <c r="GD9" s="1" t="s">
        <v>330</v>
      </c>
      <c r="GE9" s="1" t="s">
        <v>330</v>
      </c>
      <c r="GF9" s="1" t="s">
        <v>332</v>
      </c>
      <c r="GG9" s="1" t="s">
        <v>333</v>
      </c>
      <c r="GH9" s="1" t="s">
        <v>330</v>
      </c>
      <c r="GI9" s="1" t="s">
        <v>330</v>
      </c>
      <c r="GJ9" s="1" t="s">
        <v>330</v>
      </c>
      <c r="GK9" s="1" t="s">
        <v>331</v>
      </c>
      <c r="GL9" s="1" t="s">
        <v>331</v>
      </c>
      <c r="GM9" s="1" t="s">
        <v>332</v>
      </c>
      <c r="GN9" s="1" t="s">
        <v>330</v>
      </c>
      <c r="GO9" s="1" t="s">
        <v>333</v>
      </c>
      <c r="GP9" s="1" t="s">
        <v>333</v>
      </c>
      <c r="GQ9" s="1" t="s">
        <v>330</v>
      </c>
      <c r="GR9" s="1" t="s">
        <v>330</v>
      </c>
      <c r="GS9" s="1" t="s">
        <v>333</v>
      </c>
      <c r="GT9" s="1" t="s">
        <v>331</v>
      </c>
      <c r="GU9" s="1" t="s">
        <v>331</v>
      </c>
      <c r="GV9" s="1" t="s">
        <v>333</v>
      </c>
      <c r="GW9" s="1" t="s">
        <v>333</v>
      </c>
      <c r="GX9" s="1" t="s">
        <v>331</v>
      </c>
      <c r="GY9" s="1" t="s">
        <v>330</v>
      </c>
      <c r="GZ9" s="1" t="s">
        <v>331</v>
      </c>
      <c r="HA9" s="1" t="s">
        <v>332</v>
      </c>
      <c r="HB9" s="1" t="s">
        <v>330</v>
      </c>
      <c r="HC9" s="1" t="s">
        <v>330</v>
      </c>
      <c r="HD9" s="1" t="s">
        <v>332</v>
      </c>
      <c r="HE9" s="1" t="s">
        <v>331</v>
      </c>
      <c r="HF9" s="1" t="s">
        <v>330</v>
      </c>
      <c r="HG9" s="1" t="s">
        <v>333</v>
      </c>
      <c r="HH9" s="1" t="s">
        <v>333</v>
      </c>
      <c r="HI9" s="1" t="s">
        <v>333</v>
      </c>
      <c r="HJ9" s="1" t="s">
        <v>333</v>
      </c>
      <c r="HK9" s="1" t="s">
        <v>330</v>
      </c>
      <c r="HL9" s="1" t="s">
        <v>330</v>
      </c>
      <c r="HM9" s="1" t="s">
        <v>333</v>
      </c>
      <c r="HN9" s="1" t="s">
        <v>333</v>
      </c>
      <c r="HO9" s="1" t="s">
        <v>331</v>
      </c>
      <c r="HP9" s="1" t="s">
        <v>330</v>
      </c>
      <c r="HQ9" s="1" t="s">
        <v>331</v>
      </c>
      <c r="HR9" s="1" t="s">
        <v>331</v>
      </c>
      <c r="HS9" s="1" t="s">
        <v>330</v>
      </c>
      <c r="HT9" s="1" t="s">
        <v>335</v>
      </c>
      <c r="HU9" s="1" t="s">
        <v>332</v>
      </c>
      <c r="HV9" s="1" t="s">
        <v>336</v>
      </c>
      <c r="HW9" s="1" t="s">
        <v>333</v>
      </c>
      <c r="HX9" s="1" t="s">
        <v>333</v>
      </c>
      <c r="HY9" s="1" t="s">
        <v>331</v>
      </c>
      <c r="HZ9" s="1" t="s">
        <v>333</v>
      </c>
      <c r="IA9" s="1" t="s">
        <v>333</v>
      </c>
      <c r="IB9" s="1" t="s">
        <v>331</v>
      </c>
      <c r="IC9" s="1" t="s">
        <v>331</v>
      </c>
      <c r="ID9" s="1" t="s">
        <v>333</v>
      </c>
      <c r="IE9" s="1" t="s">
        <v>333</v>
      </c>
      <c r="IF9" s="1" t="s">
        <v>333</v>
      </c>
      <c r="IG9" s="1" t="s">
        <v>331</v>
      </c>
      <c r="IH9" s="1" t="s">
        <v>333</v>
      </c>
      <c r="II9" s="1" t="s">
        <v>333</v>
      </c>
      <c r="IJ9" s="1" t="s">
        <v>330</v>
      </c>
      <c r="IK9" s="1" t="s">
        <v>333</v>
      </c>
      <c r="IL9" s="1" t="s">
        <v>333</v>
      </c>
      <c r="IM9" s="1" t="s">
        <v>331</v>
      </c>
      <c r="IN9" s="1" t="s">
        <v>330</v>
      </c>
      <c r="IO9" s="1" t="s">
        <v>333</v>
      </c>
      <c r="IP9" s="1" t="s">
        <v>331</v>
      </c>
      <c r="IQ9" s="1" t="s">
        <v>331</v>
      </c>
      <c r="IR9" s="1" t="s">
        <v>333</v>
      </c>
      <c r="IS9" s="1" t="s">
        <v>330</v>
      </c>
      <c r="IT9" s="1" t="s">
        <v>333</v>
      </c>
      <c r="IU9" s="1" t="s">
        <v>333</v>
      </c>
      <c r="IV9" s="1" t="s">
        <v>333</v>
      </c>
      <c r="IW9" s="1" t="s">
        <v>331</v>
      </c>
      <c r="IX9" s="1" t="s">
        <v>330</v>
      </c>
      <c r="IY9" s="1" t="s">
        <v>331</v>
      </c>
      <c r="IZ9" s="1" t="s">
        <v>330</v>
      </c>
      <c r="JA9" s="1" t="s">
        <v>330</v>
      </c>
      <c r="JB9" s="1" t="s">
        <v>330</v>
      </c>
      <c r="JC9" s="1" t="s">
        <v>333</v>
      </c>
      <c r="JD9" s="1" t="s">
        <v>333</v>
      </c>
      <c r="JE9" s="1" t="s">
        <v>331</v>
      </c>
      <c r="JF9" s="1" t="s">
        <v>332</v>
      </c>
      <c r="JG9" s="1" t="s">
        <v>333</v>
      </c>
      <c r="JH9" s="1" t="s">
        <v>333</v>
      </c>
      <c r="JI9" s="1" t="s">
        <v>330</v>
      </c>
      <c r="JJ9" s="1" t="s">
        <v>330</v>
      </c>
      <c r="JK9" s="1" t="s">
        <v>330</v>
      </c>
      <c r="JL9" s="1" t="s">
        <v>330</v>
      </c>
      <c r="JM9" s="1" t="s">
        <v>332</v>
      </c>
      <c r="JN9" s="1" t="s">
        <v>333</v>
      </c>
      <c r="JO9" s="1" t="s">
        <v>332</v>
      </c>
      <c r="JP9" s="1" t="s">
        <v>333</v>
      </c>
      <c r="JQ9" s="1" t="s">
        <v>331</v>
      </c>
      <c r="JR9" s="1" t="s">
        <v>331</v>
      </c>
      <c r="JS9" s="1" t="s">
        <v>333</v>
      </c>
      <c r="JT9" s="1" t="s">
        <v>331</v>
      </c>
    </row>
    <row r="10" spans="1:280" x14ac:dyDescent="0.35">
      <c r="A10" s="1" t="s">
        <v>1734</v>
      </c>
      <c r="D10" s="1" t="s">
        <v>1747</v>
      </c>
      <c r="E10" s="1">
        <v>5712</v>
      </c>
      <c r="G10" s="1" t="s">
        <v>1691</v>
      </c>
      <c r="H10" s="1" t="s">
        <v>312</v>
      </c>
      <c r="I10" s="1" t="s">
        <v>326</v>
      </c>
      <c r="J10" s="1" t="s">
        <v>1735</v>
      </c>
      <c r="K10" s="1" t="s">
        <v>1736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1</v>
      </c>
      <c r="S10" s="1">
        <v>0</v>
      </c>
      <c r="T10" s="1">
        <v>0</v>
      </c>
      <c r="U10" s="1">
        <v>0</v>
      </c>
      <c r="V10" s="1">
        <v>0</v>
      </c>
      <c r="W10" s="1">
        <v>1</v>
      </c>
      <c r="X10" s="1">
        <v>0</v>
      </c>
      <c r="Y10" s="1">
        <v>0</v>
      </c>
      <c r="Z10" s="1">
        <v>0</v>
      </c>
      <c r="AA10" s="1">
        <v>1</v>
      </c>
      <c r="AB10" s="1">
        <v>1</v>
      </c>
      <c r="AC10" s="1">
        <v>0</v>
      </c>
      <c r="AD10" s="1">
        <v>1</v>
      </c>
      <c r="AE10" s="1">
        <v>1</v>
      </c>
      <c r="AF10" s="1">
        <v>1</v>
      </c>
      <c r="AG10" s="1">
        <v>1</v>
      </c>
      <c r="AH10" s="1">
        <v>0</v>
      </c>
      <c r="AI10" s="1">
        <v>0</v>
      </c>
      <c r="AJ10" s="1">
        <v>1</v>
      </c>
      <c r="AK10" s="1">
        <v>1</v>
      </c>
      <c r="AL10" s="1">
        <v>0</v>
      </c>
      <c r="AM10" s="1">
        <v>0</v>
      </c>
      <c r="AN10" s="1">
        <v>0</v>
      </c>
      <c r="AO10" s="1">
        <v>1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1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1</v>
      </c>
      <c r="BC10" s="1">
        <v>0</v>
      </c>
      <c r="BD10" s="1">
        <v>0</v>
      </c>
      <c r="BE10" s="1">
        <v>0</v>
      </c>
      <c r="BF10" s="1">
        <v>1</v>
      </c>
      <c r="BG10" s="1">
        <v>0</v>
      </c>
      <c r="BH10" s="1">
        <v>0</v>
      </c>
      <c r="BI10" s="1">
        <v>0</v>
      </c>
      <c r="BJ10" s="1">
        <v>1</v>
      </c>
      <c r="BK10" s="1">
        <v>1</v>
      </c>
      <c r="BL10" s="1">
        <v>0</v>
      </c>
      <c r="BM10" s="1">
        <v>1</v>
      </c>
      <c r="BN10" s="1">
        <v>1</v>
      </c>
      <c r="BO10" s="1">
        <v>1</v>
      </c>
      <c r="BP10" s="1">
        <v>1</v>
      </c>
      <c r="BQ10" s="1">
        <v>0</v>
      </c>
      <c r="BR10" s="1">
        <v>0</v>
      </c>
      <c r="BS10" s="1">
        <v>0</v>
      </c>
      <c r="BT10" s="1">
        <v>0</v>
      </c>
      <c r="BU10" s="1">
        <v>1</v>
      </c>
      <c r="BV10" s="1">
        <v>1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1</v>
      </c>
      <c r="CD10" s="1">
        <v>1</v>
      </c>
      <c r="CE10" s="1">
        <v>0</v>
      </c>
      <c r="CF10" s="1">
        <v>1</v>
      </c>
      <c r="CG10" s="1">
        <v>1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1</v>
      </c>
      <c r="CN10" s="1">
        <v>1</v>
      </c>
      <c r="CO10" s="1">
        <v>1</v>
      </c>
      <c r="CP10" s="1">
        <v>1</v>
      </c>
      <c r="CQ10" s="1">
        <v>1</v>
      </c>
      <c r="CR10" s="1">
        <v>1</v>
      </c>
      <c r="CS10" s="1">
        <v>1</v>
      </c>
      <c r="CT10" s="1">
        <v>1</v>
      </c>
      <c r="CU10" s="1">
        <v>0</v>
      </c>
      <c r="CV10" s="1">
        <v>0</v>
      </c>
      <c r="CW10" s="1">
        <v>1</v>
      </c>
      <c r="CX10" s="1">
        <v>0</v>
      </c>
      <c r="CY10" s="1">
        <v>0</v>
      </c>
      <c r="CZ10" s="1">
        <v>1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1</v>
      </c>
      <c r="DI10" s="1">
        <v>0</v>
      </c>
      <c r="DJ10" s="1">
        <v>0</v>
      </c>
      <c r="DK10" s="1">
        <v>0</v>
      </c>
      <c r="DL10" s="1">
        <v>0</v>
      </c>
      <c r="DM10" s="1">
        <v>1</v>
      </c>
      <c r="DN10" s="1">
        <v>0</v>
      </c>
      <c r="DO10" s="1">
        <v>0</v>
      </c>
      <c r="DP10" s="1">
        <v>1</v>
      </c>
      <c r="DQ10" s="1">
        <v>0</v>
      </c>
      <c r="DR10" s="1">
        <v>1</v>
      </c>
      <c r="DS10" s="1">
        <v>0</v>
      </c>
      <c r="DT10" s="1">
        <v>0</v>
      </c>
      <c r="DU10" s="1">
        <v>1</v>
      </c>
      <c r="DV10" s="1">
        <v>1</v>
      </c>
      <c r="DW10" s="1">
        <v>0</v>
      </c>
      <c r="DX10" s="1">
        <v>1</v>
      </c>
      <c r="DY10" s="1">
        <v>1</v>
      </c>
      <c r="DZ10" s="1">
        <v>0</v>
      </c>
      <c r="EA10" s="1">
        <v>0</v>
      </c>
      <c r="EB10" s="1">
        <v>0</v>
      </c>
      <c r="EC10" s="1">
        <v>1</v>
      </c>
      <c r="ED10" s="1">
        <v>1</v>
      </c>
      <c r="EE10" s="1">
        <v>0</v>
      </c>
      <c r="EF10" s="1">
        <v>1</v>
      </c>
      <c r="EG10" s="1">
        <v>0</v>
      </c>
      <c r="EH10" s="1">
        <v>0</v>
      </c>
      <c r="EI10" s="1">
        <v>0</v>
      </c>
      <c r="EJ10" s="1">
        <v>0</v>
      </c>
      <c r="EK10" s="1">
        <v>1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 t="s">
        <v>331</v>
      </c>
      <c r="ER10" s="1" t="s">
        <v>333</v>
      </c>
      <c r="ES10" s="1" t="s">
        <v>332</v>
      </c>
      <c r="ET10" s="1" t="s">
        <v>332</v>
      </c>
      <c r="EU10" s="1" t="s">
        <v>331</v>
      </c>
      <c r="EV10" s="1" t="s">
        <v>330</v>
      </c>
      <c r="EW10" s="1" t="s">
        <v>331</v>
      </c>
      <c r="EX10" s="1" t="s">
        <v>330</v>
      </c>
      <c r="EY10" s="1" t="s">
        <v>333</v>
      </c>
      <c r="EZ10" s="1" t="s">
        <v>333</v>
      </c>
      <c r="FA10" s="1" t="s">
        <v>332</v>
      </c>
      <c r="FB10" s="1" t="s">
        <v>332</v>
      </c>
      <c r="FC10" s="1" t="s">
        <v>333</v>
      </c>
      <c r="FD10" s="1" t="s">
        <v>333</v>
      </c>
      <c r="FE10" s="1" t="s">
        <v>331</v>
      </c>
      <c r="FF10" s="1" t="s">
        <v>333</v>
      </c>
      <c r="FG10" s="1" t="s">
        <v>333</v>
      </c>
      <c r="FH10" s="1" t="s">
        <v>333</v>
      </c>
      <c r="FI10" s="1" t="s">
        <v>330</v>
      </c>
      <c r="FJ10" s="1" t="s">
        <v>330</v>
      </c>
      <c r="FK10" s="1" t="s">
        <v>331</v>
      </c>
      <c r="FL10" s="1" t="s">
        <v>331</v>
      </c>
      <c r="FM10" s="1" t="s">
        <v>331</v>
      </c>
      <c r="FN10" s="1" t="s">
        <v>332</v>
      </c>
      <c r="FO10" s="1" t="s">
        <v>331</v>
      </c>
      <c r="FP10" s="1" t="s">
        <v>333</v>
      </c>
      <c r="FQ10" s="1" t="s">
        <v>333</v>
      </c>
      <c r="FR10" s="1" t="s">
        <v>332</v>
      </c>
      <c r="FS10" s="1" t="s">
        <v>331</v>
      </c>
      <c r="FT10" s="1" t="s">
        <v>330</v>
      </c>
      <c r="FU10" s="1" t="s">
        <v>331</v>
      </c>
      <c r="FV10" s="1" t="s">
        <v>333</v>
      </c>
      <c r="FW10" s="1" t="s">
        <v>332</v>
      </c>
      <c r="FX10" s="1" t="s">
        <v>333</v>
      </c>
      <c r="FY10" s="1" t="s">
        <v>330</v>
      </c>
      <c r="FZ10" s="1" t="s">
        <v>331</v>
      </c>
      <c r="GA10" s="1" t="s">
        <v>331</v>
      </c>
      <c r="GB10" s="1" t="s">
        <v>330</v>
      </c>
      <c r="GC10" s="1" t="s">
        <v>330</v>
      </c>
      <c r="GD10" s="1" t="s">
        <v>333</v>
      </c>
      <c r="GE10" s="1" t="s">
        <v>332</v>
      </c>
      <c r="GF10" s="1" t="s">
        <v>331</v>
      </c>
      <c r="GG10" s="1" t="s">
        <v>331</v>
      </c>
      <c r="GH10" s="1" t="s">
        <v>331</v>
      </c>
      <c r="GI10" s="1" t="s">
        <v>330</v>
      </c>
      <c r="GJ10" s="1" t="s">
        <v>333</v>
      </c>
      <c r="GK10" s="1" t="s">
        <v>330</v>
      </c>
      <c r="GL10" s="1" t="s">
        <v>333</v>
      </c>
      <c r="GM10" s="1" t="s">
        <v>330</v>
      </c>
      <c r="GN10" s="1" t="s">
        <v>333</v>
      </c>
      <c r="GO10" s="1" t="s">
        <v>333</v>
      </c>
      <c r="GP10" s="1" t="s">
        <v>331</v>
      </c>
      <c r="GQ10" s="1" t="s">
        <v>331</v>
      </c>
      <c r="GR10" s="1" t="s">
        <v>333</v>
      </c>
      <c r="GS10" s="1" t="s">
        <v>333</v>
      </c>
      <c r="GT10" s="1" t="s">
        <v>331</v>
      </c>
      <c r="GU10" s="1" t="s">
        <v>330</v>
      </c>
      <c r="GV10" s="1" t="s">
        <v>330</v>
      </c>
      <c r="GW10" s="1" t="s">
        <v>333</v>
      </c>
      <c r="GX10" s="1" t="s">
        <v>333</v>
      </c>
      <c r="GY10" s="1" t="s">
        <v>330</v>
      </c>
      <c r="GZ10" s="1" t="s">
        <v>331</v>
      </c>
      <c r="HA10" s="1" t="s">
        <v>333</v>
      </c>
      <c r="HB10" s="1" t="s">
        <v>330</v>
      </c>
      <c r="HC10" s="1" t="s">
        <v>331</v>
      </c>
      <c r="HD10" s="1" t="s">
        <v>330</v>
      </c>
      <c r="HE10" s="1" t="s">
        <v>331</v>
      </c>
      <c r="HF10" s="1" t="s">
        <v>330</v>
      </c>
      <c r="HG10" s="1" t="s">
        <v>333</v>
      </c>
      <c r="HH10" s="1" t="s">
        <v>333</v>
      </c>
      <c r="HI10" s="1" t="s">
        <v>331</v>
      </c>
      <c r="HJ10" s="1" t="s">
        <v>333</v>
      </c>
      <c r="HK10" s="1" t="s">
        <v>333</v>
      </c>
      <c r="HL10" s="1" t="s">
        <v>333</v>
      </c>
      <c r="HM10" s="1" t="s">
        <v>333</v>
      </c>
      <c r="HN10" s="1" t="s">
        <v>333</v>
      </c>
      <c r="HO10" s="1" t="s">
        <v>333</v>
      </c>
      <c r="HP10" s="1" t="s">
        <v>332</v>
      </c>
      <c r="HQ10" s="1" t="s">
        <v>333</v>
      </c>
      <c r="HR10" s="1" t="s">
        <v>333</v>
      </c>
      <c r="HS10" s="1" t="s">
        <v>330</v>
      </c>
      <c r="HT10" s="1" t="s">
        <v>331</v>
      </c>
      <c r="HU10" s="1" t="s">
        <v>337</v>
      </c>
      <c r="HV10" s="1" t="s">
        <v>336</v>
      </c>
      <c r="HW10" s="1" t="s">
        <v>333</v>
      </c>
      <c r="HX10" s="1" t="s">
        <v>330</v>
      </c>
      <c r="HY10" s="1" t="s">
        <v>330</v>
      </c>
      <c r="HZ10" s="1" t="s">
        <v>333</v>
      </c>
      <c r="IA10" s="1" t="s">
        <v>333</v>
      </c>
      <c r="IB10" s="1" t="s">
        <v>330</v>
      </c>
      <c r="IC10" s="1" t="s">
        <v>331</v>
      </c>
      <c r="ID10" s="1" t="s">
        <v>330</v>
      </c>
      <c r="IE10" s="1" t="s">
        <v>333</v>
      </c>
      <c r="IF10" s="1" t="s">
        <v>330</v>
      </c>
      <c r="IG10" s="1" t="s">
        <v>333</v>
      </c>
      <c r="IH10" s="1" t="s">
        <v>333</v>
      </c>
      <c r="II10" s="1" t="s">
        <v>331</v>
      </c>
      <c r="IJ10" s="1" t="s">
        <v>333</v>
      </c>
      <c r="IK10" s="1" t="s">
        <v>330</v>
      </c>
      <c r="IL10" s="1" t="s">
        <v>331</v>
      </c>
      <c r="IM10" s="1" t="s">
        <v>331</v>
      </c>
      <c r="IN10" s="1" t="s">
        <v>330</v>
      </c>
      <c r="IO10" s="1" t="s">
        <v>330</v>
      </c>
      <c r="IP10" s="1" t="s">
        <v>333</v>
      </c>
      <c r="IQ10" s="1" t="s">
        <v>331</v>
      </c>
      <c r="IR10" s="1" t="s">
        <v>333</v>
      </c>
      <c r="IS10" s="1" t="s">
        <v>331</v>
      </c>
      <c r="IT10" s="1" t="s">
        <v>333</v>
      </c>
      <c r="IU10" s="1" t="s">
        <v>333</v>
      </c>
      <c r="IV10" s="1" t="s">
        <v>331</v>
      </c>
      <c r="IW10" s="1" t="s">
        <v>331</v>
      </c>
      <c r="IX10" s="1" t="s">
        <v>330</v>
      </c>
      <c r="IY10" s="1" t="s">
        <v>331</v>
      </c>
      <c r="IZ10" s="1" t="s">
        <v>330</v>
      </c>
      <c r="JA10" s="1" t="s">
        <v>330</v>
      </c>
      <c r="JB10" s="1" t="s">
        <v>330</v>
      </c>
      <c r="JC10" s="1" t="s">
        <v>333</v>
      </c>
      <c r="JD10" s="1" t="s">
        <v>333</v>
      </c>
      <c r="JE10" s="1" t="s">
        <v>331</v>
      </c>
      <c r="JF10" s="1" t="s">
        <v>330</v>
      </c>
      <c r="JG10" s="1" t="s">
        <v>332</v>
      </c>
      <c r="JH10" s="1" t="s">
        <v>331</v>
      </c>
      <c r="JI10" s="1" t="s">
        <v>332</v>
      </c>
      <c r="JJ10" s="1" t="s">
        <v>330</v>
      </c>
      <c r="JK10" s="1" t="s">
        <v>332</v>
      </c>
      <c r="JL10" s="1" t="s">
        <v>331</v>
      </c>
      <c r="JM10" s="1" t="s">
        <v>333</v>
      </c>
      <c r="JN10" s="1" t="s">
        <v>331</v>
      </c>
      <c r="JO10" s="1" t="s">
        <v>333</v>
      </c>
      <c r="JP10" s="1" t="s">
        <v>333</v>
      </c>
      <c r="JQ10" s="1" t="s">
        <v>331</v>
      </c>
      <c r="JR10" s="1" t="s">
        <v>333</v>
      </c>
      <c r="JS10" s="1" t="s">
        <v>331</v>
      </c>
      <c r="JT10" s="1" t="s">
        <v>331</v>
      </c>
    </row>
    <row r="11" spans="1:280" x14ac:dyDescent="0.35">
      <c r="A11" s="1" t="s">
        <v>1734</v>
      </c>
      <c r="D11" s="1" t="s">
        <v>1748</v>
      </c>
      <c r="E11" s="1">
        <v>5713</v>
      </c>
      <c r="G11" s="1" t="s">
        <v>316</v>
      </c>
      <c r="H11" s="1" t="s">
        <v>312</v>
      </c>
      <c r="I11" s="1" t="s">
        <v>1705</v>
      </c>
      <c r="J11" s="1" t="s">
        <v>1727</v>
      </c>
      <c r="K11" s="1" t="s">
        <v>1736</v>
      </c>
      <c r="M11" s="1">
        <v>1</v>
      </c>
      <c r="N11" s="1">
        <v>0</v>
      </c>
      <c r="O11" s="1">
        <v>0</v>
      </c>
      <c r="P11" s="1">
        <v>1</v>
      </c>
      <c r="Q11" s="1">
        <v>0</v>
      </c>
      <c r="R11" s="1">
        <v>0</v>
      </c>
      <c r="S11" s="1">
        <v>0</v>
      </c>
      <c r="T11" s="1">
        <v>1</v>
      </c>
      <c r="U11" s="1">
        <v>1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1</v>
      </c>
      <c r="AB11" s="1">
        <v>1</v>
      </c>
      <c r="AC11" s="1">
        <v>1</v>
      </c>
      <c r="AD11" s="1">
        <v>1</v>
      </c>
      <c r="AE11" s="1">
        <v>1</v>
      </c>
      <c r="AF11" s="1">
        <v>1</v>
      </c>
      <c r="AG11" s="1">
        <v>1</v>
      </c>
      <c r="AH11" s="1">
        <v>0</v>
      </c>
      <c r="AI11" s="1">
        <v>0</v>
      </c>
      <c r="AJ11" s="1">
        <v>0</v>
      </c>
      <c r="AK11" s="1">
        <v>0</v>
      </c>
      <c r="AL11" s="1">
        <v>1</v>
      </c>
      <c r="AM11" s="1">
        <v>1</v>
      </c>
      <c r="AN11" s="1">
        <v>1</v>
      </c>
      <c r="AO11" s="1">
        <v>1</v>
      </c>
      <c r="AP11" s="1">
        <v>0</v>
      </c>
      <c r="AQ11" s="1">
        <v>1</v>
      </c>
      <c r="AR11" s="1">
        <v>1</v>
      </c>
      <c r="AS11" s="1">
        <v>0</v>
      </c>
      <c r="AT11" s="1">
        <v>0</v>
      </c>
      <c r="AU11" s="1">
        <v>0</v>
      </c>
      <c r="AV11" s="1">
        <v>1</v>
      </c>
      <c r="AW11" s="1">
        <v>0</v>
      </c>
      <c r="AX11" s="1">
        <v>1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1</v>
      </c>
      <c r="BG11" s="1">
        <v>0</v>
      </c>
      <c r="BH11" s="1">
        <v>0</v>
      </c>
      <c r="BI11" s="1">
        <v>0</v>
      </c>
      <c r="BJ11" s="1">
        <v>1</v>
      </c>
      <c r="BK11" s="1">
        <v>0</v>
      </c>
      <c r="BL11" s="1">
        <v>0</v>
      </c>
      <c r="BM11" s="1">
        <v>0</v>
      </c>
      <c r="BN11" s="1">
        <v>0</v>
      </c>
      <c r="BO11" s="1">
        <v>1</v>
      </c>
      <c r="BP11" s="1">
        <v>0</v>
      </c>
      <c r="BQ11" s="1">
        <v>1</v>
      </c>
      <c r="BR11" s="1">
        <v>0</v>
      </c>
      <c r="BS11" s="1">
        <v>0</v>
      </c>
      <c r="BT11" s="1">
        <v>1</v>
      </c>
      <c r="BU11" s="1">
        <v>0</v>
      </c>
      <c r="BV11" s="1">
        <v>1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1</v>
      </c>
      <c r="CC11" s="1">
        <v>1</v>
      </c>
      <c r="CD11" s="1">
        <v>0</v>
      </c>
      <c r="CE11" s="1">
        <v>0</v>
      </c>
      <c r="CF11" s="1">
        <v>1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1</v>
      </c>
      <c r="CO11" s="1">
        <v>1</v>
      </c>
      <c r="CP11" s="1">
        <v>0</v>
      </c>
      <c r="CQ11" s="1">
        <v>0</v>
      </c>
      <c r="CR11" s="1">
        <v>0</v>
      </c>
      <c r="CS11" s="1">
        <v>1</v>
      </c>
      <c r="CT11" s="1">
        <v>0</v>
      </c>
      <c r="CU11" s="1">
        <v>0</v>
      </c>
      <c r="CV11" s="1">
        <v>0</v>
      </c>
      <c r="CW11" s="1">
        <v>1</v>
      </c>
      <c r="CX11" s="1">
        <v>1</v>
      </c>
      <c r="CY11" s="1">
        <v>1</v>
      </c>
      <c r="CZ11" s="1">
        <v>0</v>
      </c>
      <c r="DA11" s="1">
        <v>0</v>
      </c>
      <c r="DB11" s="1">
        <v>0</v>
      </c>
      <c r="DC11" s="1">
        <v>0</v>
      </c>
      <c r="DD11" s="1">
        <v>1</v>
      </c>
      <c r="DE11" s="1">
        <v>1</v>
      </c>
      <c r="DF11" s="1">
        <v>1</v>
      </c>
      <c r="DG11" s="1">
        <v>1</v>
      </c>
      <c r="DH11" s="1">
        <v>1</v>
      </c>
      <c r="DI11" s="1">
        <v>1</v>
      </c>
      <c r="DJ11" s="1">
        <v>0</v>
      </c>
      <c r="DK11" s="1">
        <v>0</v>
      </c>
      <c r="DL11" s="1">
        <v>1</v>
      </c>
      <c r="DM11" s="1">
        <v>0</v>
      </c>
      <c r="DN11" s="1">
        <v>0</v>
      </c>
      <c r="DO11" s="1">
        <v>0</v>
      </c>
      <c r="DP11" s="1">
        <v>1</v>
      </c>
      <c r="DQ11" s="1">
        <v>1</v>
      </c>
      <c r="DR11" s="1">
        <v>0</v>
      </c>
      <c r="DS11" s="1">
        <v>1</v>
      </c>
      <c r="DT11" s="1">
        <v>1</v>
      </c>
      <c r="DU11" s="1">
        <v>1</v>
      </c>
      <c r="DV11" s="1">
        <v>1</v>
      </c>
      <c r="DW11" s="1">
        <v>0</v>
      </c>
      <c r="DX11" s="1">
        <v>1</v>
      </c>
      <c r="DY11" s="1">
        <v>0</v>
      </c>
      <c r="DZ11" s="1">
        <v>0</v>
      </c>
      <c r="EA11" s="1">
        <v>1</v>
      </c>
      <c r="EB11" s="1">
        <v>1</v>
      </c>
      <c r="EC11" s="1">
        <v>0</v>
      </c>
      <c r="ED11" s="1">
        <v>0</v>
      </c>
      <c r="EE11" s="1">
        <v>0</v>
      </c>
      <c r="EF11" s="1">
        <v>1</v>
      </c>
      <c r="EG11" s="1">
        <v>0</v>
      </c>
      <c r="EH11" s="1">
        <v>0</v>
      </c>
      <c r="EI11" s="1">
        <v>0</v>
      </c>
      <c r="EJ11" s="1">
        <v>0</v>
      </c>
      <c r="EK11" s="1">
        <v>1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 t="s">
        <v>330</v>
      </c>
      <c r="ER11" s="1" t="s">
        <v>333</v>
      </c>
      <c r="ES11" s="1" t="s">
        <v>331</v>
      </c>
      <c r="ET11" s="1" t="s">
        <v>331</v>
      </c>
      <c r="EU11" s="1" t="s">
        <v>333</v>
      </c>
      <c r="EV11" s="1" t="s">
        <v>333</v>
      </c>
      <c r="EW11" s="1" t="s">
        <v>331</v>
      </c>
      <c r="EX11" s="1" t="s">
        <v>331</v>
      </c>
      <c r="EY11" s="1" t="s">
        <v>331</v>
      </c>
      <c r="EZ11" s="1" t="s">
        <v>331</v>
      </c>
      <c r="FA11" s="1" t="s">
        <v>330</v>
      </c>
      <c r="FB11" s="1" t="s">
        <v>333</v>
      </c>
      <c r="FC11" s="1" t="s">
        <v>333</v>
      </c>
      <c r="FD11" s="1" t="s">
        <v>333</v>
      </c>
      <c r="FE11" s="1" t="s">
        <v>331</v>
      </c>
      <c r="FF11" s="1" t="s">
        <v>333</v>
      </c>
      <c r="FG11" s="1" t="s">
        <v>331</v>
      </c>
      <c r="FH11" s="1" t="s">
        <v>333</v>
      </c>
      <c r="FI11" s="1" t="s">
        <v>330</v>
      </c>
      <c r="FJ11" s="1" t="s">
        <v>330</v>
      </c>
      <c r="FK11" s="1" t="s">
        <v>331</v>
      </c>
      <c r="FL11" s="1" t="s">
        <v>331</v>
      </c>
      <c r="FM11" s="1" t="s">
        <v>330</v>
      </c>
      <c r="FN11" s="1" t="s">
        <v>331</v>
      </c>
      <c r="FO11" s="1" t="s">
        <v>330</v>
      </c>
      <c r="FP11" s="1" t="s">
        <v>330</v>
      </c>
      <c r="FQ11" s="1" t="s">
        <v>330</v>
      </c>
      <c r="FR11" s="1" t="s">
        <v>333</v>
      </c>
      <c r="FS11" s="1" t="s">
        <v>331</v>
      </c>
      <c r="FT11" s="1" t="s">
        <v>332</v>
      </c>
      <c r="FU11" s="1" t="s">
        <v>333</v>
      </c>
      <c r="FV11" s="1" t="s">
        <v>331</v>
      </c>
      <c r="FW11" s="1" t="s">
        <v>333</v>
      </c>
      <c r="FX11" s="1" t="s">
        <v>330</v>
      </c>
      <c r="FY11" s="1" t="s">
        <v>333</v>
      </c>
      <c r="FZ11" s="1" t="s">
        <v>331</v>
      </c>
      <c r="GA11" s="1" t="s">
        <v>330</v>
      </c>
      <c r="GB11" s="1" t="s">
        <v>331</v>
      </c>
      <c r="GC11" s="1" t="s">
        <v>330</v>
      </c>
      <c r="GD11" s="1" t="s">
        <v>331</v>
      </c>
      <c r="GE11" s="1" t="s">
        <v>331</v>
      </c>
      <c r="GF11" s="1" t="s">
        <v>330</v>
      </c>
      <c r="GG11" s="1" t="s">
        <v>332</v>
      </c>
      <c r="GH11" s="1" t="s">
        <v>333</v>
      </c>
      <c r="GI11" s="1" t="s">
        <v>332</v>
      </c>
      <c r="GJ11" s="1" t="s">
        <v>333</v>
      </c>
      <c r="GK11" s="1" t="s">
        <v>333</v>
      </c>
      <c r="GL11" s="1" t="s">
        <v>330</v>
      </c>
      <c r="GM11" s="1" t="s">
        <v>333</v>
      </c>
      <c r="GN11" s="1" t="s">
        <v>333</v>
      </c>
      <c r="GO11" s="1" t="s">
        <v>330</v>
      </c>
      <c r="GP11" s="1" t="s">
        <v>333</v>
      </c>
      <c r="GQ11" s="1" t="s">
        <v>333</v>
      </c>
      <c r="GR11" s="1" t="s">
        <v>330</v>
      </c>
      <c r="GS11" s="1" t="s">
        <v>333</v>
      </c>
      <c r="GT11" s="1" t="s">
        <v>333</v>
      </c>
      <c r="GU11" s="1" t="s">
        <v>333</v>
      </c>
      <c r="GV11" s="1" t="s">
        <v>331</v>
      </c>
      <c r="GW11" s="1" t="s">
        <v>333</v>
      </c>
      <c r="GX11" s="1" t="s">
        <v>331</v>
      </c>
      <c r="GY11" s="1" t="s">
        <v>333</v>
      </c>
      <c r="GZ11" s="1" t="s">
        <v>331</v>
      </c>
      <c r="HA11" s="1" t="s">
        <v>333</v>
      </c>
      <c r="HB11" s="1" t="s">
        <v>333</v>
      </c>
      <c r="HC11" s="1" t="s">
        <v>333</v>
      </c>
      <c r="HD11" s="1" t="s">
        <v>330</v>
      </c>
      <c r="HE11" s="1" t="s">
        <v>331</v>
      </c>
      <c r="HF11" s="1" t="s">
        <v>331</v>
      </c>
      <c r="HG11" s="1" t="s">
        <v>333</v>
      </c>
      <c r="HH11" s="1" t="s">
        <v>330</v>
      </c>
      <c r="HI11" s="1" t="s">
        <v>332</v>
      </c>
      <c r="HJ11" s="1" t="s">
        <v>333</v>
      </c>
      <c r="HK11" s="1" t="s">
        <v>331</v>
      </c>
      <c r="HL11" s="1" t="s">
        <v>332</v>
      </c>
      <c r="HM11" s="1" t="s">
        <v>332</v>
      </c>
      <c r="HN11" s="1" t="s">
        <v>331</v>
      </c>
      <c r="HO11" s="1" t="s">
        <v>333</v>
      </c>
      <c r="HP11" s="1" t="s">
        <v>333</v>
      </c>
      <c r="HQ11" s="1" t="s">
        <v>332</v>
      </c>
      <c r="HR11" s="1" t="s">
        <v>333</v>
      </c>
      <c r="HS11" s="1" t="s">
        <v>330</v>
      </c>
      <c r="HT11" s="1" t="s">
        <v>332</v>
      </c>
      <c r="HU11" s="1" t="s">
        <v>331</v>
      </c>
      <c r="HV11" s="1" t="s">
        <v>335</v>
      </c>
      <c r="HW11" s="1" t="s">
        <v>333</v>
      </c>
      <c r="HX11" s="1" t="s">
        <v>331</v>
      </c>
      <c r="HY11" s="1" t="s">
        <v>331</v>
      </c>
      <c r="HZ11" s="1" t="s">
        <v>333</v>
      </c>
      <c r="IA11" s="1" t="s">
        <v>333</v>
      </c>
      <c r="IB11" s="1" t="s">
        <v>331</v>
      </c>
      <c r="IC11" s="1" t="s">
        <v>333</v>
      </c>
      <c r="ID11" s="1" t="s">
        <v>331</v>
      </c>
      <c r="IE11" s="1" t="s">
        <v>333</v>
      </c>
      <c r="IF11" s="1" t="s">
        <v>331</v>
      </c>
      <c r="IG11" s="1" t="s">
        <v>333</v>
      </c>
      <c r="IH11" s="1" t="s">
        <v>330</v>
      </c>
      <c r="II11" s="1" t="s">
        <v>333</v>
      </c>
      <c r="IJ11" s="1" t="s">
        <v>331</v>
      </c>
      <c r="IK11" s="1" t="s">
        <v>331</v>
      </c>
      <c r="IL11" s="1" t="s">
        <v>331</v>
      </c>
      <c r="IM11" s="1" t="s">
        <v>333</v>
      </c>
      <c r="IN11" s="1" t="s">
        <v>330</v>
      </c>
      <c r="IO11" s="1" t="s">
        <v>331</v>
      </c>
      <c r="IP11" s="1" t="s">
        <v>330</v>
      </c>
      <c r="IQ11" s="1" t="s">
        <v>333</v>
      </c>
      <c r="IR11" s="1" t="s">
        <v>330</v>
      </c>
      <c r="IS11" s="1" t="s">
        <v>331</v>
      </c>
      <c r="IT11" s="1" t="s">
        <v>333</v>
      </c>
      <c r="IU11" s="1" t="s">
        <v>330</v>
      </c>
      <c r="IV11" s="1" t="s">
        <v>333</v>
      </c>
      <c r="IW11" s="1" t="s">
        <v>333</v>
      </c>
      <c r="IX11" s="1" t="s">
        <v>331</v>
      </c>
      <c r="IY11" s="1" t="s">
        <v>331</v>
      </c>
      <c r="IZ11" s="1" t="s">
        <v>330</v>
      </c>
      <c r="JA11" s="1" t="s">
        <v>330</v>
      </c>
      <c r="JB11" s="1" t="s">
        <v>330</v>
      </c>
      <c r="JC11" s="1" t="s">
        <v>330</v>
      </c>
      <c r="JD11" s="1" t="s">
        <v>333</v>
      </c>
      <c r="JE11" s="1" t="s">
        <v>333</v>
      </c>
      <c r="JF11" s="1" t="s">
        <v>333</v>
      </c>
      <c r="JG11" s="1" t="s">
        <v>331</v>
      </c>
      <c r="JH11" s="1" t="s">
        <v>333</v>
      </c>
      <c r="JI11" s="1" t="s">
        <v>330</v>
      </c>
      <c r="JJ11" s="1" t="s">
        <v>330</v>
      </c>
      <c r="JK11" s="1" t="s">
        <v>331</v>
      </c>
      <c r="JL11" s="1" t="s">
        <v>331</v>
      </c>
      <c r="JM11" s="1" t="s">
        <v>333</v>
      </c>
      <c r="JN11" s="1" t="s">
        <v>331</v>
      </c>
      <c r="JO11" s="1" t="s">
        <v>333</v>
      </c>
      <c r="JP11" s="1" t="s">
        <v>333</v>
      </c>
      <c r="JQ11" s="1" t="s">
        <v>333</v>
      </c>
      <c r="JR11" s="1" t="s">
        <v>331</v>
      </c>
      <c r="JS11" s="1" t="s">
        <v>330</v>
      </c>
      <c r="JT11" s="1" t="s">
        <v>331</v>
      </c>
    </row>
    <row r="12" spans="1:280" x14ac:dyDescent="0.35">
      <c r="A12" s="1" t="s">
        <v>1734</v>
      </c>
      <c r="D12" s="1" t="s">
        <v>1749</v>
      </c>
      <c r="E12" s="1">
        <v>5714</v>
      </c>
      <c r="G12" s="1" t="s">
        <v>1695</v>
      </c>
      <c r="H12" s="1" t="s">
        <v>312</v>
      </c>
      <c r="I12" s="1" t="s">
        <v>1706</v>
      </c>
      <c r="J12" s="1" t="s">
        <v>1727</v>
      </c>
      <c r="K12" s="1" t="s">
        <v>1736</v>
      </c>
      <c r="M12" s="1">
        <v>0</v>
      </c>
      <c r="N12" s="1">
        <v>0</v>
      </c>
      <c r="O12" s="1">
        <v>0</v>
      </c>
      <c r="P12" s="1">
        <v>1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1</v>
      </c>
      <c r="X12" s="1">
        <v>0</v>
      </c>
      <c r="Y12" s="1">
        <v>0</v>
      </c>
      <c r="Z12" s="1">
        <v>0</v>
      </c>
      <c r="AA12" s="1">
        <v>0</v>
      </c>
      <c r="AB12" s="1">
        <v>1</v>
      </c>
      <c r="AC12" s="1">
        <v>0</v>
      </c>
      <c r="AD12" s="1">
        <v>1</v>
      </c>
      <c r="AE12" s="1">
        <v>1</v>
      </c>
      <c r="AF12" s="1">
        <v>1</v>
      </c>
      <c r="AG12" s="1">
        <v>1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1</v>
      </c>
      <c r="AP12" s="1">
        <v>0</v>
      </c>
      <c r="AQ12" s="1">
        <v>1</v>
      </c>
      <c r="AR12" s="1">
        <v>0</v>
      </c>
      <c r="AS12" s="1">
        <v>0</v>
      </c>
      <c r="AT12" s="1">
        <v>0</v>
      </c>
      <c r="AU12" s="1">
        <v>0</v>
      </c>
      <c r="AV12" s="1">
        <v>1</v>
      </c>
      <c r="AW12" s="1">
        <v>0</v>
      </c>
      <c r="AX12" s="1">
        <v>1</v>
      </c>
      <c r="AY12" s="1">
        <v>1</v>
      </c>
      <c r="AZ12" s="1">
        <v>1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1</v>
      </c>
      <c r="BJ12" s="1">
        <v>0</v>
      </c>
      <c r="BK12" s="1">
        <v>0</v>
      </c>
      <c r="BL12" s="1">
        <v>0</v>
      </c>
      <c r="BM12" s="1">
        <v>0</v>
      </c>
      <c r="BN12" s="1">
        <v>1</v>
      </c>
      <c r="BO12" s="1">
        <v>1</v>
      </c>
      <c r="BP12" s="1">
        <v>0</v>
      </c>
      <c r="BQ12" s="1">
        <v>0</v>
      </c>
      <c r="BR12" s="1">
        <v>0</v>
      </c>
      <c r="BS12" s="1">
        <v>1</v>
      </c>
      <c r="BT12" s="1">
        <v>0</v>
      </c>
      <c r="BU12" s="1">
        <v>1</v>
      </c>
      <c r="BV12" s="1">
        <v>1</v>
      </c>
      <c r="BW12" s="1">
        <v>0</v>
      </c>
      <c r="BX12" s="1">
        <v>0</v>
      </c>
      <c r="BY12" s="1">
        <v>1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0</v>
      </c>
      <c r="CQ12" s="1">
        <v>0</v>
      </c>
      <c r="CR12" s="1">
        <v>0</v>
      </c>
      <c r="CS12" s="1">
        <v>1</v>
      </c>
      <c r="CT12" s="1">
        <v>1</v>
      </c>
      <c r="CU12" s="1">
        <v>0</v>
      </c>
      <c r="CV12" s="1">
        <v>0</v>
      </c>
      <c r="CW12" s="1">
        <v>1</v>
      </c>
      <c r="CX12" s="1">
        <v>1</v>
      </c>
      <c r="CY12" s="1">
        <v>1</v>
      </c>
      <c r="CZ12" s="1">
        <v>0</v>
      </c>
      <c r="DA12" s="1">
        <v>0</v>
      </c>
      <c r="DB12" s="1">
        <v>0</v>
      </c>
      <c r="DC12" s="1">
        <v>1</v>
      </c>
      <c r="DD12" s="1">
        <v>0</v>
      </c>
      <c r="DE12" s="1">
        <v>1</v>
      </c>
      <c r="DF12" s="1">
        <v>0</v>
      </c>
      <c r="DG12" s="1">
        <v>0</v>
      </c>
      <c r="DH12" s="1">
        <v>1</v>
      </c>
      <c r="DI12" s="1">
        <v>0</v>
      </c>
      <c r="DJ12" s="1">
        <v>0</v>
      </c>
      <c r="DK12" s="1">
        <v>0</v>
      </c>
      <c r="DL12" s="1">
        <v>1</v>
      </c>
      <c r="DM12" s="1">
        <v>1</v>
      </c>
      <c r="DN12" s="1">
        <v>0</v>
      </c>
      <c r="DO12" s="1">
        <v>0</v>
      </c>
      <c r="DP12" s="1">
        <v>0</v>
      </c>
      <c r="DQ12" s="1">
        <v>1</v>
      </c>
      <c r="DR12" s="1">
        <v>0</v>
      </c>
      <c r="DS12" s="1">
        <v>0</v>
      </c>
      <c r="DT12" s="1">
        <v>0</v>
      </c>
      <c r="DU12" s="1">
        <v>1</v>
      </c>
      <c r="DV12" s="1">
        <v>1</v>
      </c>
      <c r="DW12" s="1">
        <v>0</v>
      </c>
      <c r="DX12" s="1">
        <v>1</v>
      </c>
      <c r="DY12" s="1">
        <v>1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1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1</v>
      </c>
      <c r="EQ12" s="1" t="s">
        <v>332</v>
      </c>
      <c r="ER12" s="1" t="s">
        <v>333</v>
      </c>
      <c r="ES12" s="1" t="s">
        <v>331</v>
      </c>
      <c r="ET12" s="1" t="s">
        <v>331</v>
      </c>
      <c r="EU12" s="1" t="s">
        <v>330</v>
      </c>
      <c r="EV12" s="1" t="s">
        <v>331</v>
      </c>
      <c r="EW12" s="1" t="s">
        <v>331</v>
      </c>
      <c r="EX12" s="1" t="s">
        <v>333</v>
      </c>
      <c r="EY12" s="1" t="s">
        <v>330</v>
      </c>
      <c r="EZ12" s="1" t="s">
        <v>331</v>
      </c>
      <c r="FA12" s="1" t="s">
        <v>332</v>
      </c>
      <c r="FB12" s="1" t="s">
        <v>332</v>
      </c>
      <c r="FC12" s="1" t="s">
        <v>330</v>
      </c>
      <c r="FD12" s="1" t="s">
        <v>333</v>
      </c>
      <c r="FE12" s="1" t="s">
        <v>330</v>
      </c>
      <c r="FF12" s="1" t="s">
        <v>333</v>
      </c>
      <c r="FG12" s="1" t="s">
        <v>332</v>
      </c>
      <c r="FH12" s="1" t="s">
        <v>333</v>
      </c>
      <c r="FI12" s="1" t="s">
        <v>330</v>
      </c>
      <c r="FJ12" s="1" t="s">
        <v>330</v>
      </c>
      <c r="FK12" s="1" t="s">
        <v>331</v>
      </c>
      <c r="FL12" s="1" t="s">
        <v>330</v>
      </c>
      <c r="FM12" s="1" t="s">
        <v>332</v>
      </c>
      <c r="FN12" s="1" t="s">
        <v>331</v>
      </c>
      <c r="FO12" s="1" t="s">
        <v>330</v>
      </c>
      <c r="FP12" s="1" t="s">
        <v>333</v>
      </c>
      <c r="FQ12" s="1" t="s">
        <v>331</v>
      </c>
      <c r="FR12" s="1" t="s">
        <v>331</v>
      </c>
      <c r="FS12" s="1" t="s">
        <v>331</v>
      </c>
      <c r="FT12" s="1" t="s">
        <v>331</v>
      </c>
      <c r="FU12" s="1" t="s">
        <v>333</v>
      </c>
      <c r="FV12" s="1" t="s">
        <v>333</v>
      </c>
      <c r="FW12" s="1" t="s">
        <v>330</v>
      </c>
      <c r="FX12" s="1" t="s">
        <v>330</v>
      </c>
      <c r="FY12" s="1" t="s">
        <v>332</v>
      </c>
      <c r="FZ12" s="1" t="s">
        <v>331</v>
      </c>
      <c r="GA12" s="1" t="s">
        <v>332</v>
      </c>
      <c r="GB12" s="1" t="s">
        <v>331</v>
      </c>
      <c r="GC12" s="1" t="s">
        <v>331</v>
      </c>
      <c r="GD12" s="1" t="s">
        <v>332</v>
      </c>
      <c r="GE12" s="1" t="s">
        <v>330</v>
      </c>
      <c r="GF12" s="1" t="s">
        <v>333</v>
      </c>
      <c r="GG12" s="1" t="s">
        <v>331</v>
      </c>
      <c r="GH12" s="1" t="s">
        <v>333</v>
      </c>
      <c r="GI12" s="1" t="s">
        <v>330</v>
      </c>
      <c r="GJ12" s="1" t="s">
        <v>330</v>
      </c>
      <c r="GK12" s="1" t="s">
        <v>333</v>
      </c>
      <c r="GL12" s="1" t="s">
        <v>333</v>
      </c>
      <c r="GM12" s="1" t="s">
        <v>331</v>
      </c>
      <c r="GN12" s="1" t="s">
        <v>330</v>
      </c>
      <c r="GO12" s="1" t="s">
        <v>332</v>
      </c>
      <c r="GP12" s="1" t="s">
        <v>331</v>
      </c>
      <c r="GQ12" s="1" t="s">
        <v>333</v>
      </c>
      <c r="GR12" s="1" t="s">
        <v>333</v>
      </c>
      <c r="GS12" s="1" t="s">
        <v>333</v>
      </c>
      <c r="GT12" s="1" t="s">
        <v>332</v>
      </c>
      <c r="GU12" s="1" t="s">
        <v>330</v>
      </c>
      <c r="GV12" s="1" t="s">
        <v>332</v>
      </c>
      <c r="GW12" s="1" t="s">
        <v>331</v>
      </c>
      <c r="GX12" s="1" t="s">
        <v>333</v>
      </c>
      <c r="GY12" s="1" t="s">
        <v>330</v>
      </c>
      <c r="GZ12" s="1" t="s">
        <v>331</v>
      </c>
      <c r="HA12" s="1" t="s">
        <v>331</v>
      </c>
      <c r="HB12" s="1" t="s">
        <v>330</v>
      </c>
      <c r="HC12" s="1" t="s">
        <v>330</v>
      </c>
      <c r="HD12" s="1" t="s">
        <v>330</v>
      </c>
      <c r="HE12" s="1" t="s">
        <v>331</v>
      </c>
      <c r="HF12" s="1" t="s">
        <v>330</v>
      </c>
      <c r="HG12" s="1" t="s">
        <v>331</v>
      </c>
      <c r="HH12" s="1" t="s">
        <v>330</v>
      </c>
      <c r="HI12" s="1" t="s">
        <v>332</v>
      </c>
      <c r="HJ12" s="1" t="s">
        <v>332</v>
      </c>
      <c r="HK12" s="1" t="s">
        <v>330</v>
      </c>
      <c r="HL12" s="1" t="s">
        <v>332</v>
      </c>
      <c r="HM12" s="1" t="s">
        <v>333</v>
      </c>
      <c r="HN12" s="1" t="s">
        <v>330</v>
      </c>
      <c r="HO12" s="1" t="s">
        <v>331</v>
      </c>
      <c r="HP12" s="1" t="s">
        <v>331</v>
      </c>
      <c r="HQ12" s="1" t="s">
        <v>333</v>
      </c>
      <c r="HR12" s="1" t="s">
        <v>333</v>
      </c>
      <c r="HS12" s="1" t="s">
        <v>330</v>
      </c>
      <c r="HT12" s="1" t="s">
        <v>337</v>
      </c>
      <c r="HU12" s="1" t="s">
        <v>336</v>
      </c>
      <c r="HV12" s="1" t="s">
        <v>335</v>
      </c>
      <c r="HW12" s="1" t="s">
        <v>333</v>
      </c>
      <c r="HX12" s="1" t="s">
        <v>330</v>
      </c>
      <c r="HY12" s="1" t="s">
        <v>331</v>
      </c>
      <c r="HZ12" s="1" t="s">
        <v>333</v>
      </c>
      <c r="IA12" s="1" t="s">
        <v>333</v>
      </c>
      <c r="IB12" s="1" t="s">
        <v>331</v>
      </c>
      <c r="IC12" s="1" t="s">
        <v>333</v>
      </c>
      <c r="ID12" s="1" t="s">
        <v>331</v>
      </c>
      <c r="IE12" s="1" t="s">
        <v>333</v>
      </c>
      <c r="IF12" s="1" t="s">
        <v>331</v>
      </c>
      <c r="IG12" s="1" t="s">
        <v>330</v>
      </c>
      <c r="IH12" s="1" t="s">
        <v>333</v>
      </c>
      <c r="II12" s="1" t="s">
        <v>333</v>
      </c>
      <c r="IJ12" s="1" t="s">
        <v>330</v>
      </c>
      <c r="IK12" s="1" t="s">
        <v>333</v>
      </c>
      <c r="IL12" s="1" t="s">
        <v>331</v>
      </c>
      <c r="IM12" s="1" t="s">
        <v>331</v>
      </c>
      <c r="IN12" s="1" t="s">
        <v>330</v>
      </c>
      <c r="IO12" s="1" t="s">
        <v>330</v>
      </c>
      <c r="IP12" s="1" t="s">
        <v>330</v>
      </c>
      <c r="IQ12" s="1" t="s">
        <v>331</v>
      </c>
      <c r="IR12" s="1" t="s">
        <v>330</v>
      </c>
      <c r="IS12" s="1" t="s">
        <v>331</v>
      </c>
      <c r="IT12" s="1" t="s">
        <v>330</v>
      </c>
      <c r="IU12" s="1" t="s">
        <v>330</v>
      </c>
      <c r="IV12" s="1" t="s">
        <v>333</v>
      </c>
      <c r="IW12" s="1" t="s">
        <v>331</v>
      </c>
      <c r="IX12" s="1" t="s">
        <v>330</v>
      </c>
      <c r="IY12" s="1" t="s">
        <v>331</v>
      </c>
      <c r="IZ12" s="1" t="s">
        <v>330</v>
      </c>
      <c r="JA12" s="1" t="s">
        <v>330</v>
      </c>
      <c r="JB12" s="1" t="s">
        <v>330</v>
      </c>
      <c r="JC12" s="1" t="s">
        <v>333</v>
      </c>
      <c r="JD12" s="1" t="s">
        <v>333</v>
      </c>
      <c r="JE12" s="1" t="s">
        <v>331</v>
      </c>
      <c r="JF12" s="1" t="s">
        <v>332</v>
      </c>
      <c r="JG12" s="1" t="s">
        <v>331</v>
      </c>
      <c r="JH12" s="1" t="s">
        <v>330</v>
      </c>
      <c r="JI12" s="1" t="s">
        <v>331</v>
      </c>
      <c r="JJ12" s="1" t="s">
        <v>332</v>
      </c>
      <c r="JK12" s="1" t="s">
        <v>332</v>
      </c>
      <c r="JL12" s="1" t="s">
        <v>330</v>
      </c>
      <c r="JM12" s="1" t="s">
        <v>331</v>
      </c>
      <c r="JN12" s="1" t="s">
        <v>333</v>
      </c>
      <c r="JO12" s="1" t="s">
        <v>330</v>
      </c>
      <c r="JP12" s="1" t="s">
        <v>333</v>
      </c>
      <c r="JQ12" s="1" t="s">
        <v>331</v>
      </c>
      <c r="JR12" s="1" t="s">
        <v>333</v>
      </c>
      <c r="JS12" s="1" t="s">
        <v>332</v>
      </c>
      <c r="JT12" s="1" t="s">
        <v>332</v>
      </c>
    </row>
    <row r="13" spans="1:280" x14ac:dyDescent="0.35">
      <c r="A13" s="1" t="s">
        <v>1734</v>
      </c>
      <c r="D13" s="1" t="s">
        <v>1750</v>
      </c>
      <c r="E13" s="1">
        <v>5801</v>
      </c>
      <c r="G13" s="1" t="s">
        <v>1697</v>
      </c>
      <c r="H13" s="1" t="s">
        <v>312</v>
      </c>
      <c r="I13" s="1" t="s">
        <v>1708</v>
      </c>
      <c r="J13" s="1" t="s">
        <v>1731</v>
      </c>
      <c r="K13" s="1" t="s">
        <v>1736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1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</v>
      </c>
      <c r="Z13" s="1">
        <v>0</v>
      </c>
      <c r="AA13" s="1">
        <v>0</v>
      </c>
      <c r="AB13" s="1">
        <v>1</v>
      </c>
      <c r="AC13" s="1">
        <v>0</v>
      </c>
      <c r="AD13" s="1">
        <v>1</v>
      </c>
      <c r="AE13" s="1">
        <v>0</v>
      </c>
      <c r="AF13" s="1">
        <v>0</v>
      </c>
      <c r="AG13" s="1">
        <v>1</v>
      </c>
      <c r="AH13" s="1">
        <v>0</v>
      </c>
      <c r="AI13" s="1">
        <v>0</v>
      </c>
      <c r="AJ13" s="1">
        <v>0</v>
      </c>
      <c r="AK13" s="1">
        <v>1</v>
      </c>
      <c r="AL13" s="1">
        <v>0</v>
      </c>
      <c r="AM13" s="1">
        <v>1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1</v>
      </c>
      <c r="AU13" s="1">
        <v>1</v>
      </c>
      <c r="AV13" s="1">
        <v>0</v>
      </c>
      <c r="AW13" s="1">
        <v>0</v>
      </c>
      <c r="AX13" s="1">
        <v>1</v>
      </c>
      <c r="AY13" s="1">
        <v>0</v>
      </c>
      <c r="AZ13" s="1">
        <v>0</v>
      </c>
      <c r="BA13" s="1">
        <v>0</v>
      </c>
      <c r="BB13" s="1">
        <v>0</v>
      </c>
      <c r="BC13" s="1">
        <v>1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1</v>
      </c>
      <c r="BP13" s="1">
        <v>0</v>
      </c>
      <c r="BQ13" s="1">
        <v>1</v>
      </c>
      <c r="BR13" s="1">
        <v>0</v>
      </c>
      <c r="BS13" s="1">
        <v>0</v>
      </c>
      <c r="BT13" s="1">
        <v>1</v>
      </c>
      <c r="BU13" s="1">
        <v>0</v>
      </c>
      <c r="BV13" s="1">
        <v>0</v>
      </c>
      <c r="BW13" s="1">
        <v>0</v>
      </c>
      <c r="BX13" s="1">
        <v>1</v>
      </c>
      <c r="BY13" s="1">
        <v>1</v>
      </c>
      <c r="BZ13" s="1">
        <v>0</v>
      </c>
      <c r="CA13" s="1">
        <v>0</v>
      </c>
      <c r="CB13" s="1">
        <v>1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1</v>
      </c>
      <c r="CK13" s="1">
        <v>0</v>
      </c>
      <c r="CL13" s="1">
        <v>0</v>
      </c>
      <c r="CM13" s="1">
        <v>0</v>
      </c>
      <c r="CN13" s="1">
        <v>0</v>
      </c>
      <c r="CO13" s="1">
        <v>1</v>
      </c>
      <c r="CP13" s="1">
        <v>0</v>
      </c>
      <c r="CQ13" s="1">
        <v>0</v>
      </c>
      <c r="CR13" s="1">
        <v>0</v>
      </c>
      <c r="CS13" s="1">
        <v>0</v>
      </c>
      <c r="CT13" s="1">
        <v>1</v>
      </c>
      <c r="CU13" s="1">
        <v>0</v>
      </c>
      <c r="CV13" s="1">
        <v>0</v>
      </c>
      <c r="CW13" s="1">
        <v>1</v>
      </c>
      <c r="CX13" s="1">
        <v>0</v>
      </c>
      <c r="CY13" s="1">
        <v>0</v>
      </c>
      <c r="CZ13" s="1">
        <v>0</v>
      </c>
      <c r="DA13" s="1">
        <v>0</v>
      </c>
      <c r="DB13" s="1">
        <v>1</v>
      </c>
      <c r="DC13" s="1">
        <v>1</v>
      </c>
      <c r="DD13" s="1">
        <v>1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1</v>
      </c>
      <c r="DK13" s="1">
        <v>0</v>
      </c>
      <c r="DL13" s="1">
        <v>0</v>
      </c>
      <c r="DM13" s="1">
        <v>0</v>
      </c>
      <c r="DN13" s="1">
        <v>1</v>
      </c>
      <c r="DO13" s="1">
        <v>1</v>
      </c>
      <c r="DP13" s="1">
        <v>0</v>
      </c>
      <c r="DQ13" s="1">
        <v>0</v>
      </c>
      <c r="DR13" s="1">
        <v>1</v>
      </c>
      <c r="DS13" s="1">
        <v>0</v>
      </c>
      <c r="DT13" s="1">
        <v>0</v>
      </c>
      <c r="DU13" s="1">
        <v>1</v>
      </c>
      <c r="DV13" s="1">
        <v>1</v>
      </c>
      <c r="DW13" s="1">
        <v>0</v>
      </c>
      <c r="DX13" s="1">
        <v>1</v>
      </c>
      <c r="DY13" s="1">
        <v>1</v>
      </c>
      <c r="DZ13" s="1">
        <v>0</v>
      </c>
      <c r="EA13" s="1">
        <v>0</v>
      </c>
      <c r="EB13" s="1">
        <v>1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1</v>
      </c>
      <c r="EO13" s="1">
        <v>0</v>
      </c>
      <c r="EP13" s="1">
        <v>0</v>
      </c>
      <c r="EQ13" s="1" t="s">
        <v>333</v>
      </c>
      <c r="ER13" s="1" t="s">
        <v>332</v>
      </c>
      <c r="ES13" s="1" t="s">
        <v>330</v>
      </c>
      <c r="ET13" s="1" t="s">
        <v>332</v>
      </c>
      <c r="EU13" s="1" t="s">
        <v>331</v>
      </c>
      <c r="EV13" s="1" t="s">
        <v>330</v>
      </c>
      <c r="EW13" s="1" t="s">
        <v>333</v>
      </c>
      <c r="EX13" s="1" t="s">
        <v>332</v>
      </c>
      <c r="EY13" s="1" t="s">
        <v>332</v>
      </c>
      <c r="EZ13" s="1" t="s">
        <v>333</v>
      </c>
      <c r="FA13" s="1" t="s">
        <v>331</v>
      </c>
      <c r="FB13" s="1" t="s">
        <v>332</v>
      </c>
      <c r="FC13" s="1" t="s">
        <v>332</v>
      </c>
      <c r="FD13" s="1" t="s">
        <v>333</v>
      </c>
      <c r="FE13" s="1" t="s">
        <v>333</v>
      </c>
      <c r="FF13" s="1" t="s">
        <v>333</v>
      </c>
      <c r="FG13" s="1" t="s">
        <v>332</v>
      </c>
      <c r="FH13" s="1" t="s">
        <v>333</v>
      </c>
      <c r="FI13" s="1" t="s">
        <v>333</v>
      </c>
      <c r="FJ13" s="1" t="s">
        <v>333</v>
      </c>
      <c r="FK13" s="1" t="s">
        <v>331</v>
      </c>
      <c r="FL13" s="1" t="s">
        <v>332</v>
      </c>
      <c r="FM13" s="1" t="s">
        <v>330</v>
      </c>
      <c r="FN13" s="1" t="s">
        <v>331</v>
      </c>
      <c r="FO13" s="1" t="s">
        <v>331</v>
      </c>
      <c r="FP13" s="1" t="s">
        <v>331</v>
      </c>
      <c r="FQ13" s="1" t="s">
        <v>330</v>
      </c>
      <c r="FR13" s="1" t="s">
        <v>331</v>
      </c>
      <c r="FS13" s="1" t="s">
        <v>333</v>
      </c>
      <c r="FT13" s="1" t="s">
        <v>332</v>
      </c>
      <c r="FU13" s="1" t="s">
        <v>330</v>
      </c>
      <c r="FV13" s="1" t="s">
        <v>333</v>
      </c>
      <c r="FW13" s="1" t="s">
        <v>330</v>
      </c>
      <c r="FX13" s="1" t="s">
        <v>331</v>
      </c>
      <c r="FY13" s="1" t="s">
        <v>331</v>
      </c>
      <c r="FZ13" s="1" t="s">
        <v>332</v>
      </c>
      <c r="GA13" s="1" t="s">
        <v>332</v>
      </c>
      <c r="GB13" s="1" t="s">
        <v>331</v>
      </c>
      <c r="GC13" s="1" t="s">
        <v>330</v>
      </c>
      <c r="GD13" s="1" t="s">
        <v>333</v>
      </c>
      <c r="GE13" s="1" t="s">
        <v>330</v>
      </c>
      <c r="GF13" s="1" t="s">
        <v>332</v>
      </c>
      <c r="GG13" s="1" t="s">
        <v>330</v>
      </c>
      <c r="GH13" s="1" t="s">
        <v>333</v>
      </c>
      <c r="GI13" s="1" t="s">
        <v>333</v>
      </c>
      <c r="GJ13" s="1" t="s">
        <v>330</v>
      </c>
      <c r="GK13" s="1" t="s">
        <v>331</v>
      </c>
      <c r="GM13" s="1" t="s">
        <v>333</v>
      </c>
      <c r="GN13" s="1" t="s">
        <v>330</v>
      </c>
      <c r="GO13" s="1" t="s">
        <v>331</v>
      </c>
      <c r="GP13" s="1" t="s">
        <v>333</v>
      </c>
      <c r="GQ13" s="1" t="s">
        <v>330</v>
      </c>
      <c r="GR13" s="1" t="s">
        <v>331</v>
      </c>
      <c r="GS13" s="1" t="s">
        <v>333</v>
      </c>
      <c r="GT13" s="1" t="s">
        <v>330</v>
      </c>
      <c r="GU13" s="1" t="s">
        <v>333</v>
      </c>
      <c r="GV13" s="1" t="s">
        <v>332</v>
      </c>
      <c r="GW13" s="1" t="s">
        <v>332</v>
      </c>
      <c r="GX13" s="1" t="s">
        <v>331</v>
      </c>
      <c r="GY13" s="1" t="s">
        <v>331</v>
      </c>
      <c r="GZ13" s="1" t="s">
        <v>330</v>
      </c>
      <c r="HA13" s="1" t="s">
        <v>333</v>
      </c>
      <c r="HB13" s="1" t="s">
        <v>331</v>
      </c>
      <c r="HC13" s="1" t="s">
        <v>330</v>
      </c>
      <c r="HD13" s="1" t="s">
        <v>333</v>
      </c>
      <c r="HE13" s="1" t="s">
        <v>333</v>
      </c>
      <c r="HF13" s="1" t="s">
        <v>331</v>
      </c>
      <c r="HG13" s="1" t="s">
        <v>331</v>
      </c>
      <c r="HH13" s="1" t="s">
        <v>330</v>
      </c>
      <c r="HI13" s="1" t="s">
        <v>331</v>
      </c>
      <c r="HJ13" s="1" t="s">
        <v>332</v>
      </c>
      <c r="HK13" s="1" t="s">
        <v>331</v>
      </c>
      <c r="HL13" s="1" t="s">
        <v>333</v>
      </c>
      <c r="HM13" s="1" t="s">
        <v>332</v>
      </c>
      <c r="HN13" s="1" t="s">
        <v>330</v>
      </c>
      <c r="HO13" s="1" t="s">
        <v>330</v>
      </c>
      <c r="HP13" s="1" t="s">
        <v>333</v>
      </c>
      <c r="HQ13" s="1" t="s">
        <v>330</v>
      </c>
      <c r="HR13" s="1" t="s">
        <v>336</v>
      </c>
      <c r="HS13" s="1" t="s">
        <v>330</v>
      </c>
      <c r="HT13" s="1" t="s">
        <v>337</v>
      </c>
      <c r="HU13" s="1" t="s">
        <v>333</v>
      </c>
      <c r="HV13" s="1" t="s">
        <v>335</v>
      </c>
      <c r="HW13" s="1" t="s">
        <v>331</v>
      </c>
      <c r="HX13" s="1" t="s">
        <v>330</v>
      </c>
      <c r="HY13" s="1" t="s">
        <v>331</v>
      </c>
      <c r="HZ13" s="1" t="s">
        <v>333</v>
      </c>
      <c r="IA13" s="1" t="s">
        <v>333</v>
      </c>
      <c r="IB13" s="1" t="s">
        <v>330</v>
      </c>
      <c r="IC13" s="1" t="s">
        <v>331</v>
      </c>
      <c r="ID13" s="1" t="s">
        <v>331</v>
      </c>
      <c r="IE13" s="1" t="s">
        <v>333</v>
      </c>
      <c r="IF13" s="1" t="s">
        <v>333</v>
      </c>
      <c r="IG13" s="1" t="s">
        <v>330</v>
      </c>
      <c r="IH13" s="1" t="s">
        <v>330</v>
      </c>
      <c r="II13" s="1" t="s">
        <v>331</v>
      </c>
      <c r="IJ13" s="1" t="s">
        <v>330</v>
      </c>
      <c r="IK13" s="1" t="s">
        <v>333</v>
      </c>
      <c r="IL13" s="1" t="s">
        <v>333</v>
      </c>
      <c r="IM13" s="1" t="s">
        <v>330</v>
      </c>
      <c r="IN13" s="1" t="s">
        <v>331</v>
      </c>
      <c r="IO13" s="1" t="s">
        <v>330</v>
      </c>
      <c r="IP13" s="1" t="s">
        <v>333</v>
      </c>
      <c r="IQ13" s="1" t="s">
        <v>330</v>
      </c>
      <c r="IR13" s="1" t="s">
        <v>331</v>
      </c>
      <c r="IS13" s="1" t="s">
        <v>333</v>
      </c>
      <c r="IT13" s="1" t="s">
        <v>330</v>
      </c>
      <c r="IU13" s="1" t="s">
        <v>331</v>
      </c>
      <c r="IV13" s="1" t="s">
        <v>331</v>
      </c>
      <c r="IW13" s="1" t="s">
        <v>331</v>
      </c>
      <c r="IX13" s="1" t="s">
        <v>330</v>
      </c>
      <c r="IY13" s="1" t="s">
        <v>331</v>
      </c>
      <c r="IZ13" s="1" t="s">
        <v>330</v>
      </c>
      <c r="JA13" s="1" t="s">
        <v>330</v>
      </c>
      <c r="JB13" s="1" t="s">
        <v>330</v>
      </c>
      <c r="JC13" s="1" t="s">
        <v>333</v>
      </c>
      <c r="JD13" s="1" t="s">
        <v>333</v>
      </c>
      <c r="JE13" s="1" t="s">
        <v>331</v>
      </c>
      <c r="JF13" s="1" t="s">
        <v>333</v>
      </c>
      <c r="JG13" s="1" t="s">
        <v>330</v>
      </c>
      <c r="JH13" s="1" t="s">
        <v>333</v>
      </c>
      <c r="JI13" s="1" t="s">
        <v>330</v>
      </c>
      <c r="JJ13" s="1" t="s">
        <v>331</v>
      </c>
      <c r="JK13" s="1" t="s">
        <v>332</v>
      </c>
      <c r="JL13" s="1" t="s">
        <v>331</v>
      </c>
      <c r="JM13" s="1" t="s">
        <v>333</v>
      </c>
      <c r="JN13" s="1" t="s">
        <v>333</v>
      </c>
      <c r="JO13" s="1" t="s">
        <v>330</v>
      </c>
      <c r="JP13" s="1" t="s">
        <v>333</v>
      </c>
      <c r="JQ13" s="1" t="s">
        <v>331</v>
      </c>
      <c r="JR13" s="1" t="s">
        <v>330</v>
      </c>
      <c r="JS13" s="1" t="s">
        <v>330</v>
      </c>
      <c r="JT13" s="1" t="s">
        <v>333</v>
      </c>
    </row>
    <row r="14" spans="1:280" x14ac:dyDescent="0.35">
      <c r="A14" s="1" t="s">
        <v>1734</v>
      </c>
      <c r="D14" s="1" t="s">
        <v>1751</v>
      </c>
      <c r="E14" s="1">
        <v>5802</v>
      </c>
      <c r="G14" s="1" t="s">
        <v>1687</v>
      </c>
      <c r="H14" s="1" t="s">
        <v>312</v>
      </c>
      <c r="I14" s="1" t="s">
        <v>1688</v>
      </c>
      <c r="J14" s="1" t="s">
        <v>1731</v>
      </c>
      <c r="K14" s="1" t="s">
        <v>1736</v>
      </c>
      <c r="M14" s="1">
        <v>0</v>
      </c>
      <c r="N14" s="1">
        <v>0</v>
      </c>
      <c r="O14" s="1">
        <v>0</v>
      </c>
      <c r="P14" s="1">
        <v>1</v>
      </c>
      <c r="Q14" s="1">
        <v>0</v>
      </c>
      <c r="R14" s="1">
        <v>0</v>
      </c>
      <c r="S14" s="1">
        <v>0</v>
      </c>
      <c r="T14" s="1">
        <v>0</v>
      </c>
      <c r="U14" s="1">
        <v>1</v>
      </c>
      <c r="V14" s="1">
        <v>0</v>
      </c>
      <c r="W14" s="1">
        <v>1</v>
      </c>
      <c r="X14" s="1">
        <v>0</v>
      </c>
      <c r="Y14" s="1">
        <v>0</v>
      </c>
      <c r="Z14" s="1">
        <v>0</v>
      </c>
      <c r="AA14" s="1">
        <v>1</v>
      </c>
      <c r="AB14" s="1">
        <v>0</v>
      </c>
      <c r="AC14" s="1">
        <v>0</v>
      </c>
      <c r="AD14" s="1">
        <v>1</v>
      </c>
      <c r="AE14" s="1">
        <v>1</v>
      </c>
      <c r="AF14" s="1">
        <v>1</v>
      </c>
      <c r="AG14" s="1">
        <v>0</v>
      </c>
      <c r="AH14" s="1">
        <v>0</v>
      </c>
      <c r="AI14" s="1">
        <v>1</v>
      </c>
      <c r="AJ14" s="1">
        <v>0</v>
      </c>
      <c r="AK14" s="1">
        <v>0</v>
      </c>
      <c r="AL14" s="1">
        <v>1</v>
      </c>
      <c r="AM14" s="1">
        <v>1</v>
      </c>
      <c r="AN14" s="1">
        <v>0</v>
      </c>
      <c r="AO14" s="1">
        <v>1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1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1</v>
      </c>
      <c r="BC14" s="1">
        <v>0</v>
      </c>
      <c r="BD14" s="1">
        <v>1</v>
      </c>
      <c r="BE14" s="1">
        <v>0</v>
      </c>
      <c r="BF14" s="1">
        <v>0</v>
      </c>
      <c r="BG14" s="1">
        <v>0</v>
      </c>
      <c r="BH14" s="1">
        <v>1</v>
      </c>
      <c r="BI14" s="1">
        <v>0</v>
      </c>
      <c r="BJ14" s="1">
        <v>0</v>
      </c>
      <c r="BK14" s="1">
        <v>1</v>
      </c>
      <c r="BL14" s="1">
        <v>0</v>
      </c>
      <c r="BM14" s="1">
        <v>1</v>
      </c>
      <c r="BN14" s="1">
        <v>1</v>
      </c>
      <c r="BO14" s="1">
        <v>1</v>
      </c>
      <c r="BP14" s="1">
        <v>1</v>
      </c>
      <c r="BQ14" s="1">
        <v>0</v>
      </c>
      <c r="BR14" s="1">
        <v>1</v>
      </c>
      <c r="BS14" s="1">
        <v>0</v>
      </c>
      <c r="BT14" s="1">
        <v>0</v>
      </c>
      <c r="BU14" s="1">
        <v>0</v>
      </c>
      <c r="BV14" s="1">
        <v>1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1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1</v>
      </c>
      <c r="CM14" s="1">
        <v>0</v>
      </c>
      <c r="CN14" s="1">
        <v>0</v>
      </c>
      <c r="CO14" s="1">
        <v>1</v>
      </c>
      <c r="CP14" s="1">
        <v>1</v>
      </c>
      <c r="CQ14" s="1">
        <v>0</v>
      </c>
      <c r="CR14" s="1">
        <v>0</v>
      </c>
      <c r="CS14" s="1">
        <v>1</v>
      </c>
      <c r="CT14" s="1">
        <v>0</v>
      </c>
      <c r="CU14" s="1">
        <v>1</v>
      </c>
      <c r="CV14" s="1">
        <v>0</v>
      </c>
      <c r="CW14" s="1">
        <v>1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1</v>
      </c>
      <c r="DD14" s="1">
        <v>1</v>
      </c>
      <c r="DE14" s="1">
        <v>0</v>
      </c>
      <c r="DF14" s="1">
        <v>1</v>
      </c>
      <c r="DG14" s="1">
        <v>0</v>
      </c>
      <c r="DH14" s="1">
        <v>0</v>
      </c>
      <c r="DI14" s="1">
        <v>0</v>
      </c>
      <c r="DJ14" s="1">
        <v>0</v>
      </c>
      <c r="DK14" s="1">
        <v>1</v>
      </c>
      <c r="DL14" s="1">
        <v>1</v>
      </c>
      <c r="DM14" s="1">
        <v>0</v>
      </c>
      <c r="DN14" s="1">
        <v>1</v>
      </c>
      <c r="DO14" s="1">
        <v>0</v>
      </c>
      <c r="DP14" s="1">
        <v>0</v>
      </c>
      <c r="DQ14" s="1">
        <v>1</v>
      </c>
      <c r="DR14" s="1">
        <v>1</v>
      </c>
      <c r="DS14" s="1">
        <v>0</v>
      </c>
      <c r="DT14" s="1">
        <v>1</v>
      </c>
      <c r="DU14" s="1">
        <v>0</v>
      </c>
      <c r="DV14" s="1">
        <v>0</v>
      </c>
      <c r="DW14" s="1">
        <v>0</v>
      </c>
      <c r="DX14" s="1">
        <v>1</v>
      </c>
      <c r="DY14" s="1">
        <v>1</v>
      </c>
      <c r="DZ14" s="1">
        <v>0</v>
      </c>
      <c r="EA14" s="1">
        <v>0</v>
      </c>
      <c r="EB14" s="1">
        <v>0</v>
      </c>
      <c r="EC14" s="1">
        <v>0</v>
      </c>
      <c r="ED14" s="1">
        <v>1</v>
      </c>
      <c r="EE14" s="1">
        <v>0</v>
      </c>
      <c r="EF14" s="1">
        <v>0</v>
      </c>
      <c r="EG14" s="1">
        <v>0</v>
      </c>
      <c r="EH14" s="1">
        <v>1</v>
      </c>
      <c r="EI14" s="1">
        <v>0</v>
      </c>
      <c r="EJ14" s="1">
        <v>0</v>
      </c>
      <c r="EK14" s="1">
        <v>0</v>
      </c>
      <c r="EL14" s="1">
        <v>1</v>
      </c>
      <c r="EM14" s="1">
        <v>0</v>
      </c>
      <c r="EN14" s="1">
        <v>0</v>
      </c>
      <c r="EO14" s="1">
        <v>0</v>
      </c>
      <c r="EP14" s="1">
        <v>1</v>
      </c>
      <c r="EQ14" s="1" t="s">
        <v>332</v>
      </c>
      <c r="ER14" s="1" t="s">
        <v>332</v>
      </c>
      <c r="ES14" s="1" t="s">
        <v>330</v>
      </c>
      <c r="ET14" s="1" t="s">
        <v>331</v>
      </c>
      <c r="EU14" s="1" t="s">
        <v>331</v>
      </c>
      <c r="EV14" s="1" t="s">
        <v>332</v>
      </c>
      <c r="EW14" s="1" t="s">
        <v>330</v>
      </c>
      <c r="EX14" s="1" t="s">
        <v>330</v>
      </c>
      <c r="EY14" s="1" t="s">
        <v>331</v>
      </c>
      <c r="EZ14" s="1" t="s">
        <v>333</v>
      </c>
      <c r="FA14" s="1" t="s">
        <v>332</v>
      </c>
      <c r="FB14" s="1" t="s">
        <v>332</v>
      </c>
      <c r="FC14" s="1" t="s">
        <v>333</v>
      </c>
      <c r="FD14" s="1" t="s">
        <v>333</v>
      </c>
      <c r="FE14" s="1" t="s">
        <v>331</v>
      </c>
      <c r="FF14" s="1" t="s">
        <v>331</v>
      </c>
      <c r="FG14" s="1" t="s">
        <v>332</v>
      </c>
      <c r="FH14" s="1" t="s">
        <v>333</v>
      </c>
      <c r="FI14" s="1" t="s">
        <v>330</v>
      </c>
      <c r="FJ14" s="1" t="s">
        <v>330</v>
      </c>
      <c r="FK14" s="1" t="s">
        <v>330</v>
      </c>
      <c r="FL14" s="1" t="s">
        <v>331</v>
      </c>
      <c r="FM14" s="1" t="s">
        <v>333</v>
      </c>
      <c r="FN14" s="1" t="s">
        <v>333</v>
      </c>
      <c r="FO14" s="1" t="s">
        <v>333</v>
      </c>
      <c r="FP14" s="1" t="s">
        <v>330</v>
      </c>
      <c r="FQ14" s="1" t="s">
        <v>330</v>
      </c>
      <c r="FR14" s="1" t="s">
        <v>331</v>
      </c>
      <c r="FS14" s="1" t="s">
        <v>331</v>
      </c>
      <c r="FT14" s="1" t="s">
        <v>332</v>
      </c>
      <c r="FU14" s="1" t="s">
        <v>331</v>
      </c>
      <c r="FV14" s="1" t="s">
        <v>332</v>
      </c>
      <c r="FW14" s="1" t="s">
        <v>330</v>
      </c>
      <c r="FX14" s="1" t="s">
        <v>332</v>
      </c>
      <c r="FY14" s="1" t="s">
        <v>333</v>
      </c>
      <c r="FZ14" s="1" t="s">
        <v>331</v>
      </c>
      <c r="GA14" s="1" t="s">
        <v>330</v>
      </c>
      <c r="GB14" s="1" t="s">
        <v>332</v>
      </c>
      <c r="GC14" s="1" t="s">
        <v>330</v>
      </c>
      <c r="GD14" s="1" t="s">
        <v>330</v>
      </c>
      <c r="GE14" s="1" t="s">
        <v>330</v>
      </c>
      <c r="GF14" s="1" t="s">
        <v>331</v>
      </c>
      <c r="GG14" s="1" t="s">
        <v>333</v>
      </c>
      <c r="GH14" s="1" t="s">
        <v>330</v>
      </c>
      <c r="GI14" s="1" t="s">
        <v>332</v>
      </c>
      <c r="GJ14" s="1" t="s">
        <v>331</v>
      </c>
      <c r="GK14" s="1" t="s">
        <v>330</v>
      </c>
      <c r="GL14" s="1" t="s">
        <v>331</v>
      </c>
      <c r="GM14" s="1" t="s">
        <v>330</v>
      </c>
      <c r="GN14" s="1" t="s">
        <v>330</v>
      </c>
      <c r="GO14" s="1" t="s">
        <v>333</v>
      </c>
      <c r="GP14" s="1" t="s">
        <v>331</v>
      </c>
      <c r="GQ14" s="1" t="s">
        <v>331</v>
      </c>
      <c r="GR14" s="1" t="s">
        <v>333</v>
      </c>
      <c r="GS14" s="1" t="s">
        <v>333</v>
      </c>
      <c r="GT14" s="1" t="s">
        <v>331</v>
      </c>
      <c r="GU14" s="1" t="s">
        <v>331</v>
      </c>
      <c r="GV14" s="1" t="s">
        <v>333</v>
      </c>
      <c r="GW14" s="1" t="s">
        <v>333</v>
      </c>
      <c r="GX14" s="1" t="s">
        <v>330</v>
      </c>
      <c r="GY14" s="1" t="s">
        <v>333</v>
      </c>
      <c r="GZ14" s="1" t="s">
        <v>331</v>
      </c>
      <c r="HA14" s="1" t="s">
        <v>333</v>
      </c>
      <c r="HB14" s="1" t="s">
        <v>332</v>
      </c>
      <c r="HC14" s="1" t="s">
        <v>333</v>
      </c>
      <c r="HD14" s="1" t="s">
        <v>330</v>
      </c>
      <c r="HE14" s="1" t="s">
        <v>333</v>
      </c>
      <c r="HF14" s="1" t="s">
        <v>330</v>
      </c>
      <c r="HG14" s="1" t="s">
        <v>332</v>
      </c>
      <c r="HH14" s="1" t="s">
        <v>330</v>
      </c>
      <c r="HI14" s="1" t="s">
        <v>331</v>
      </c>
      <c r="HJ14" s="1" t="s">
        <v>333</v>
      </c>
      <c r="HK14" s="1" t="s">
        <v>330</v>
      </c>
      <c r="HL14" s="1" t="s">
        <v>333</v>
      </c>
      <c r="HM14" s="1" t="s">
        <v>331</v>
      </c>
      <c r="HN14" s="1" t="s">
        <v>333</v>
      </c>
      <c r="HO14" s="1" t="s">
        <v>330</v>
      </c>
      <c r="HP14" s="1" t="s">
        <v>331</v>
      </c>
      <c r="HQ14" s="1" t="s">
        <v>331</v>
      </c>
      <c r="HR14" s="1" t="s">
        <v>336</v>
      </c>
      <c r="HS14" s="1" t="s">
        <v>330</v>
      </c>
      <c r="HT14" s="1" t="s">
        <v>331</v>
      </c>
      <c r="HU14" s="1" t="s">
        <v>332</v>
      </c>
      <c r="HV14" s="1" t="s">
        <v>335</v>
      </c>
      <c r="HW14" s="1" t="s">
        <v>333</v>
      </c>
      <c r="HX14" s="1" t="s">
        <v>333</v>
      </c>
      <c r="HY14" s="1" t="s">
        <v>333</v>
      </c>
      <c r="HZ14" s="1" t="s">
        <v>333</v>
      </c>
      <c r="IA14" s="1" t="s">
        <v>333</v>
      </c>
      <c r="IB14" s="1" t="s">
        <v>330</v>
      </c>
      <c r="IC14" s="1" t="s">
        <v>330</v>
      </c>
      <c r="ID14" s="1" t="s">
        <v>333</v>
      </c>
      <c r="IE14" s="1" t="s">
        <v>333</v>
      </c>
      <c r="IF14" s="1" t="s">
        <v>330</v>
      </c>
      <c r="IG14" s="1" t="s">
        <v>330</v>
      </c>
      <c r="IH14" s="1" t="s">
        <v>330</v>
      </c>
      <c r="II14" s="1" t="s">
        <v>331</v>
      </c>
      <c r="IJ14" s="1" t="s">
        <v>331</v>
      </c>
      <c r="IK14" s="1" t="s">
        <v>333</v>
      </c>
      <c r="IL14" s="1" t="s">
        <v>333</v>
      </c>
      <c r="IM14" s="1" t="s">
        <v>331</v>
      </c>
      <c r="IN14" s="1" t="s">
        <v>330</v>
      </c>
      <c r="IO14" s="1" t="s">
        <v>333</v>
      </c>
      <c r="IP14" s="1" t="s">
        <v>330</v>
      </c>
      <c r="IQ14" s="1" t="s">
        <v>333</v>
      </c>
      <c r="IR14" s="1" t="s">
        <v>331</v>
      </c>
      <c r="IS14" s="1" t="s">
        <v>331</v>
      </c>
      <c r="IT14" s="1" t="s">
        <v>330</v>
      </c>
      <c r="IU14" s="1" t="s">
        <v>330</v>
      </c>
      <c r="IV14" s="1" t="s">
        <v>331</v>
      </c>
      <c r="IW14" s="1" t="s">
        <v>331</v>
      </c>
      <c r="IX14" s="1" t="s">
        <v>331</v>
      </c>
      <c r="IY14" s="1" t="s">
        <v>330</v>
      </c>
      <c r="IZ14" s="1" t="s">
        <v>331</v>
      </c>
      <c r="JA14" s="1" t="s">
        <v>330</v>
      </c>
      <c r="JB14" s="1" t="s">
        <v>330</v>
      </c>
      <c r="JC14" s="1" t="s">
        <v>333</v>
      </c>
      <c r="JD14" s="1" t="s">
        <v>333</v>
      </c>
      <c r="JE14" s="1" t="s">
        <v>331</v>
      </c>
      <c r="JG14" s="1" t="s">
        <v>333</v>
      </c>
      <c r="JH14" s="1" t="s">
        <v>331</v>
      </c>
      <c r="JI14" s="1" t="s">
        <v>333</v>
      </c>
      <c r="JJ14" s="1" t="s">
        <v>332</v>
      </c>
      <c r="JK14" s="1" t="s">
        <v>331</v>
      </c>
      <c r="JL14" s="1" t="s">
        <v>333</v>
      </c>
      <c r="JM14" s="1" t="s">
        <v>331</v>
      </c>
      <c r="JN14" s="1" t="s">
        <v>331</v>
      </c>
      <c r="JO14" s="1" t="s">
        <v>331</v>
      </c>
      <c r="JP14" s="1" t="s">
        <v>331</v>
      </c>
      <c r="JT14" s="1" t="s">
        <v>332</v>
      </c>
    </row>
    <row r="15" spans="1:280" x14ac:dyDescent="0.35">
      <c r="A15" s="1" t="s">
        <v>1734</v>
      </c>
      <c r="D15" s="1" t="s">
        <v>1752</v>
      </c>
      <c r="E15" s="1">
        <v>5803</v>
      </c>
      <c r="G15" s="1" t="s">
        <v>1689</v>
      </c>
      <c r="H15" s="1" t="s">
        <v>312</v>
      </c>
      <c r="I15" s="1" t="s">
        <v>1690</v>
      </c>
      <c r="J15" s="1" t="s">
        <v>1731</v>
      </c>
      <c r="K15" s="1" t="s">
        <v>1736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1</v>
      </c>
      <c r="AF15" s="1">
        <v>0</v>
      </c>
      <c r="AG15" s="1">
        <v>1</v>
      </c>
      <c r="AH15" s="1">
        <v>0</v>
      </c>
      <c r="AI15" s="1">
        <v>1</v>
      </c>
      <c r="AJ15" s="1">
        <v>0</v>
      </c>
      <c r="AK15" s="1">
        <v>0</v>
      </c>
      <c r="AL15" s="1">
        <v>0</v>
      </c>
      <c r="AM15" s="1">
        <v>1</v>
      </c>
      <c r="AN15" s="1">
        <v>1</v>
      </c>
      <c r="AO15" s="1">
        <v>1</v>
      </c>
      <c r="AP15" s="1">
        <v>0</v>
      </c>
      <c r="AQ15" s="1">
        <v>0</v>
      </c>
      <c r="AR15" s="1">
        <v>1</v>
      </c>
      <c r="AS15" s="1">
        <v>0</v>
      </c>
      <c r="AT15" s="1">
        <v>0</v>
      </c>
      <c r="AU15" s="1">
        <v>0</v>
      </c>
      <c r="AV15" s="1">
        <v>1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1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1</v>
      </c>
      <c r="BR15" s="1">
        <v>1</v>
      </c>
      <c r="BS15" s="1">
        <v>1</v>
      </c>
      <c r="BT15" s="1">
        <v>0</v>
      </c>
      <c r="BU15" s="1">
        <v>0</v>
      </c>
      <c r="BV15" s="1">
        <v>1</v>
      </c>
      <c r="BW15" s="1">
        <v>0</v>
      </c>
      <c r="BX15" s="1">
        <v>1</v>
      </c>
      <c r="BY15" s="1">
        <v>1</v>
      </c>
      <c r="BZ15" s="1">
        <v>0</v>
      </c>
      <c r="CA15" s="1">
        <v>0</v>
      </c>
      <c r="CB15" s="1">
        <v>0</v>
      </c>
      <c r="CC15" s="1">
        <v>1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1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1</v>
      </c>
      <c r="CT15" s="1">
        <v>0</v>
      </c>
      <c r="CU15" s="1">
        <v>0</v>
      </c>
      <c r="CV15" s="1">
        <v>0</v>
      </c>
      <c r="CW15" s="1">
        <v>1</v>
      </c>
      <c r="CX15" s="1">
        <v>1</v>
      </c>
      <c r="CY15" s="1">
        <v>0</v>
      </c>
      <c r="CZ15" s="1">
        <v>0</v>
      </c>
      <c r="DA15" s="1">
        <v>0</v>
      </c>
      <c r="DB15" s="1">
        <v>0</v>
      </c>
      <c r="DC15" s="1">
        <v>1</v>
      </c>
      <c r="DD15" s="1">
        <v>0</v>
      </c>
      <c r="DE15" s="1">
        <v>0</v>
      </c>
      <c r="DF15" s="1">
        <v>1</v>
      </c>
      <c r="DG15" s="1">
        <v>0</v>
      </c>
      <c r="DH15" s="1">
        <v>1</v>
      </c>
      <c r="DI15" s="1">
        <v>1</v>
      </c>
      <c r="DJ15" s="1">
        <v>0</v>
      </c>
      <c r="DK15" s="1">
        <v>1</v>
      </c>
      <c r="DL15" s="1">
        <v>0</v>
      </c>
      <c r="DM15" s="1">
        <v>1</v>
      </c>
      <c r="DN15" s="1">
        <v>0</v>
      </c>
      <c r="DO15" s="1">
        <v>1</v>
      </c>
      <c r="DP15" s="1">
        <v>0</v>
      </c>
      <c r="DQ15" s="1">
        <v>0</v>
      </c>
      <c r="DR15" s="1">
        <v>1</v>
      </c>
      <c r="DS15" s="1">
        <v>1</v>
      </c>
      <c r="DT15" s="1">
        <v>0</v>
      </c>
      <c r="DU15" s="1">
        <v>1</v>
      </c>
      <c r="DV15" s="1">
        <v>0</v>
      </c>
      <c r="DW15" s="1">
        <v>0</v>
      </c>
      <c r="DX15" s="1">
        <v>0</v>
      </c>
      <c r="DY15" s="1">
        <v>1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1</v>
      </c>
      <c r="EH15" s="1">
        <v>1</v>
      </c>
      <c r="EI15" s="1">
        <v>0</v>
      </c>
      <c r="EJ15" s="1">
        <v>0</v>
      </c>
      <c r="EK15" s="1">
        <v>1</v>
      </c>
      <c r="EL15" s="1">
        <v>1</v>
      </c>
      <c r="EM15" s="1">
        <v>0</v>
      </c>
      <c r="EN15" s="1">
        <v>1</v>
      </c>
      <c r="EO15" s="1">
        <v>1</v>
      </c>
      <c r="EP15" s="1">
        <v>0</v>
      </c>
      <c r="EQ15" s="1" t="s">
        <v>333</v>
      </c>
      <c r="ER15" s="1" t="s">
        <v>332</v>
      </c>
      <c r="ES15" s="1" t="s">
        <v>330</v>
      </c>
      <c r="ET15" s="1" t="s">
        <v>330</v>
      </c>
      <c r="EU15" s="1" t="s">
        <v>330</v>
      </c>
      <c r="EV15" s="1" t="s">
        <v>333</v>
      </c>
      <c r="EW15" s="1" t="s">
        <v>330</v>
      </c>
      <c r="EX15" s="1" t="s">
        <v>333</v>
      </c>
      <c r="EY15" s="1" t="s">
        <v>333</v>
      </c>
      <c r="EZ15" s="1" t="s">
        <v>333</v>
      </c>
      <c r="FA15" s="1" t="s">
        <v>331</v>
      </c>
      <c r="FB15" s="1" t="s">
        <v>331</v>
      </c>
      <c r="FC15" s="1" t="s">
        <v>330</v>
      </c>
      <c r="FD15" s="1" t="s">
        <v>331</v>
      </c>
      <c r="FE15" s="1" t="s">
        <v>332</v>
      </c>
      <c r="FF15" s="1" t="s">
        <v>330</v>
      </c>
      <c r="FG15" s="1" t="s">
        <v>332</v>
      </c>
      <c r="FH15" s="1" t="s">
        <v>330</v>
      </c>
      <c r="FI15" s="1" t="s">
        <v>330</v>
      </c>
      <c r="FJ15" s="1" t="s">
        <v>331</v>
      </c>
      <c r="FK15" s="1" t="s">
        <v>331</v>
      </c>
      <c r="FL15" s="1" t="s">
        <v>332</v>
      </c>
      <c r="FM15" s="1" t="s">
        <v>333</v>
      </c>
      <c r="FN15" s="1" t="s">
        <v>330</v>
      </c>
      <c r="FO15" s="1" t="s">
        <v>330</v>
      </c>
      <c r="FP15" s="1" t="s">
        <v>333</v>
      </c>
      <c r="FQ15" s="1" t="s">
        <v>330</v>
      </c>
      <c r="FR15" s="1" t="s">
        <v>333</v>
      </c>
      <c r="FS15" s="1" t="s">
        <v>331</v>
      </c>
      <c r="FT15" s="1" t="s">
        <v>332</v>
      </c>
      <c r="FU15" s="1" t="s">
        <v>331</v>
      </c>
      <c r="FV15" s="1" t="s">
        <v>331</v>
      </c>
      <c r="FW15" s="1" t="s">
        <v>333</v>
      </c>
      <c r="FX15" s="1" t="s">
        <v>332</v>
      </c>
      <c r="FY15" s="1" t="s">
        <v>333</v>
      </c>
      <c r="FZ15" s="1" t="s">
        <v>331</v>
      </c>
      <c r="GB15" s="1" t="s">
        <v>332</v>
      </c>
      <c r="GC15" s="1" t="s">
        <v>330</v>
      </c>
      <c r="GD15" s="1" t="s">
        <v>331</v>
      </c>
      <c r="GE15" s="1" t="s">
        <v>332</v>
      </c>
      <c r="GF15" s="1" t="s">
        <v>330</v>
      </c>
      <c r="GG15" s="1" t="s">
        <v>333</v>
      </c>
      <c r="GH15" s="1" t="s">
        <v>333</v>
      </c>
      <c r="GI15" s="1" t="s">
        <v>331</v>
      </c>
      <c r="GJ15" s="1" t="s">
        <v>330</v>
      </c>
      <c r="GK15" s="1" t="s">
        <v>331</v>
      </c>
      <c r="GL15" s="1" t="s">
        <v>333</v>
      </c>
      <c r="GM15" s="1" t="s">
        <v>330</v>
      </c>
      <c r="GN15" s="1" t="s">
        <v>330</v>
      </c>
      <c r="GO15" s="1" t="s">
        <v>330</v>
      </c>
      <c r="GP15" s="1" t="s">
        <v>333</v>
      </c>
      <c r="GQ15" s="1" t="s">
        <v>333</v>
      </c>
      <c r="GR15" s="1" t="s">
        <v>331</v>
      </c>
      <c r="GS15" s="1" t="s">
        <v>332</v>
      </c>
      <c r="GT15" s="1" t="s">
        <v>330</v>
      </c>
      <c r="GU15" s="1" t="s">
        <v>333</v>
      </c>
      <c r="GV15" s="1" t="s">
        <v>333</v>
      </c>
      <c r="GW15" s="1" t="s">
        <v>331</v>
      </c>
      <c r="GX15" s="1" t="s">
        <v>330</v>
      </c>
      <c r="GY15" s="1" t="s">
        <v>333</v>
      </c>
      <c r="GZ15" s="1" t="s">
        <v>331</v>
      </c>
      <c r="HA15" s="1" t="s">
        <v>333</v>
      </c>
      <c r="HB15" s="1" t="s">
        <v>331</v>
      </c>
      <c r="HC15" s="1" t="s">
        <v>330</v>
      </c>
      <c r="HD15" s="1" t="s">
        <v>330</v>
      </c>
      <c r="HE15" s="1" t="s">
        <v>331</v>
      </c>
      <c r="HF15" s="1" t="s">
        <v>333</v>
      </c>
      <c r="HG15" s="1" t="s">
        <v>333</v>
      </c>
      <c r="HH15" s="1" t="s">
        <v>330</v>
      </c>
      <c r="HI15" s="1" t="s">
        <v>333</v>
      </c>
      <c r="HJ15" s="1" t="s">
        <v>330</v>
      </c>
      <c r="HK15" s="1" t="s">
        <v>331</v>
      </c>
      <c r="HL15" s="1" t="s">
        <v>332</v>
      </c>
      <c r="HM15" s="1" t="s">
        <v>332</v>
      </c>
      <c r="HN15" s="1" t="s">
        <v>330</v>
      </c>
      <c r="HO15" s="1" t="s">
        <v>332</v>
      </c>
      <c r="HP15" s="1" t="s">
        <v>333</v>
      </c>
      <c r="HQ15" s="1" t="s">
        <v>330</v>
      </c>
      <c r="HR15" s="1" t="s">
        <v>332</v>
      </c>
      <c r="HS15" s="1" t="s">
        <v>333</v>
      </c>
      <c r="HT15" s="1" t="s">
        <v>332</v>
      </c>
      <c r="HU15" s="1" t="s">
        <v>331</v>
      </c>
      <c r="HV15" s="1" t="s">
        <v>330</v>
      </c>
      <c r="HW15" s="1" t="s">
        <v>333</v>
      </c>
      <c r="HX15" s="1" t="s">
        <v>331</v>
      </c>
      <c r="HY15" s="1" t="s">
        <v>331</v>
      </c>
      <c r="HZ15" s="1" t="s">
        <v>333</v>
      </c>
      <c r="IA15" s="1" t="s">
        <v>333</v>
      </c>
      <c r="IB15" s="1" t="s">
        <v>331</v>
      </c>
      <c r="IC15" s="1" t="s">
        <v>331</v>
      </c>
      <c r="ID15" s="1" t="s">
        <v>331</v>
      </c>
      <c r="IE15" s="1" t="s">
        <v>333</v>
      </c>
      <c r="IF15" s="1" t="s">
        <v>331</v>
      </c>
      <c r="IG15" s="1" t="s">
        <v>330</v>
      </c>
      <c r="IH15" s="1" t="s">
        <v>333</v>
      </c>
      <c r="II15" s="1" t="s">
        <v>330</v>
      </c>
      <c r="IJ15" s="1" t="s">
        <v>331</v>
      </c>
      <c r="IK15" s="1" t="s">
        <v>333</v>
      </c>
      <c r="IL15" s="1" t="s">
        <v>331</v>
      </c>
      <c r="IM15" s="1" t="s">
        <v>333</v>
      </c>
      <c r="IN15" s="1" t="s">
        <v>330</v>
      </c>
      <c r="IO15" s="1" t="s">
        <v>333</v>
      </c>
      <c r="IP15" s="1" t="s">
        <v>333</v>
      </c>
      <c r="IQ15" s="1" t="s">
        <v>331</v>
      </c>
      <c r="IR15" s="1" t="s">
        <v>330</v>
      </c>
      <c r="IS15" s="1" t="s">
        <v>333</v>
      </c>
      <c r="IT15" s="1" t="s">
        <v>330</v>
      </c>
      <c r="IU15" s="1" t="s">
        <v>331</v>
      </c>
      <c r="IV15" s="1" t="s">
        <v>331</v>
      </c>
      <c r="IW15" s="1" t="s">
        <v>333</v>
      </c>
      <c r="IX15" s="1" t="s">
        <v>333</v>
      </c>
      <c r="IY15" s="1" t="s">
        <v>331</v>
      </c>
      <c r="IZ15" s="1" t="s">
        <v>331</v>
      </c>
      <c r="JA15" s="1" t="s">
        <v>330</v>
      </c>
      <c r="JB15" s="1" t="s">
        <v>333</v>
      </c>
      <c r="JC15" s="1" t="s">
        <v>333</v>
      </c>
      <c r="JD15" s="1" t="s">
        <v>333</v>
      </c>
      <c r="JE15" s="1" t="s">
        <v>331</v>
      </c>
      <c r="JF15" s="1" t="s">
        <v>331</v>
      </c>
      <c r="JG15" s="1" t="s">
        <v>330</v>
      </c>
      <c r="JH15" s="1" t="s">
        <v>332</v>
      </c>
      <c r="JI15" s="1" t="s">
        <v>333</v>
      </c>
      <c r="JJ15" s="1" t="s">
        <v>331</v>
      </c>
      <c r="JK15" s="1" t="s">
        <v>333</v>
      </c>
      <c r="JL15" s="1" t="s">
        <v>333</v>
      </c>
      <c r="JM15" s="1" t="s">
        <v>332</v>
      </c>
      <c r="JN15" s="1" t="s">
        <v>330</v>
      </c>
      <c r="JO15" s="1" t="s">
        <v>333</v>
      </c>
      <c r="JP15" s="1" t="s">
        <v>331</v>
      </c>
      <c r="JQ15" s="1" t="s">
        <v>331</v>
      </c>
      <c r="JR15" s="1" t="s">
        <v>330</v>
      </c>
      <c r="JS15" s="1" t="s">
        <v>333</v>
      </c>
      <c r="JT15" s="1" t="s">
        <v>333</v>
      </c>
    </row>
    <row r="16" spans="1:280" x14ac:dyDescent="0.35">
      <c r="A16" s="1" t="s">
        <v>1734</v>
      </c>
      <c r="D16" s="1" t="s">
        <v>1753</v>
      </c>
      <c r="E16" s="1">
        <v>5804</v>
      </c>
      <c r="G16" s="1" t="s">
        <v>1698</v>
      </c>
      <c r="H16" s="1" t="s">
        <v>312</v>
      </c>
      <c r="I16" s="1" t="s">
        <v>1737</v>
      </c>
      <c r="J16" s="1" t="s">
        <v>1731</v>
      </c>
      <c r="K16" s="1" t="s">
        <v>1736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1</v>
      </c>
      <c r="X16" s="1">
        <v>0</v>
      </c>
      <c r="Y16" s="1">
        <v>0</v>
      </c>
      <c r="Z16" s="1">
        <v>0</v>
      </c>
      <c r="AA16" s="1">
        <v>1</v>
      </c>
      <c r="AB16" s="1">
        <v>1</v>
      </c>
      <c r="AC16" s="1">
        <v>0</v>
      </c>
      <c r="AD16" s="1">
        <v>1</v>
      </c>
      <c r="AE16" s="1">
        <v>1</v>
      </c>
      <c r="AF16" s="1">
        <v>1</v>
      </c>
      <c r="AG16" s="1">
        <v>1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1</v>
      </c>
      <c r="AO16" s="1">
        <v>1</v>
      </c>
      <c r="AP16" s="1">
        <v>0</v>
      </c>
      <c r="AQ16" s="1">
        <v>1</v>
      </c>
      <c r="AR16" s="1">
        <v>0</v>
      </c>
      <c r="AS16" s="1">
        <v>1</v>
      </c>
      <c r="AT16" s="1">
        <v>0</v>
      </c>
      <c r="AU16" s="1">
        <v>0</v>
      </c>
      <c r="AV16" s="1">
        <v>1</v>
      </c>
      <c r="AW16" s="1">
        <v>0</v>
      </c>
      <c r="AX16" s="1">
        <v>1</v>
      </c>
      <c r="AY16" s="1">
        <v>1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1</v>
      </c>
      <c r="BG16" s="1">
        <v>0</v>
      </c>
      <c r="BH16" s="1">
        <v>0</v>
      </c>
      <c r="BI16" s="1">
        <v>0</v>
      </c>
      <c r="BJ16" s="1">
        <v>0</v>
      </c>
      <c r="BK16" s="1">
        <v>1</v>
      </c>
      <c r="BL16" s="1">
        <v>1</v>
      </c>
      <c r="BM16" s="1">
        <v>0</v>
      </c>
      <c r="BN16" s="1">
        <v>0</v>
      </c>
      <c r="BO16" s="1">
        <v>1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1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1</v>
      </c>
      <c r="CK16" s="1">
        <v>0</v>
      </c>
      <c r="CL16" s="1">
        <v>1</v>
      </c>
      <c r="CM16" s="1">
        <v>0</v>
      </c>
      <c r="CN16" s="1">
        <v>0</v>
      </c>
      <c r="CO16" s="1">
        <v>0</v>
      </c>
      <c r="CP16" s="1">
        <v>1</v>
      </c>
      <c r="CQ16" s="1">
        <v>0</v>
      </c>
      <c r="CR16" s="1">
        <v>0</v>
      </c>
      <c r="CS16" s="1">
        <v>1</v>
      </c>
      <c r="CT16" s="1">
        <v>0</v>
      </c>
      <c r="CU16" s="1">
        <v>0</v>
      </c>
      <c r="CV16" s="1">
        <v>0</v>
      </c>
      <c r="CW16" s="1">
        <v>1</v>
      </c>
      <c r="CX16" s="1">
        <v>0</v>
      </c>
      <c r="CY16" s="1">
        <v>0</v>
      </c>
      <c r="CZ16" s="1">
        <v>1</v>
      </c>
      <c r="DA16" s="1">
        <v>0</v>
      </c>
      <c r="DB16" s="1">
        <v>0</v>
      </c>
      <c r="DC16" s="1">
        <v>0</v>
      </c>
      <c r="DD16" s="1">
        <v>0</v>
      </c>
      <c r="DE16" s="1">
        <v>1</v>
      </c>
      <c r="DF16" s="1">
        <v>1</v>
      </c>
      <c r="DG16" s="1">
        <v>0</v>
      </c>
      <c r="DH16" s="1">
        <v>0</v>
      </c>
      <c r="DI16" s="1">
        <v>0</v>
      </c>
      <c r="DJ16" s="1">
        <v>0</v>
      </c>
      <c r="DK16" s="1">
        <v>1</v>
      </c>
      <c r="DL16" s="1">
        <v>0</v>
      </c>
      <c r="DM16" s="1">
        <v>0</v>
      </c>
      <c r="DN16" s="1">
        <v>1</v>
      </c>
      <c r="DO16" s="1">
        <v>1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1</v>
      </c>
      <c r="EH16" s="1">
        <v>0</v>
      </c>
      <c r="EI16" s="1">
        <v>0</v>
      </c>
      <c r="EJ16" s="1">
        <v>0</v>
      </c>
      <c r="EK16" s="1">
        <v>1</v>
      </c>
      <c r="EL16" s="1">
        <v>0</v>
      </c>
      <c r="EM16" s="1">
        <v>0</v>
      </c>
      <c r="EN16" s="1">
        <v>0</v>
      </c>
      <c r="EO16" s="1">
        <v>1</v>
      </c>
      <c r="EP16" s="1">
        <v>0</v>
      </c>
      <c r="EQ16" s="1" t="s">
        <v>331</v>
      </c>
      <c r="ER16" s="1" t="s">
        <v>332</v>
      </c>
      <c r="ES16" s="1" t="s">
        <v>332</v>
      </c>
      <c r="ET16" s="1" t="s">
        <v>333</v>
      </c>
      <c r="EU16" s="1" t="s">
        <v>331</v>
      </c>
      <c r="EV16" s="1" t="s">
        <v>332</v>
      </c>
      <c r="EW16" s="1" t="s">
        <v>330</v>
      </c>
      <c r="EX16" s="1" t="s">
        <v>333</v>
      </c>
      <c r="EY16" s="1" t="s">
        <v>333</v>
      </c>
      <c r="EZ16" s="1" t="s">
        <v>333</v>
      </c>
      <c r="FA16" s="1" t="s">
        <v>332</v>
      </c>
      <c r="FB16" s="1" t="s">
        <v>332</v>
      </c>
      <c r="FC16" s="1" t="s">
        <v>333</v>
      </c>
      <c r="FD16" s="1" t="s">
        <v>333</v>
      </c>
      <c r="FE16" s="1" t="s">
        <v>331</v>
      </c>
      <c r="FF16" s="1" t="s">
        <v>333</v>
      </c>
      <c r="FG16" s="1" t="s">
        <v>333</v>
      </c>
      <c r="FH16" s="1" t="s">
        <v>333</v>
      </c>
      <c r="FI16" s="1" t="s">
        <v>330</v>
      </c>
      <c r="FJ16" s="1" t="s">
        <v>330</v>
      </c>
      <c r="FK16" s="1" t="s">
        <v>331</v>
      </c>
      <c r="FL16" s="1" t="s">
        <v>331</v>
      </c>
      <c r="FM16" s="1" t="s">
        <v>331</v>
      </c>
      <c r="FN16" s="1" t="s">
        <v>330</v>
      </c>
      <c r="FO16" s="1" t="s">
        <v>333</v>
      </c>
      <c r="FP16" s="1" t="s">
        <v>331</v>
      </c>
      <c r="FQ16" s="1" t="s">
        <v>331</v>
      </c>
      <c r="FR16" s="1" t="s">
        <v>333</v>
      </c>
      <c r="FS16" s="1" t="s">
        <v>331</v>
      </c>
      <c r="FT16" s="1" t="s">
        <v>330</v>
      </c>
      <c r="FU16" s="1" t="s">
        <v>333</v>
      </c>
      <c r="FV16" s="1" t="s">
        <v>332</v>
      </c>
      <c r="FW16" s="1" t="s">
        <v>331</v>
      </c>
      <c r="FX16" s="1" t="s">
        <v>333</v>
      </c>
      <c r="FY16" s="1" t="s">
        <v>333</v>
      </c>
      <c r="FZ16" s="1" t="s">
        <v>331</v>
      </c>
      <c r="GA16" s="1" t="s">
        <v>332</v>
      </c>
      <c r="GB16" s="1" t="s">
        <v>331</v>
      </c>
      <c r="GC16" s="1" t="s">
        <v>331</v>
      </c>
      <c r="GD16" s="1" t="s">
        <v>330</v>
      </c>
      <c r="GE16" s="1" t="s">
        <v>331</v>
      </c>
      <c r="GF16" s="1" t="s">
        <v>333</v>
      </c>
      <c r="GG16" s="1" t="s">
        <v>332</v>
      </c>
      <c r="GH16" s="1" t="s">
        <v>333</v>
      </c>
      <c r="GI16" s="1" t="s">
        <v>330</v>
      </c>
      <c r="GJ16" s="1" t="s">
        <v>333</v>
      </c>
      <c r="GK16" s="1" t="s">
        <v>331</v>
      </c>
      <c r="GL16" s="1" t="s">
        <v>330</v>
      </c>
      <c r="GM16" s="1" t="s">
        <v>330</v>
      </c>
      <c r="GN16" s="1" t="s">
        <v>332</v>
      </c>
      <c r="GO16" s="1" t="s">
        <v>333</v>
      </c>
      <c r="GP16" s="1" t="s">
        <v>332</v>
      </c>
      <c r="GQ16" s="1" t="s">
        <v>330</v>
      </c>
      <c r="GR16" s="1" t="s">
        <v>331</v>
      </c>
      <c r="GS16" s="1" t="s">
        <v>333</v>
      </c>
      <c r="GT16" s="1" t="s">
        <v>333</v>
      </c>
      <c r="GU16" s="1" t="s">
        <v>331</v>
      </c>
      <c r="GV16" s="1" t="s">
        <v>330</v>
      </c>
      <c r="GW16" s="1" t="s">
        <v>333</v>
      </c>
      <c r="GX16" s="1" t="s">
        <v>333</v>
      </c>
      <c r="GY16" s="1" t="s">
        <v>333</v>
      </c>
      <c r="GZ16" s="1" t="s">
        <v>333</v>
      </c>
      <c r="HA16" s="1" t="s">
        <v>331</v>
      </c>
      <c r="HB16" s="1" t="s">
        <v>330</v>
      </c>
      <c r="HC16" s="1" t="s">
        <v>333</v>
      </c>
      <c r="HD16" s="1" t="s">
        <v>333</v>
      </c>
      <c r="HE16" s="1" t="s">
        <v>331</v>
      </c>
      <c r="HF16" s="1" t="s">
        <v>330</v>
      </c>
      <c r="HG16" s="1" t="s">
        <v>332</v>
      </c>
      <c r="HH16" s="1" t="s">
        <v>333</v>
      </c>
      <c r="HI16" s="1" t="s">
        <v>331</v>
      </c>
      <c r="HJ16" s="1" t="s">
        <v>331</v>
      </c>
      <c r="HK16" s="1" t="s">
        <v>330</v>
      </c>
      <c r="HL16" s="1" t="s">
        <v>333</v>
      </c>
      <c r="HM16" s="1" t="s">
        <v>331</v>
      </c>
      <c r="HN16" s="1" t="s">
        <v>330</v>
      </c>
      <c r="HO16" s="1" t="s">
        <v>332</v>
      </c>
      <c r="HP16" s="1" t="s">
        <v>331</v>
      </c>
      <c r="HQ16" s="1" t="s">
        <v>332</v>
      </c>
      <c r="HR16" s="1" t="s">
        <v>335</v>
      </c>
      <c r="HS16" s="1" t="s">
        <v>1738</v>
      </c>
      <c r="HT16" s="1" t="s">
        <v>331</v>
      </c>
      <c r="HU16" s="1" t="s">
        <v>334</v>
      </c>
      <c r="HV16" s="1" t="s">
        <v>330</v>
      </c>
      <c r="HW16" s="1" t="s">
        <v>333</v>
      </c>
      <c r="HX16" s="1" t="s">
        <v>331</v>
      </c>
      <c r="HY16" s="1" t="s">
        <v>330</v>
      </c>
      <c r="HZ16" s="1" t="s">
        <v>333</v>
      </c>
      <c r="IA16" s="1" t="s">
        <v>333</v>
      </c>
      <c r="IB16" s="1" t="s">
        <v>330</v>
      </c>
      <c r="IC16" s="1" t="s">
        <v>331</v>
      </c>
      <c r="ID16" s="1" t="s">
        <v>330</v>
      </c>
      <c r="IE16" s="1" t="s">
        <v>333</v>
      </c>
      <c r="IF16" s="1" t="s">
        <v>330</v>
      </c>
      <c r="IG16" s="1" t="s">
        <v>333</v>
      </c>
      <c r="IH16" s="1" t="s">
        <v>333</v>
      </c>
      <c r="II16" s="1" t="s">
        <v>333</v>
      </c>
      <c r="IJ16" s="1" t="s">
        <v>331</v>
      </c>
      <c r="IK16" s="1" t="s">
        <v>330</v>
      </c>
      <c r="IL16" s="1" t="s">
        <v>333</v>
      </c>
      <c r="IM16" s="1" t="s">
        <v>330</v>
      </c>
      <c r="IN16" s="1" t="s">
        <v>333</v>
      </c>
      <c r="IO16" s="1" t="s">
        <v>333</v>
      </c>
      <c r="IP16" s="1" t="s">
        <v>331</v>
      </c>
      <c r="IQ16" s="1" t="s">
        <v>330</v>
      </c>
      <c r="IR16" s="1" t="s">
        <v>331</v>
      </c>
      <c r="IS16" s="1" t="s">
        <v>333</v>
      </c>
      <c r="IT16" s="1" t="s">
        <v>330</v>
      </c>
      <c r="IU16" s="1" t="s">
        <v>333</v>
      </c>
      <c r="IV16" s="1" t="s">
        <v>330</v>
      </c>
      <c r="IW16" s="1" t="s">
        <v>331</v>
      </c>
      <c r="IX16" s="1" t="s">
        <v>330</v>
      </c>
      <c r="IY16" s="1" t="s">
        <v>333</v>
      </c>
      <c r="IZ16" s="1" t="s">
        <v>331</v>
      </c>
      <c r="JA16" s="1" t="s">
        <v>333</v>
      </c>
      <c r="JB16" s="1" t="s">
        <v>331</v>
      </c>
      <c r="JC16" s="1" t="s">
        <v>330</v>
      </c>
      <c r="JD16" s="1" t="s">
        <v>333</v>
      </c>
      <c r="JE16" s="1" t="s">
        <v>330</v>
      </c>
      <c r="JF16" s="1" t="s">
        <v>330</v>
      </c>
      <c r="JG16" s="1" t="s">
        <v>333</v>
      </c>
      <c r="JH16" s="1" t="s">
        <v>330</v>
      </c>
      <c r="JI16" s="1" t="s">
        <v>333</v>
      </c>
      <c r="JJ16" s="1" t="s">
        <v>331</v>
      </c>
      <c r="JK16" s="1" t="s">
        <v>333</v>
      </c>
      <c r="JL16" s="1" t="s">
        <v>332</v>
      </c>
      <c r="JM16" s="1" t="s">
        <v>331</v>
      </c>
      <c r="JN16" s="1" t="s">
        <v>330</v>
      </c>
      <c r="JO16" s="1" t="s">
        <v>333</v>
      </c>
      <c r="JP16" s="1" t="s">
        <v>333</v>
      </c>
      <c r="JQ16" s="1" t="s">
        <v>330</v>
      </c>
      <c r="JR16" s="1" t="s">
        <v>331</v>
      </c>
      <c r="JS16" s="1" t="s">
        <v>333</v>
      </c>
      <c r="JT16" s="1" t="s">
        <v>333</v>
      </c>
    </row>
    <row r="17" spans="1:280" x14ac:dyDescent="0.35">
      <c r="A17" s="1" t="s">
        <v>1734</v>
      </c>
      <c r="D17" s="1" t="s">
        <v>1754</v>
      </c>
      <c r="E17" s="1">
        <v>5805</v>
      </c>
      <c r="G17" s="1" t="s">
        <v>327</v>
      </c>
      <c r="H17" s="1" t="s">
        <v>312</v>
      </c>
      <c r="I17" s="1" t="s">
        <v>329</v>
      </c>
      <c r="J17" s="1" t="s">
        <v>1731</v>
      </c>
      <c r="K17" s="1" t="s">
        <v>1736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1</v>
      </c>
      <c r="U17" s="1">
        <v>1</v>
      </c>
      <c r="V17" s="1">
        <v>0</v>
      </c>
      <c r="W17" s="1">
        <v>0</v>
      </c>
      <c r="X17" s="1">
        <v>0</v>
      </c>
      <c r="Y17" s="1">
        <v>1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1</v>
      </c>
      <c r="AF17" s="1">
        <v>0</v>
      </c>
      <c r="AG17" s="1">
        <v>1</v>
      </c>
      <c r="AH17" s="1">
        <v>0</v>
      </c>
      <c r="AI17" s="1">
        <v>1</v>
      </c>
      <c r="AJ17" s="1">
        <v>0</v>
      </c>
      <c r="AK17" s="1">
        <v>1</v>
      </c>
      <c r="AL17" s="1">
        <v>1</v>
      </c>
      <c r="AM17" s="1">
        <v>1</v>
      </c>
      <c r="AN17" s="1">
        <v>0</v>
      </c>
      <c r="AO17" s="1">
        <v>1</v>
      </c>
      <c r="AP17" s="1">
        <v>0</v>
      </c>
      <c r="AQ17" s="1">
        <v>0</v>
      </c>
      <c r="AR17" s="1">
        <v>0</v>
      </c>
      <c r="AS17" s="1">
        <v>1</v>
      </c>
      <c r="AT17" s="1">
        <v>0</v>
      </c>
      <c r="AU17" s="1">
        <v>0</v>
      </c>
      <c r="AV17" s="1">
        <v>0</v>
      </c>
      <c r="AW17" s="1">
        <v>0</v>
      </c>
      <c r="AX17" s="1">
        <v>1</v>
      </c>
      <c r="AY17" s="1">
        <v>0</v>
      </c>
      <c r="AZ17" s="1">
        <v>1</v>
      </c>
      <c r="BA17" s="1">
        <v>0</v>
      </c>
      <c r="BB17" s="1">
        <v>0</v>
      </c>
      <c r="BC17" s="1">
        <v>0</v>
      </c>
      <c r="BD17" s="1">
        <v>1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1</v>
      </c>
      <c r="BN17" s="1">
        <v>0</v>
      </c>
      <c r="BO17" s="1">
        <v>1</v>
      </c>
      <c r="BP17" s="1">
        <v>0</v>
      </c>
      <c r="BQ17" s="1">
        <v>1</v>
      </c>
      <c r="BR17" s="1">
        <v>1</v>
      </c>
      <c r="BS17" s="1">
        <v>0</v>
      </c>
      <c r="BT17" s="1">
        <v>1</v>
      </c>
      <c r="BU17" s="1">
        <v>1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1</v>
      </c>
      <c r="CD17" s="1">
        <v>1</v>
      </c>
      <c r="CE17" s="1">
        <v>0</v>
      </c>
      <c r="CF17" s="1">
        <v>0</v>
      </c>
      <c r="CG17" s="1">
        <v>0</v>
      </c>
      <c r="CH17" s="1">
        <v>1</v>
      </c>
      <c r="CI17" s="1">
        <v>0</v>
      </c>
      <c r="CJ17" s="1">
        <v>1</v>
      </c>
      <c r="CK17" s="1">
        <v>0</v>
      </c>
      <c r="CL17" s="1">
        <v>0</v>
      </c>
      <c r="CM17" s="1">
        <v>1</v>
      </c>
      <c r="CN17" s="1">
        <v>1</v>
      </c>
      <c r="CO17" s="1">
        <v>1</v>
      </c>
      <c r="CP17" s="1">
        <v>1</v>
      </c>
      <c r="CQ17" s="1">
        <v>0</v>
      </c>
      <c r="CR17" s="1">
        <v>0</v>
      </c>
      <c r="CS17" s="1">
        <v>1</v>
      </c>
      <c r="CT17" s="1">
        <v>0</v>
      </c>
      <c r="CU17" s="1">
        <v>0</v>
      </c>
      <c r="CV17" s="1">
        <v>0</v>
      </c>
      <c r="CW17" s="1">
        <v>1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1</v>
      </c>
      <c r="DE17" s="1">
        <v>0</v>
      </c>
      <c r="DF17" s="1">
        <v>1</v>
      </c>
      <c r="DG17" s="1">
        <v>0</v>
      </c>
      <c r="DH17" s="1">
        <v>1</v>
      </c>
      <c r="DI17" s="1">
        <v>0</v>
      </c>
      <c r="DJ17" s="1">
        <v>0</v>
      </c>
      <c r="DK17" s="1">
        <v>0</v>
      </c>
      <c r="DL17" s="1">
        <v>1</v>
      </c>
      <c r="DM17" s="1">
        <v>1</v>
      </c>
      <c r="DN17" s="1">
        <v>1</v>
      </c>
      <c r="DO17" s="1">
        <v>0</v>
      </c>
      <c r="DP17" s="1">
        <v>1</v>
      </c>
      <c r="DQ17" s="1">
        <v>1</v>
      </c>
      <c r="DR17" s="1">
        <v>1</v>
      </c>
      <c r="DS17" s="1">
        <v>0</v>
      </c>
      <c r="DT17" s="1">
        <v>0</v>
      </c>
      <c r="DU17" s="1">
        <v>1</v>
      </c>
      <c r="DV17" s="1">
        <v>1</v>
      </c>
      <c r="DW17" s="1">
        <v>0</v>
      </c>
      <c r="DX17" s="1">
        <v>1</v>
      </c>
      <c r="DY17" s="1">
        <v>1</v>
      </c>
      <c r="DZ17" s="1">
        <v>0</v>
      </c>
      <c r="EA17" s="1">
        <v>0</v>
      </c>
      <c r="EB17" s="1">
        <v>0</v>
      </c>
      <c r="EC17" s="1">
        <v>0</v>
      </c>
      <c r="ED17" s="1">
        <v>1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1</v>
      </c>
      <c r="EL17" s="1">
        <v>0</v>
      </c>
      <c r="EM17" s="1">
        <v>0</v>
      </c>
      <c r="EN17" s="1">
        <v>0</v>
      </c>
      <c r="EO17" s="1">
        <v>1</v>
      </c>
      <c r="EP17" s="1">
        <v>0</v>
      </c>
      <c r="EQ17" s="1" t="s">
        <v>333</v>
      </c>
      <c r="ER17" s="1" t="s">
        <v>330</v>
      </c>
      <c r="ES17" s="1" t="s">
        <v>330</v>
      </c>
      <c r="ET17" s="1" t="s">
        <v>332</v>
      </c>
      <c r="EU17" s="1" t="s">
        <v>331</v>
      </c>
      <c r="EV17" s="1" t="s">
        <v>333</v>
      </c>
      <c r="EW17" s="1" t="s">
        <v>331</v>
      </c>
      <c r="EX17" s="1" t="s">
        <v>331</v>
      </c>
      <c r="EY17" s="1" t="s">
        <v>331</v>
      </c>
      <c r="EZ17" s="1" t="s">
        <v>331</v>
      </c>
      <c r="FA17" s="1" t="s">
        <v>333</v>
      </c>
      <c r="FB17" s="1" t="s">
        <v>332</v>
      </c>
      <c r="FC17" s="1" t="s">
        <v>332</v>
      </c>
      <c r="FD17" s="1" t="s">
        <v>331</v>
      </c>
      <c r="FE17" s="1" t="s">
        <v>333</v>
      </c>
      <c r="FF17" s="1" t="s">
        <v>330</v>
      </c>
      <c r="FG17" s="1" t="s">
        <v>333</v>
      </c>
      <c r="FH17" s="1" t="s">
        <v>332</v>
      </c>
      <c r="FI17" s="1" t="s">
        <v>330</v>
      </c>
      <c r="FJ17" s="1" t="s">
        <v>333</v>
      </c>
      <c r="FK17" s="1" t="s">
        <v>331</v>
      </c>
      <c r="FL17" s="1" t="s">
        <v>331</v>
      </c>
      <c r="FM17" s="1" t="s">
        <v>333</v>
      </c>
      <c r="FN17" s="1" t="s">
        <v>333</v>
      </c>
      <c r="FO17" s="1" t="s">
        <v>331</v>
      </c>
      <c r="FP17" s="1" t="s">
        <v>330</v>
      </c>
      <c r="FQ17" s="1" t="s">
        <v>330</v>
      </c>
      <c r="FR17" s="1" t="s">
        <v>332</v>
      </c>
      <c r="FS17" s="1" t="s">
        <v>331</v>
      </c>
      <c r="FT17" s="1" t="s">
        <v>330</v>
      </c>
      <c r="FU17" s="1" t="s">
        <v>331</v>
      </c>
      <c r="FV17" s="1" t="s">
        <v>333</v>
      </c>
      <c r="FW17" s="1" t="s">
        <v>331</v>
      </c>
      <c r="FX17" s="1" t="s">
        <v>332</v>
      </c>
      <c r="FY17" s="1" t="s">
        <v>333</v>
      </c>
      <c r="FZ17" s="1" t="s">
        <v>332</v>
      </c>
      <c r="GA17" s="1" t="s">
        <v>332</v>
      </c>
      <c r="GB17" s="1" t="s">
        <v>331</v>
      </c>
      <c r="GC17" s="1" t="s">
        <v>330</v>
      </c>
      <c r="GD17" s="1" t="s">
        <v>332</v>
      </c>
      <c r="GE17" s="1" t="s">
        <v>330</v>
      </c>
      <c r="GF17" s="1" t="s">
        <v>333</v>
      </c>
      <c r="GG17" s="1" t="s">
        <v>333</v>
      </c>
      <c r="GH17" s="1" t="s">
        <v>330</v>
      </c>
      <c r="GI17" s="1" t="s">
        <v>330</v>
      </c>
      <c r="GJ17" s="1" t="s">
        <v>330</v>
      </c>
      <c r="GK17" s="1" t="s">
        <v>330</v>
      </c>
      <c r="GL17" s="1" t="s">
        <v>333</v>
      </c>
      <c r="GM17" s="1" t="s">
        <v>332</v>
      </c>
      <c r="GN17" s="1" t="s">
        <v>330</v>
      </c>
      <c r="GO17" s="1" t="s">
        <v>331</v>
      </c>
      <c r="GP17" s="1" t="s">
        <v>333</v>
      </c>
      <c r="GQ17" s="1" t="s">
        <v>331</v>
      </c>
      <c r="GR17" s="1" t="s">
        <v>332</v>
      </c>
      <c r="GS17" s="1" t="s">
        <v>333</v>
      </c>
      <c r="GT17" s="1" t="s">
        <v>330</v>
      </c>
      <c r="GU17" s="1" t="s">
        <v>333</v>
      </c>
      <c r="GV17" s="1" t="s">
        <v>333</v>
      </c>
      <c r="GW17" s="1" t="s">
        <v>333</v>
      </c>
      <c r="GX17" s="1" t="s">
        <v>331</v>
      </c>
      <c r="GY17" s="1" t="s">
        <v>330</v>
      </c>
      <c r="GZ17" s="1" t="s">
        <v>332</v>
      </c>
      <c r="HA17" s="1" t="s">
        <v>333</v>
      </c>
      <c r="HB17" s="1" t="s">
        <v>330</v>
      </c>
      <c r="HC17" s="1" t="s">
        <v>331</v>
      </c>
      <c r="HD17" s="1" t="s">
        <v>330</v>
      </c>
      <c r="HE17" s="1" t="s">
        <v>331</v>
      </c>
      <c r="HF17" s="1" t="s">
        <v>333</v>
      </c>
      <c r="HG17" s="1" t="s">
        <v>333</v>
      </c>
      <c r="HH17" s="1" t="s">
        <v>333</v>
      </c>
      <c r="HI17" s="1" t="s">
        <v>332</v>
      </c>
      <c r="HJ17" s="1" t="s">
        <v>330</v>
      </c>
      <c r="HK17" s="1" t="s">
        <v>331</v>
      </c>
      <c r="HL17" s="1" t="s">
        <v>330</v>
      </c>
      <c r="HM17" s="1" t="s">
        <v>333</v>
      </c>
      <c r="HN17" s="1" t="s">
        <v>330</v>
      </c>
      <c r="HO17" s="1" t="s">
        <v>332</v>
      </c>
      <c r="HP17" s="1" t="s">
        <v>330</v>
      </c>
      <c r="HQ17" s="1" t="s">
        <v>333</v>
      </c>
      <c r="HR17" s="1" t="s">
        <v>333</v>
      </c>
      <c r="HS17" s="1" t="s">
        <v>330</v>
      </c>
      <c r="HT17" s="1" t="s">
        <v>331</v>
      </c>
      <c r="HU17" s="1" t="s">
        <v>332</v>
      </c>
      <c r="HV17" s="1" t="s">
        <v>335</v>
      </c>
      <c r="HW17" s="1" t="s">
        <v>333</v>
      </c>
      <c r="HX17" s="1" t="s">
        <v>331</v>
      </c>
      <c r="HY17" s="1" t="s">
        <v>331</v>
      </c>
      <c r="HZ17" s="1" t="s">
        <v>333</v>
      </c>
      <c r="IA17" s="1" t="s">
        <v>333</v>
      </c>
      <c r="IB17" s="1" t="s">
        <v>330</v>
      </c>
      <c r="IC17" s="1" t="s">
        <v>331</v>
      </c>
      <c r="ID17" s="1" t="s">
        <v>333</v>
      </c>
      <c r="IE17" s="1" t="s">
        <v>333</v>
      </c>
      <c r="IF17" s="1" t="s">
        <v>330</v>
      </c>
      <c r="IG17" s="1" t="s">
        <v>331</v>
      </c>
      <c r="IH17" s="1" t="s">
        <v>330</v>
      </c>
      <c r="II17" s="1" t="s">
        <v>330</v>
      </c>
      <c r="IJ17" s="1" t="s">
        <v>331</v>
      </c>
      <c r="IK17" s="1" t="s">
        <v>330</v>
      </c>
      <c r="IL17" s="1" t="s">
        <v>331</v>
      </c>
      <c r="IM17" s="1" t="s">
        <v>330</v>
      </c>
      <c r="IN17" s="1" t="s">
        <v>330</v>
      </c>
      <c r="IO17" s="1" t="s">
        <v>330</v>
      </c>
      <c r="IP17" s="1" t="s">
        <v>330</v>
      </c>
      <c r="IQ17" s="1" t="s">
        <v>331</v>
      </c>
      <c r="IR17" s="1" t="s">
        <v>331</v>
      </c>
      <c r="IS17" s="1" t="s">
        <v>330</v>
      </c>
      <c r="IT17" s="1" t="s">
        <v>333</v>
      </c>
      <c r="IU17" s="1" t="s">
        <v>330</v>
      </c>
      <c r="IV17" s="1" t="s">
        <v>331</v>
      </c>
      <c r="IW17" s="1" t="s">
        <v>331</v>
      </c>
      <c r="IX17" s="1" t="s">
        <v>333</v>
      </c>
      <c r="IY17" s="1" t="s">
        <v>331</v>
      </c>
      <c r="IZ17" s="1" t="s">
        <v>330</v>
      </c>
      <c r="JA17" s="1" t="s">
        <v>330</v>
      </c>
      <c r="JB17" s="1" t="s">
        <v>330</v>
      </c>
      <c r="JC17" s="1" t="s">
        <v>333</v>
      </c>
      <c r="JD17" s="1" t="s">
        <v>333</v>
      </c>
      <c r="JE17" s="1" t="s">
        <v>330</v>
      </c>
      <c r="JF17" s="1" t="s">
        <v>330</v>
      </c>
      <c r="JG17" s="1" t="s">
        <v>333</v>
      </c>
      <c r="JH17" s="1" t="s">
        <v>331</v>
      </c>
      <c r="JI17" s="1" t="s">
        <v>330</v>
      </c>
      <c r="JJ17" s="1" t="s">
        <v>332</v>
      </c>
      <c r="JK17" s="1" t="s">
        <v>330</v>
      </c>
      <c r="JL17" s="1" t="s">
        <v>1693</v>
      </c>
      <c r="JM17" s="1" t="s">
        <v>331</v>
      </c>
      <c r="JN17" s="1" t="s">
        <v>331</v>
      </c>
      <c r="JO17" s="1" t="s">
        <v>333</v>
      </c>
      <c r="JP17" s="1" t="s">
        <v>333</v>
      </c>
      <c r="JS17" s="1" t="s">
        <v>333</v>
      </c>
    </row>
    <row r="18" spans="1:280" x14ac:dyDescent="0.35">
      <c r="A18" s="1" t="s">
        <v>1734</v>
      </c>
      <c r="D18" s="1" t="s">
        <v>1755</v>
      </c>
      <c r="E18" s="1">
        <v>5806</v>
      </c>
      <c r="G18" s="1" t="s">
        <v>328</v>
      </c>
      <c r="H18" s="1" t="s">
        <v>312</v>
      </c>
      <c r="I18" s="1" t="s">
        <v>1651</v>
      </c>
      <c r="J18" s="1" t="s">
        <v>1731</v>
      </c>
      <c r="K18" s="1" t="s">
        <v>1736</v>
      </c>
      <c r="M18" s="1">
        <v>1</v>
      </c>
      <c r="N18" s="1">
        <v>0</v>
      </c>
      <c r="O18" s="1">
        <v>1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1</v>
      </c>
      <c r="AL18" s="1">
        <v>1</v>
      </c>
      <c r="AM18" s="1">
        <v>0</v>
      </c>
      <c r="AN18" s="1">
        <v>0</v>
      </c>
      <c r="AO18" s="1">
        <v>1</v>
      </c>
      <c r="AP18" s="1">
        <v>0</v>
      </c>
      <c r="AQ18" s="1">
        <v>0</v>
      </c>
      <c r="AR18" s="1">
        <v>0</v>
      </c>
      <c r="AS18" s="1">
        <v>1</v>
      </c>
      <c r="AT18" s="1">
        <v>0</v>
      </c>
      <c r="AU18" s="1">
        <v>0</v>
      </c>
      <c r="AV18" s="1">
        <v>0</v>
      </c>
      <c r="AW18" s="1">
        <v>1</v>
      </c>
      <c r="AX18" s="1">
        <v>1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1</v>
      </c>
      <c r="BJ18" s="1">
        <v>0</v>
      </c>
      <c r="BK18" s="1">
        <v>1</v>
      </c>
      <c r="BL18" s="1">
        <v>0</v>
      </c>
      <c r="BM18" s="1">
        <v>1</v>
      </c>
      <c r="BN18" s="1">
        <v>0</v>
      </c>
      <c r="BO18" s="1">
        <v>0</v>
      </c>
      <c r="BP18" s="1">
        <v>0</v>
      </c>
      <c r="BQ18" s="1">
        <v>1</v>
      </c>
      <c r="BR18" s="1">
        <v>0</v>
      </c>
      <c r="BS18" s="1">
        <v>1</v>
      </c>
      <c r="BT18" s="1">
        <v>0</v>
      </c>
      <c r="BU18" s="1">
        <v>0</v>
      </c>
      <c r="BV18" s="1">
        <v>1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0</v>
      </c>
      <c r="CI18" s="1">
        <v>1</v>
      </c>
      <c r="CJ18" s="1">
        <v>0</v>
      </c>
      <c r="CK18" s="1">
        <v>0</v>
      </c>
      <c r="CL18" s="1">
        <v>0</v>
      </c>
      <c r="CM18" s="1">
        <v>1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1</v>
      </c>
      <c r="CT18" s="1">
        <v>0</v>
      </c>
      <c r="CU18" s="1">
        <v>0</v>
      </c>
      <c r="CV18" s="1">
        <v>1</v>
      </c>
      <c r="CW18" s="1">
        <v>1</v>
      </c>
      <c r="CX18" s="1">
        <v>0</v>
      </c>
      <c r="CY18" s="1">
        <v>1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1</v>
      </c>
      <c r="DF18" s="1">
        <v>0</v>
      </c>
      <c r="DG18" s="1">
        <v>0</v>
      </c>
      <c r="DH18" s="1">
        <v>1</v>
      </c>
      <c r="DI18" s="1">
        <v>1</v>
      </c>
      <c r="DJ18" s="1">
        <v>0</v>
      </c>
      <c r="DK18" s="1">
        <v>0</v>
      </c>
      <c r="DL18" s="1">
        <v>1</v>
      </c>
      <c r="DM18" s="1">
        <v>0</v>
      </c>
      <c r="DN18" s="1">
        <v>0</v>
      </c>
      <c r="DO18" s="1">
        <v>0</v>
      </c>
      <c r="DP18" s="1">
        <v>1</v>
      </c>
      <c r="DQ18" s="1">
        <v>0</v>
      </c>
      <c r="DR18" s="1">
        <v>0</v>
      </c>
      <c r="DS18" s="1">
        <v>0</v>
      </c>
      <c r="DT18" s="1">
        <v>0</v>
      </c>
      <c r="DU18" s="1">
        <v>1</v>
      </c>
      <c r="DV18" s="1">
        <v>1</v>
      </c>
      <c r="DW18" s="1">
        <v>1</v>
      </c>
      <c r="DX18" s="1">
        <v>1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1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1</v>
      </c>
      <c r="EN18" s="1">
        <v>1</v>
      </c>
      <c r="EO18" s="1">
        <v>1</v>
      </c>
      <c r="EP18" s="1">
        <v>1</v>
      </c>
      <c r="EQ18" s="1" t="s">
        <v>330</v>
      </c>
      <c r="ER18" s="1" t="s">
        <v>330</v>
      </c>
      <c r="ES18" s="1" t="s">
        <v>333</v>
      </c>
      <c r="ET18" s="1" t="s">
        <v>332</v>
      </c>
      <c r="EU18" s="1" t="s">
        <v>330</v>
      </c>
      <c r="EV18" s="1" t="s">
        <v>332</v>
      </c>
      <c r="EW18" s="1" t="s">
        <v>331</v>
      </c>
      <c r="EX18" s="1" t="s">
        <v>330</v>
      </c>
      <c r="EY18" s="1" t="s">
        <v>332</v>
      </c>
      <c r="EZ18" s="1" t="s">
        <v>333</v>
      </c>
      <c r="FA18" s="1" t="s">
        <v>330</v>
      </c>
      <c r="FB18" s="1" t="s">
        <v>332</v>
      </c>
      <c r="FC18" s="1" t="s">
        <v>331</v>
      </c>
      <c r="FD18" s="1" t="s">
        <v>333</v>
      </c>
      <c r="FE18" s="1" t="s">
        <v>330</v>
      </c>
      <c r="FF18" s="1" t="s">
        <v>331</v>
      </c>
      <c r="FG18" s="1" t="s">
        <v>332</v>
      </c>
      <c r="FH18" s="1" t="s">
        <v>330</v>
      </c>
      <c r="FI18" s="1" t="s">
        <v>333</v>
      </c>
      <c r="FJ18" s="1" t="s">
        <v>331</v>
      </c>
      <c r="FK18" s="1" t="s">
        <v>332</v>
      </c>
      <c r="FL18" s="1" t="s">
        <v>330</v>
      </c>
      <c r="FM18" s="1" t="s">
        <v>330</v>
      </c>
      <c r="FN18" s="1" t="s">
        <v>333</v>
      </c>
      <c r="FO18" s="1" t="s">
        <v>331</v>
      </c>
      <c r="FP18" s="1" t="s">
        <v>330</v>
      </c>
      <c r="FQ18" s="1" t="s">
        <v>331</v>
      </c>
      <c r="FR18" s="1" t="s">
        <v>330</v>
      </c>
      <c r="FS18" s="1" t="s">
        <v>331</v>
      </c>
      <c r="FT18" s="1" t="s">
        <v>330</v>
      </c>
      <c r="FU18" s="1" t="s">
        <v>332</v>
      </c>
      <c r="FV18" s="1" t="s">
        <v>333</v>
      </c>
      <c r="FW18" s="1" t="s">
        <v>331</v>
      </c>
      <c r="FX18" s="1" t="s">
        <v>333</v>
      </c>
      <c r="FY18" s="1" t="s">
        <v>333</v>
      </c>
      <c r="FZ18" s="1" t="s">
        <v>332</v>
      </c>
      <c r="GA18" s="1" t="s">
        <v>333</v>
      </c>
      <c r="GB18" s="1" t="s">
        <v>331</v>
      </c>
      <c r="GC18" s="1" t="s">
        <v>330</v>
      </c>
      <c r="GD18" s="1" t="s">
        <v>330</v>
      </c>
      <c r="GE18" s="1" t="s">
        <v>330</v>
      </c>
      <c r="GF18" s="1" t="s">
        <v>332</v>
      </c>
      <c r="GG18" s="1" t="s">
        <v>333</v>
      </c>
      <c r="GH18" s="1" t="s">
        <v>333</v>
      </c>
      <c r="GI18" s="1" t="s">
        <v>333</v>
      </c>
      <c r="GJ18" s="1" t="s">
        <v>332</v>
      </c>
      <c r="GK18" s="1" t="s">
        <v>333</v>
      </c>
      <c r="GL18" s="1" t="s">
        <v>333</v>
      </c>
      <c r="GM18" s="1" t="s">
        <v>331</v>
      </c>
      <c r="GN18" s="1" t="s">
        <v>330</v>
      </c>
      <c r="GO18" s="1" t="s">
        <v>333</v>
      </c>
      <c r="GP18" s="1" t="s">
        <v>333</v>
      </c>
      <c r="GQ18" s="1" t="s">
        <v>331</v>
      </c>
      <c r="GR18" s="1" t="s">
        <v>330</v>
      </c>
      <c r="GS18" s="1" t="s">
        <v>332</v>
      </c>
      <c r="GT18" s="1" t="s">
        <v>333</v>
      </c>
      <c r="GU18" s="1" t="s">
        <v>333</v>
      </c>
      <c r="GV18" s="1" t="s">
        <v>331</v>
      </c>
      <c r="GW18" s="1" t="s">
        <v>331</v>
      </c>
      <c r="GX18" s="1" t="s">
        <v>332</v>
      </c>
      <c r="GY18" s="1" t="s">
        <v>333</v>
      </c>
      <c r="GZ18" s="1" t="s">
        <v>331</v>
      </c>
      <c r="HA18" s="1" t="s">
        <v>333</v>
      </c>
      <c r="HB18" s="1" t="s">
        <v>330</v>
      </c>
      <c r="HC18" s="1" t="s">
        <v>331</v>
      </c>
      <c r="HD18" s="1" t="s">
        <v>333</v>
      </c>
      <c r="HE18" s="1" t="s">
        <v>331</v>
      </c>
      <c r="HF18" s="1" t="s">
        <v>331</v>
      </c>
      <c r="HG18" s="1" t="s">
        <v>333</v>
      </c>
      <c r="HH18" s="1" t="s">
        <v>333</v>
      </c>
      <c r="HI18" s="1" t="s">
        <v>330</v>
      </c>
      <c r="HJ18" s="1" t="s">
        <v>333</v>
      </c>
      <c r="HK18" s="1" t="s">
        <v>333</v>
      </c>
      <c r="HL18" s="1" t="s">
        <v>332</v>
      </c>
      <c r="HM18" s="1" t="s">
        <v>330</v>
      </c>
      <c r="HN18" s="1" t="s">
        <v>331</v>
      </c>
      <c r="HO18" s="1" t="s">
        <v>333</v>
      </c>
      <c r="HP18" s="1" t="s">
        <v>333</v>
      </c>
      <c r="HQ18" s="1" t="s">
        <v>333</v>
      </c>
      <c r="HR18" s="1" t="s">
        <v>331</v>
      </c>
      <c r="HS18" s="1" t="s">
        <v>337</v>
      </c>
      <c r="HT18" s="1" t="s">
        <v>332</v>
      </c>
      <c r="HU18" s="1" t="s">
        <v>333</v>
      </c>
      <c r="HV18" s="1" t="s">
        <v>330</v>
      </c>
      <c r="HW18" s="1" t="s">
        <v>333</v>
      </c>
      <c r="HX18" s="1" t="s">
        <v>331</v>
      </c>
      <c r="HY18" s="1" t="s">
        <v>331</v>
      </c>
      <c r="HZ18" s="1" t="s">
        <v>330</v>
      </c>
      <c r="IA18" s="1" t="s">
        <v>333</v>
      </c>
      <c r="IB18" s="1" t="s">
        <v>330</v>
      </c>
      <c r="IC18" s="1" t="s">
        <v>333</v>
      </c>
      <c r="ID18" s="1" t="s">
        <v>333</v>
      </c>
      <c r="IE18" s="1" t="s">
        <v>333</v>
      </c>
      <c r="IF18" s="1" t="s">
        <v>331</v>
      </c>
      <c r="IH18" s="1" t="s">
        <v>331</v>
      </c>
      <c r="II18" s="1" t="s">
        <v>333</v>
      </c>
      <c r="IJ18" s="1" t="s">
        <v>333</v>
      </c>
      <c r="IK18" s="1" t="s">
        <v>330</v>
      </c>
      <c r="IL18" s="1" t="s">
        <v>331</v>
      </c>
      <c r="IM18" s="1" t="s">
        <v>333</v>
      </c>
      <c r="IN18" s="1" t="s">
        <v>333</v>
      </c>
      <c r="IO18" s="1" t="s">
        <v>330</v>
      </c>
      <c r="IP18" s="1" t="s">
        <v>330</v>
      </c>
      <c r="IQ18" s="1" t="s">
        <v>330</v>
      </c>
      <c r="IR18" s="1" t="s">
        <v>333</v>
      </c>
      <c r="IS18" s="1" t="s">
        <v>330</v>
      </c>
      <c r="IT18" s="1" t="s">
        <v>333</v>
      </c>
      <c r="IU18" s="1" t="s">
        <v>331</v>
      </c>
      <c r="IV18" s="1" t="s">
        <v>333</v>
      </c>
      <c r="IW18" s="1" t="s">
        <v>330</v>
      </c>
      <c r="IX18" s="1" t="s">
        <v>330</v>
      </c>
      <c r="IY18" s="1" t="s">
        <v>331</v>
      </c>
      <c r="IZ18" s="1" t="s">
        <v>330</v>
      </c>
      <c r="JA18" s="1" t="s">
        <v>331</v>
      </c>
      <c r="JB18" s="1" t="s">
        <v>330</v>
      </c>
      <c r="JC18" s="1" t="s">
        <v>331</v>
      </c>
      <c r="JD18" s="1" t="s">
        <v>331</v>
      </c>
      <c r="JE18" s="1" t="s">
        <v>330</v>
      </c>
      <c r="JF18" s="1" t="s">
        <v>331</v>
      </c>
      <c r="JG18" s="1" t="s">
        <v>330</v>
      </c>
      <c r="JH18" s="1" t="s">
        <v>331</v>
      </c>
      <c r="JI18" s="1" t="s">
        <v>333</v>
      </c>
      <c r="JJ18" s="1" t="s">
        <v>331</v>
      </c>
      <c r="JK18" s="1" t="s">
        <v>330</v>
      </c>
      <c r="JL18" s="1" t="s">
        <v>331</v>
      </c>
      <c r="JM18" s="1" t="s">
        <v>333</v>
      </c>
      <c r="JN18" s="1" t="s">
        <v>333</v>
      </c>
      <c r="JO18" s="1" t="s">
        <v>331</v>
      </c>
      <c r="JP18" s="1" t="s">
        <v>333</v>
      </c>
      <c r="JQ18" s="1" t="s">
        <v>332</v>
      </c>
      <c r="JR18" s="1" t="s">
        <v>330</v>
      </c>
      <c r="JS18" s="1" t="s">
        <v>333</v>
      </c>
      <c r="JT18" s="1" t="s">
        <v>332</v>
      </c>
    </row>
    <row r="19" spans="1:280" x14ac:dyDescent="0.35">
      <c r="A19" s="1" t="s">
        <v>1734</v>
      </c>
      <c r="D19" s="1" t="s">
        <v>1756</v>
      </c>
      <c r="E19" s="1">
        <v>5807</v>
      </c>
      <c r="G19" s="1" t="s">
        <v>313</v>
      </c>
      <c r="H19" s="1" t="s">
        <v>312</v>
      </c>
      <c r="I19" s="1" t="s">
        <v>325</v>
      </c>
      <c r="J19" s="1" t="s">
        <v>1731</v>
      </c>
      <c r="K19" s="1" t="s">
        <v>1736</v>
      </c>
      <c r="M19" s="1">
        <v>1</v>
      </c>
      <c r="N19" s="1">
        <v>0</v>
      </c>
      <c r="O19" s="1">
        <v>1</v>
      </c>
      <c r="P19" s="1">
        <v>1</v>
      </c>
      <c r="Q19" s="1">
        <v>0</v>
      </c>
      <c r="R19" s="1">
        <v>0</v>
      </c>
      <c r="S19" s="1">
        <v>1</v>
      </c>
      <c r="T19" s="1">
        <v>0</v>
      </c>
      <c r="U19" s="1">
        <v>1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1</v>
      </c>
      <c r="AD19" s="1">
        <v>0</v>
      </c>
      <c r="AE19" s="1">
        <v>0</v>
      </c>
      <c r="AF19" s="1">
        <v>1</v>
      </c>
      <c r="AG19" s="1">
        <v>1</v>
      </c>
      <c r="AH19" s="1">
        <v>0</v>
      </c>
      <c r="AI19" s="1">
        <v>1</v>
      </c>
      <c r="AJ19" s="1">
        <v>0</v>
      </c>
      <c r="AK19" s="1">
        <v>1</v>
      </c>
      <c r="AL19" s="1">
        <v>0</v>
      </c>
      <c r="AM19" s="1">
        <v>0</v>
      </c>
      <c r="AN19" s="1">
        <v>0</v>
      </c>
      <c r="AO19" s="1">
        <v>1</v>
      </c>
      <c r="AP19" s="1">
        <v>1</v>
      </c>
      <c r="AQ19" s="1">
        <v>0</v>
      </c>
      <c r="AR19" s="1">
        <v>1</v>
      </c>
      <c r="AS19" s="1">
        <v>0</v>
      </c>
      <c r="AT19" s="1">
        <v>0</v>
      </c>
      <c r="AU19" s="1">
        <v>1</v>
      </c>
      <c r="AV19" s="1">
        <v>1</v>
      </c>
      <c r="AW19" s="1">
        <v>0</v>
      </c>
      <c r="AX19" s="1">
        <v>1</v>
      </c>
      <c r="AY19" s="1">
        <v>1</v>
      </c>
      <c r="AZ19" s="1">
        <v>0</v>
      </c>
      <c r="BA19" s="1">
        <v>0</v>
      </c>
      <c r="BB19" s="1">
        <v>0</v>
      </c>
      <c r="BC19" s="1">
        <v>0</v>
      </c>
      <c r="BD19" s="1">
        <v>1</v>
      </c>
      <c r="BE19" s="1">
        <v>0</v>
      </c>
      <c r="BF19" s="1">
        <v>0</v>
      </c>
      <c r="BG19" s="1">
        <v>0</v>
      </c>
      <c r="BH19" s="1">
        <v>1</v>
      </c>
      <c r="BI19" s="1">
        <v>0</v>
      </c>
      <c r="BJ19" s="1">
        <v>1</v>
      </c>
      <c r="BK19" s="1">
        <v>1</v>
      </c>
      <c r="BL19" s="1">
        <v>0</v>
      </c>
      <c r="BM19" s="1">
        <v>0</v>
      </c>
      <c r="BN19" s="1">
        <v>1</v>
      </c>
      <c r="BO19" s="1">
        <v>0</v>
      </c>
      <c r="BP19" s="1">
        <v>1</v>
      </c>
      <c r="BQ19" s="1">
        <v>1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1</v>
      </c>
      <c r="BX19" s="1">
        <v>1</v>
      </c>
      <c r="BY19" s="1">
        <v>0</v>
      </c>
      <c r="BZ19" s="1">
        <v>0</v>
      </c>
      <c r="CA19" s="1">
        <v>1</v>
      </c>
      <c r="CB19" s="1">
        <v>0</v>
      </c>
      <c r="CC19" s="1">
        <v>0</v>
      </c>
      <c r="CD19" s="1">
        <v>1</v>
      </c>
      <c r="CE19" s="1">
        <v>0</v>
      </c>
      <c r="CF19" s="1">
        <v>0</v>
      </c>
      <c r="CG19" s="1">
        <v>0</v>
      </c>
      <c r="CH19" s="1">
        <v>0</v>
      </c>
      <c r="CI19" s="1">
        <v>1</v>
      </c>
      <c r="CJ19" s="1">
        <v>0</v>
      </c>
      <c r="CK19" s="1">
        <v>0</v>
      </c>
      <c r="CL19" s="1">
        <v>1</v>
      </c>
      <c r="CM19" s="1">
        <v>0</v>
      </c>
      <c r="CN19" s="1">
        <v>1</v>
      </c>
      <c r="CO19" s="1">
        <v>1</v>
      </c>
      <c r="CP19" s="1">
        <v>1</v>
      </c>
      <c r="CQ19" s="1">
        <v>0</v>
      </c>
      <c r="CR19" s="1">
        <v>0</v>
      </c>
      <c r="CS19" s="1">
        <v>1</v>
      </c>
      <c r="CT19" s="1">
        <v>0</v>
      </c>
      <c r="CU19" s="1">
        <v>0</v>
      </c>
      <c r="CV19" s="1">
        <v>0</v>
      </c>
      <c r="CW19" s="1">
        <v>1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1</v>
      </c>
      <c r="DF19" s="1">
        <v>1</v>
      </c>
      <c r="DG19" s="1">
        <v>0</v>
      </c>
      <c r="DH19" s="1">
        <v>1</v>
      </c>
      <c r="DI19" s="1">
        <v>1</v>
      </c>
      <c r="DJ19" s="1">
        <v>0</v>
      </c>
      <c r="DK19" s="1">
        <v>0</v>
      </c>
      <c r="DL19" s="1">
        <v>0</v>
      </c>
      <c r="DM19" s="1">
        <v>1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1</v>
      </c>
      <c r="DV19" s="1">
        <v>1</v>
      </c>
      <c r="DW19" s="1">
        <v>0</v>
      </c>
      <c r="DX19" s="1">
        <v>1</v>
      </c>
      <c r="DY19" s="1">
        <v>1</v>
      </c>
      <c r="DZ19" s="1">
        <v>0</v>
      </c>
      <c r="EA19" s="1">
        <v>0</v>
      </c>
      <c r="EB19" s="1">
        <v>0</v>
      </c>
      <c r="EC19" s="1">
        <v>0</v>
      </c>
      <c r="ED19" s="1">
        <v>1</v>
      </c>
      <c r="EE19" s="1">
        <v>1</v>
      </c>
      <c r="EF19" s="1">
        <v>0</v>
      </c>
      <c r="EG19" s="1">
        <v>0</v>
      </c>
      <c r="EH19" s="1">
        <v>0</v>
      </c>
      <c r="EI19" s="1">
        <v>0</v>
      </c>
      <c r="EJ19" s="1">
        <v>1</v>
      </c>
      <c r="EK19" s="1">
        <v>0</v>
      </c>
      <c r="EL19" s="1">
        <v>1</v>
      </c>
      <c r="EM19" s="1">
        <v>0</v>
      </c>
      <c r="EN19" s="1">
        <v>0</v>
      </c>
      <c r="EO19" s="1">
        <v>0</v>
      </c>
      <c r="EP19" s="1">
        <v>1</v>
      </c>
      <c r="EQ19" s="1" t="s">
        <v>330</v>
      </c>
      <c r="ER19" s="1" t="s">
        <v>333</v>
      </c>
      <c r="ES19" s="1" t="s">
        <v>333</v>
      </c>
      <c r="ET19" s="1" t="s">
        <v>331</v>
      </c>
      <c r="EU19" s="1" t="s">
        <v>331</v>
      </c>
      <c r="EV19" s="1" t="s">
        <v>332</v>
      </c>
      <c r="EW19" s="1" t="s">
        <v>332</v>
      </c>
      <c r="EX19" s="1" t="s">
        <v>333</v>
      </c>
      <c r="EY19" s="1" t="s">
        <v>331</v>
      </c>
      <c r="EZ19" s="1" t="s">
        <v>332</v>
      </c>
      <c r="FA19" s="1" t="s">
        <v>331</v>
      </c>
      <c r="FB19" s="1" t="s">
        <v>331</v>
      </c>
      <c r="FC19" s="1" t="s">
        <v>330</v>
      </c>
      <c r="FD19" s="1" t="s">
        <v>333</v>
      </c>
      <c r="FE19" s="1" t="s">
        <v>333</v>
      </c>
      <c r="FF19" s="1" t="s">
        <v>330</v>
      </c>
      <c r="FG19" s="1" t="s">
        <v>331</v>
      </c>
      <c r="FH19" s="1" t="s">
        <v>332</v>
      </c>
      <c r="FI19" s="1" t="s">
        <v>333</v>
      </c>
      <c r="FJ19" s="1" t="s">
        <v>330</v>
      </c>
      <c r="FK19" s="1" t="s">
        <v>331</v>
      </c>
      <c r="FL19" s="1" t="s">
        <v>332</v>
      </c>
      <c r="FM19" s="1" t="s">
        <v>333</v>
      </c>
      <c r="FN19" s="1" t="s">
        <v>330</v>
      </c>
      <c r="FO19" s="1" t="s">
        <v>331</v>
      </c>
      <c r="FP19" s="1" t="s">
        <v>333</v>
      </c>
      <c r="FQ19" s="1" t="s">
        <v>332</v>
      </c>
      <c r="FR19" s="1" t="s">
        <v>330</v>
      </c>
      <c r="FS19" s="1" t="s">
        <v>331</v>
      </c>
      <c r="FT19" s="1" t="s">
        <v>333</v>
      </c>
      <c r="FU19" s="1" t="s">
        <v>332</v>
      </c>
      <c r="FV19" s="1" t="s">
        <v>331</v>
      </c>
      <c r="FW19" s="1" t="s">
        <v>330</v>
      </c>
      <c r="FX19" s="1" t="s">
        <v>332</v>
      </c>
      <c r="FY19" s="1" t="s">
        <v>331</v>
      </c>
      <c r="FZ19" s="1" t="s">
        <v>331</v>
      </c>
      <c r="GA19" s="1" t="s">
        <v>330</v>
      </c>
      <c r="GB19" s="1" t="s">
        <v>331</v>
      </c>
      <c r="GC19" s="1" t="s">
        <v>331</v>
      </c>
      <c r="GD19" s="1" t="s">
        <v>333</v>
      </c>
      <c r="GE19" s="1" t="s">
        <v>330</v>
      </c>
      <c r="GF19" s="1" t="s">
        <v>332</v>
      </c>
      <c r="GG19" s="1" t="s">
        <v>332</v>
      </c>
      <c r="GH19" s="1" t="s">
        <v>330</v>
      </c>
      <c r="GI19" s="1" t="s">
        <v>330</v>
      </c>
      <c r="GJ19" s="1" t="s">
        <v>330</v>
      </c>
      <c r="GK19" s="1" t="s">
        <v>333</v>
      </c>
      <c r="GL19" s="1" t="s">
        <v>331</v>
      </c>
      <c r="GM19" s="1" t="s">
        <v>332</v>
      </c>
      <c r="GN19" s="1" t="s">
        <v>333</v>
      </c>
      <c r="GO19" s="1" t="s">
        <v>333</v>
      </c>
      <c r="GP19" s="1" t="s">
        <v>331</v>
      </c>
      <c r="GQ19" s="1" t="s">
        <v>330</v>
      </c>
      <c r="GR19" s="1" t="s">
        <v>333</v>
      </c>
      <c r="GS19" s="1" t="s">
        <v>331</v>
      </c>
      <c r="GT19" s="1" t="s">
        <v>331</v>
      </c>
      <c r="GU19" s="1" t="s">
        <v>333</v>
      </c>
      <c r="GV19" s="1" t="s">
        <v>332</v>
      </c>
      <c r="GW19" s="1" t="s">
        <v>330</v>
      </c>
      <c r="GX19" s="1" t="s">
        <v>333</v>
      </c>
      <c r="GY19" s="1" t="s">
        <v>333</v>
      </c>
      <c r="GZ19" s="1" t="s">
        <v>333</v>
      </c>
      <c r="HA19" s="1" t="s">
        <v>330</v>
      </c>
      <c r="HB19" s="1" t="s">
        <v>331</v>
      </c>
      <c r="HC19" s="1" t="s">
        <v>333</v>
      </c>
      <c r="HD19" s="1" t="s">
        <v>330</v>
      </c>
      <c r="HE19" s="1" t="s">
        <v>332</v>
      </c>
      <c r="HF19" s="1" t="s">
        <v>333</v>
      </c>
      <c r="HG19" s="1" t="s">
        <v>331</v>
      </c>
      <c r="HH19" s="1" t="s">
        <v>333</v>
      </c>
      <c r="HI19" s="1" t="s">
        <v>332</v>
      </c>
      <c r="HJ19" s="1" t="s">
        <v>330</v>
      </c>
      <c r="HK19" s="1" t="s">
        <v>331</v>
      </c>
      <c r="HL19" s="1" t="s">
        <v>332</v>
      </c>
      <c r="HM19" s="1" t="s">
        <v>330</v>
      </c>
      <c r="HN19" s="1" t="s">
        <v>331</v>
      </c>
      <c r="HO19" s="1" t="s">
        <v>330</v>
      </c>
      <c r="HP19" s="1" t="s">
        <v>331</v>
      </c>
      <c r="HQ19" s="1" t="s">
        <v>331</v>
      </c>
      <c r="HR19" s="1" t="s">
        <v>333</v>
      </c>
      <c r="HS19" s="1" t="s">
        <v>330</v>
      </c>
      <c r="HT19" s="1" t="s">
        <v>331</v>
      </c>
      <c r="HU19" s="1" t="s">
        <v>332</v>
      </c>
      <c r="HV19" s="1" t="s">
        <v>335</v>
      </c>
      <c r="HW19" s="1" t="s">
        <v>333</v>
      </c>
      <c r="HX19" s="1" t="s">
        <v>331</v>
      </c>
      <c r="HY19" s="1" t="s">
        <v>331</v>
      </c>
      <c r="HZ19" s="1" t="s">
        <v>333</v>
      </c>
      <c r="IA19" s="1" t="s">
        <v>333</v>
      </c>
      <c r="IB19" s="1" t="s">
        <v>330</v>
      </c>
      <c r="IC19" s="1" t="s">
        <v>330</v>
      </c>
      <c r="ID19" s="1" t="s">
        <v>331</v>
      </c>
      <c r="IE19" s="1" t="s">
        <v>330</v>
      </c>
      <c r="IF19" s="1" t="s">
        <v>330</v>
      </c>
      <c r="IG19" s="1" t="s">
        <v>333</v>
      </c>
      <c r="IH19" s="1" t="s">
        <v>333</v>
      </c>
      <c r="II19" s="1" t="s">
        <v>333</v>
      </c>
      <c r="IJ19" s="1" t="s">
        <v>331</v>
      </c>
      <c r="IK19" s="1" t="s">
        <v>333</v>
      </c>
      <c r="IL19" s="1" t="s">
        <v>331</v>
      </c>
      <c r="IM19" s="1" t="s">
        <v>333</v>
      </c>
      <c r="IN19" s="1" t="s">
        <v>330</v>
      </c>
      <c r="IO19" s="1" t="s">
        <v>330</v>
      </c>
      <c r="IP19" s="1" t="s">
        <v>333</v>
      </c>
      <c r="IQ19" s="1" t="s">
        <v>331</v>
      </c>
      <c r="IR19" s="1" t="s">
        <v>333</v>
      </c>
      <c r="IS19" s="1" t="s">
        <v>331</v>
      </c>
      <c r="IT19" s="1" t="s">
        <v>330</v>
      </c>
      <c r="IU19" s="1" t="s">
        <v>331</v>
      </c>
      <c r="IV19" s="1" t="s">
        <v>333</v>
      </c>
      <c r="IW19" s="1" t="s">
        <v>331</v>
      </c>
      <c r="IX19" s="1" t="s">
        <v>330</v>
      </c>
      <c r="IY19" s="1" t="s">
        <v>331</v>
      </c>
      <c r="IZ19" s="1" t="s">
        <v>330</v>
      </c>
      <c r="JA19" s="1" t="s">
        <v>333</v>
      </c>
      <c r="JB19" s="1" t="s">
        <v>330</v>
      </c>
      <c r="JC19" s="1" t="s">
        <v>333</v>
      </c>
      <c r="JD19" s="1" t="s">
        <v>333</v>
      </c>
      <c r="JE19" s="1" t="s">
        <v>331</v>
      </c>
      <c r="JF19" s="1" t="s">
        <v>330</v>
      </c>
      <c r="JG19" s="1" t="s">
        <v>330</v>
      </c>
      <c r="JH19" s="1" t="s">
        <v>331</v>
      </c>
      <c r="JI19" s="1" t="s">
        <v>331</v>
      </c>
      <c r="JJ19" s="1" t="s">
        <v>333</v>
      </c>
      <c r="JK19" s="1" t="s">
        <v>332</v>
      </c>
      <c r="JL19" s="1" t="s">
        <v>332</v>
      </c>
      <c r="JM19" s="1" t="s">
        <v>333</v>
      </c>
      <c r="JN19" s="1" t="s">
        <v>332</v>
      </c>
      <c r="JO19" s="1" t="s">
        <v>331</v>
      </c>
      <c r="JP19" s="1" t="s">
        <v>331</v>
      </c>
      <c r="JQ19" s="1" t="s">
        <v>331</v>
      </c>
      <c r="JR19" s="1" t="s">
        <v>333</v>
      </c>
      <c r="JS19" s="1" t="s">
        <v>332</v>
      </c>
      <c r="JT19" s="1" t="s">
        <v>332</v>
      </c>
    </row>
    <row r="20" spans="1:280" x14ac:dyDescent="0.35">
      <c r="A20" s="1" t="s">
        <v>1734</v>
      </c>
      <c r="D20" s="1" t="s">
        <v>1757</v>
      </c>
      <c r="E20" s="1">
        <v>5808</v>
      </c>
      <c r="G20" s="1" t="s">
        <v>1709</v>
      </c>
      <c r="H20" s="1" t="s">
        <v>312</v>
      </c>
      <c r="I20" s="1" t="s">
        <v>1710</v>
      </c>
      <c r="J20" s="1" t="s">
        <v>1731</v>
      </c>
      <c r="K20" s="1" t="s">
        <v>1736</v>
      </c>
      <c r="M20" s="1">
        <v>1</v>
      </c>
      <c r="N20" s="1">
        <v>0</v>
      </c>
      <c r="O20" s="1">
        <v>0</v>
      </c>
      <c r="P20" s="1">
        <v>1</v>
      </c>
      <c r="Q20" s="1">
        <v>0</v>
      </c>
      <c r="R20" s="1">
        <v>0</v>
      </c>
      <c r="S20" s="1">
        <v>1</v>
      </c>
      <c r="T20" s="1">
        <v>0</v>
      </c>
      <c r="U20" s="1">
        <v>0</v>
      </c>
      <c r="V20" s="1">
        <v>0</v>
      </c>
      <c r="W20" s="1">
        <v>1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1</v>
      </c>
      <c r="AF20" s="1">
        <v>1</v>
      </c>
      <c r="AG20" s="1">
        <v>0</v>
      </c>
      <c r="AH20" s="1">
        <v>0</v>
      </c>
      <c r="AI20" s="1">
        <v>1</v>
      </c>
      <c r="AJ20" s="1">
        <v>0</v>
      </c>
      <c r="AK20" s="1">
        <v>0</v>
      </c>
      <c r="AL20" s="1">
        <v>0</v>
      </c>
      <c r="AM20" s="1">
        <v>1</v>
      </c>
      <c r="AN20" s="1">
        <v>0</v>
      </c>
      <c r="AO20" s="1">
        <v>0</v>
      </c>
      <c r="AP20" s="1">
        <v>0</v>
      </c>
      <c r="AQ20" s="1">
        <v>0</v>
      </c>
      <c r="AR20" s="1">
        <v>1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1</v>
      </c>
      <c r="AY20" s="1">
        <v>0</v>
      </c>
      <c r="AZ20" s="1">
        <v>0</v>
      </c>
      <c r="BA20" s="1">
        <v>1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1</v>
      </c>
      <c r="BM20" s="1">
        <v>0</v>
      </c>
      <c r="BN20" s="1">
        <v>1</v>
      </c>
      <c r="BO20" s="1">
        <v>1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1</v>
      </c>
      <c r="BW20" s="1">
        <v>0</v>
      </c>
      <c r="BX20" s="1">
        <v>0</v>
      </c>
      <c r="BY20" s="1">
        <v>1</v>
      </c>
      <c r="BZ20" s="1">
        <v>1</v>
      </c>
      <c r="CA20" s="1">
        <v>0</v>
      </c>
      <c r="CB20" s="1">
        <v>0</v>
      </c>
      <c r="CC20" s="1">
        <v>1</v>
      </c>
      <c r="CD20" s="1">
        <v>0</v>
      </c>
      <c r="CE20" s="1">
        <v>0</v>
      </c>
      <c r="CF20" s="1">
        <v>0</v>
      </c>
      <c r="CG20" s="1">
        <v>1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1</v>
      </c>
      <c r="CO20" s="1">
        <v>1</v>
      </c>
      <c r="CP20" s="1">
        <v>0</v>
      </c>
      <c r="CQ20" s="1">
        <v>0</v>
      </c>
      <c r="CR20" s="1">
        <v>0</v>
      </c>
      <c r="CS20" s="1">
        <v>1</v>
      </c>
      <c r="CT20" s="1">
        <v>0</v>
      </c>
      <c r="CU20" s="1">
        <v>0</v>
      </c>
      <c r="CV20" s="1">
        <v>1</v>
      </c>
      <c r="CW20" s="1">
        <v>1</v>
      </c>
      <c r="CX20" s="1">
        <v>0</v>
      </c>
      <c r="CY20" s="1">
        <v>1</v>
      </c>
      <c r="CZ20" s="1">
        <v>0</v>
      </c>
      <c r="DA20" s="1">
        <v>0</v>
      </c>
      <c r="DB20" s="1">
        <v>0</v>
      </c>
      <c r="DC20" s="1">
        <v>0</v>
      </c>
      <c r="DD20" s="1">
        <v>1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1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1</v>
      </c>
      <c r="DS20" s="1">
        <v>1</v>
      </c>
      <c r="DT20" s="1">
        <v>0</v>
      </c>
      <c r="DU20" s="1">
        <v>0</v>
      </c>
      <c r="DV20" s="1">
        <v>1</v>
      </c>
      <c r="DW20" s="1">
        <v>0</v>
      </c>
      <c r="DX20" s="1">
        <v>1</v>
      </c>
      <c r="DY20" s="1">
        <v>1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1</v>
      </c>
      <c r="EH20" s="1">
        <v>1</v>
      </c>
      <c r="EI20" s="1">
        <v>1</v>
      </c>
      <c r="EJ20" s="1">
        <v>0</v>
      </c>
      <c r="EK20" s="1">
        <v>1</v>
      </c>
      <c r="EL20" s="1">
        <v>1</v>
      </c>
      <c r="EM20" s="1">
        <v>0</v>
      </c>
      <c r="EN20" s="1">
        <v>0</v>
      </c>
      <c r="EO20" s="1">
        <v>1</v>
      </c>
      <c r="EP20" s="1">
        <v>0</v>
      </c>
      <c r="EQ20" s="1" t="s">
        <v>330</v>
      </c>
      <c r="ER20" s="1" t="s">
        <v>333</v>
      </c>
      <c r="ES20" s="1" t="s">
        <v>331</v>
      </c>
      <c r="ET20" s="1" t="s">
        <v>331</v>
      </c>
      <c r="EU20" s="1" t="s">
        <v>331</v>
      </c>
      <c r="EV20" s="1" t="s">
        <v>332</v>
      </c>
      <c r="EW20" s="1" t="s">
        <v>332</v>
      </c>
      <c r="EX20" s="1" t="s">
        <v>333</v>
      </c>
      <c r="EY20" s="1" t="s">
        <v>333</v>
      </c>
      <c r="EZ20" s="1" t="s">
        <v>331</v>
      </c>
      <c r="FA20" s="1" t="s">
        <v>332</v>
      </c>
      <c r="FB20" s="1" t="s">
        <v>333</v>
      </c>
      <c r="FC20" s="1" t="s">
        <v>331</v>
      </c>
      <c r="FD20" s="1" t="s">
        <v>333</v>
      </c>
      <c r="FE20" s="1" t="s">
        <v>332</v>
      </c>
      <c r="FF20" s="1" t="s">
        <v>330</v>
      </c>
      <c r="FG20" s="1" t="s">
        <v>332</v>
      </c>
      <c r="FH20" s="1" t="s">
        <v>330</v>
      </c>
      <c r="FI20" s="1" t="s">
        <v>330</v>
      </c>
      <c r="FJ20" s="1" t="s">
        <v>330</v>
      </c>
      <c r="FK20" s="1" t="s">
        <v>330</v>
      </c>
      <c r="FL20" s="1" t="s">
        <v>332</v>
      </c>
      <c r="FM20" s="1" t="s">
        <v>333</v>
      </c>
      <c r="FN20" s="1" t="s">
        <v>331</v>
      </c>
      <c r="FO20" s="1" t="s">
        <v>332</v>
      </c>
      <c r="FP20" s="1" t="s">
        <v>333</v>
      </c>
      <c r="FQ20" s="1" t="s">
        <v>330</v>
      </c>
      <c r="FR20" s="1" t="s">
        <v>331</v>
      </c>
      <c r="FS20" s="1" t="s">
        <v>330</v>
      </c>
      <c r="FT20" s="1" t="s">
        <v>330</v>
      </c>
      <c r="FU20" s="1" t="s">
        <v>332</v>
      </c>
      <c r="FV20" s="1" t="s">
        <v>331</v>
      </c>
      <c r="FW20" s="1" t="s">
        <v>333</v>
      </c>
      <c r="FX20" s="1" t="s">
        <v>330</v>
      </c>
      <c r="FY20" s="1" t="s">
        <v>333</v>
      </c>
      <c r="FZ20" s="1" t="s">
        <v>332</v>
      </c>
      <c r="GA20" s="1" t="s">
        <v>330</v>
      </c>
      <c r="GB20" s="1" t="s">
        <v>331</v>
      </c>
      <c r="GC20" s="1" t="s">
        <v>330</v>
      </c>
      <c r="GD20" s="1" t="s">
        <v>330</v>
      </c>
      <c r="GE20" s="1" t="s">
        <v>333</v>
      </c>
      <c r="GF20" s="1" t="s">
        <v>333</v>
      </c>
      <c r="GG20" s="1" t="s">
        <v>333</v>
      </c>
      <c r="GH20" s="1" t="s">
        <v>332</v>
      </c>
      <c r="GI20" s="1" t="s">
        <v>333</v>
      </c>
      <c r="GJ20" s="1" t="s">
        <v>331</v>
      </c>
      <c r="GK20" s="1" t="s">
        <v>331</v>
      </c>
      <c r="GL20" s="1" t="s">
        <v>330</v>
      </c>
      <c r="GM20" s="1" t="s">
        <v>330</v>
      </c>
      <c r="GN20" s="1" t="s">
        <v>332</v>
      </c>
      <c r="GO20" s="1" t="s">
        <v>330</v>
      </c>
      <c r="GP20" s="1" t="s">
        <v>332</v>
      </c>
      <c r="GQ20" s="1" t="s">
        <v>333</v>
      </c>
      <c r="GR20" s="1" t="s">
        <v>333</v>
      </c>
      <c r="GS20" s="1" t="s">
        <v>333</v>
      </c>
      <c r="GT20" s="1" t="s">
        <v>330</v>
      </c>
      <c r="GU20" s="1" t="s">
        <v>330</v>
      </c>
      <c r="GV20" s="1" t="s">
        <v>331</v>
      </c>
      <c r="GW20" s="1" t="s">
        <v>332</v>
      </c>
      <c r="GX20" s="1" t="s">
        <v>333</v>
      </c>
      <c r="GY20" s="1" t="s">
        <v>333</v>
      </c>
      <c r="GZ20" s="1" t="s">
        <v>331</v>
      </c>
      <c r="HA20" s="1" t="s">
        <v>332</v>
      </c>
      <c r="HB20" s="1" t="s">
        <v>333</v>
      </c>
      <c r="HC20" s="1" t="s">
        <v>330</v>
      </c>
      <c r="HD20" s="1" t="s">
        <v>332</v>
      </c>
      <c r="HE20" s="1" t="s">
        <v>331</v>
      </c>
      <c r="HF20" s="1" t="s">
        <v>333</v>
      </c>
      <c r="HG20" s="1" t="s">
        <v>333</v>
      </c>
      <c r="HH20" s="1" t="s">
        <v>330</v>
      </c>
      <c r="HJ20" s="1" t="s">
        <v>330</v>
      </c>
      <c r="HK20" s="1" t="s">
        <v>333</v>
      </c>
      <c r="HL20" s="1" t="s">
        <v>332</v>
      </c>
      <c r="HM20" s="1" t="s">
        <v>333</v>
      </c>
      <c r="HN20" s="1" t="s">
        <v>333</v>
      </c>
      <c r="HO20" s="1" t="s">
        <v>330</v>
      </c>
      <c r="HP20" s="1" t="s">
        <v>332</v>
      </c>
      <c r="HQ20" s="1" t="s">
        <v>330</v>
      </c>
      <c r="HR20" s="1" t="s">
        <v>333</v>
      </c>
      <c r="HS20" s="1" t="s">
        <v>330</v>
      </c>
      <c r="HT20" s="1" t="s">
        <v>335</v>
      </c>
      <c r="HU20" s="1" t="s">
        <v>332</v>
      </c>
      <c r="HV20" s="1" t="s">
        <v>331</v>
      </c>
      <c r="HW20" s="1" t="s">
        <v>333</v>
      </c>
      <c r="HX20" s="1" t="s">
        <v>333</v>
      </c>
      <c r="HY20" s="1" t="s">
        <v>331</v>
      </c>
      <c r="HZ20" s="1" t="s">
        <v>330</v>
      </c>
      <c r="IA20" s="1" t="s">
        <v>333</v>
      </c>
      <c r="IB20" s="1" t="s">
        <v>333</v>
      </c>
      <c r="IC20" s="1" t="s">
        <v>333</v>
      </c>
      <c r="ID20" s="1" t="s">
        <v>333</v>
      </c>
      <c r="IE20" s="1" t="s">
        <v>333</v>
      </c>
      <c r="IF20" s="1" t="s">
        <v>330</v>
      </c>
      <c r="IG20" s="1" t="s">
        <v>331</v>
      </c>
      <c r="IH20" s="1" t="s">
        <v>330</v>
      </c>
      <c r="II20" s="1" t="s">
        <v>331</v>
      </c>
      <c r="IJ20" s="1" t="s">
        <v>330</v>
      </c>
      <c r="IK20" s="1" t="s">
        <v>333</v>
      </c>
      <c r="IL20" s="1" t="s">
        <v>333</v>
      </c>
      <c r="IM20" s="1" t="s">
        <v>331</v>
      </c>
      <c r="IN20" s="1" t="s">
        <v>333</v>
      </c>
      <c r="IO20" s="1" t="s">
        <v>331</v>
      </c>
      <c r="IP20" s="1" t="s">
        <v>330</v>
      </c>
      <c r="IQ20" s="1" t="s">
        <v>333</v>
      </c>
      <c r="IR20" s="1" t="s">
        <v>330</v>
      </c>
      <c r="IS20" s="1" t="s">
        <v>330</v>
      </c>
      <c r="IT20" s="1" t="s">
        <v>330</v>
      </c>
      <c r="IU20" s="1" t="s">
        <v>333</v>
      </c>
      <c r="IV20" s="1" t="s">
        <v>331</v>
      </c>
      <c r="IW20" s="1" t="s">
        <v>333</v>
      </c>
      <c r="IX20" s="1" t="s">
        <v>333</v>
      </c>
      <c r="IY20" s="1" t="s">
        <v>333</v>
      </c>
      <c r="IZ20" s="1" t="s">
        <v>330</v>
      </c>
      <c r="JA20" s="1" t="s">
        <v>330</v>
      </c>
      <c r="JB20" s="1" t="s">
        <v>330</v>
      </c>
      <c r="JC20" s="1" t="s">
        <v>333</v>
      </c>
      <c r="JD20" s="1" t="s">
        <v>333</v>
      </c>
      <c r="JE20" s="1" t="s">
        <v>331</v>
      </c>
      <c r="JF20" s="1" t="s">
        <v>332</v>
      </c>
      <c r="JG20" s="1" t="s">
        <v>331</v>
      </c>
      <c r="JH20" s="1" t="s">
        <v>332</v>
      </c>
      <c r="JI20" s="1" t="s">
        <v>330</v>
      </c>
      <c r="JJ20" s="1" t="s">
        <v>332</v>
      </c>
      <c r="JK20" s="1" t="s">
        <v>333</v>
      </c>
      <c r="JL20" s="1" t="s">
        <v>333</v>
      </c>
      <c r="JM20" s="1" t="s">
        <v>330</v>
      </c>
      <c r="JN20" s="1" t="s">
        <v>331</v>
      </c>
      <c r="JO20" s="1" t="s">
        <v>333</v>
      </c>
      <c r="JP20" s="1" t="s">
        <v>331</v>
      </c>
      <c r="JQ20" s="1" t="s">
        <v>330</v>
      </c>
      <c r="JR20" s="1" t="s">
        <v>333</v>
      </c>
      <c r="JS20" s="1" t="s">
        <v>333</v>
      </c>
      <c r="JT20" s="1" t="s">
        <v>331</v>
      </c>
    </row>
    <row r="21" spans="1:280" x14ac:dyDescent="0.35">
      <c r="A21" s="1" t="s">
        <v>1734</v>
      </c>
      <c r="D21" s="1" t="s">
        <v>1758</v>
      </c>
      <c r="E21" s="1">
        <v>5810</v>
      </c>
      <c r="G21" s="1" t="s">
        <v>1709</v>
      </c>
      <c r="H21" s="1" t="s">
        <v>312</v>
      </c>
      <c r="I21" s="1" t="s">
        <v>1710</v>
      </c>
      <c r="J21" s="1" t="s">
        <v>1731</v>
      </c>
      <c r="K21" s="1" t="s">
        <v>1736</v>
      </c>
      <c r="M21" s="1">
        <v>1</v>
      </c>
      <c r="N21" s="1">
        <v>0</v>
      </c>
      <c r="O21" s="1">
        <v>0</v>
      </c>
      <c r="P21" s="1">
        <v>1</v>
      </c>
      <c r="Q21" s="1">
        <v>0</v>
      </c>
      <c r="R21" s="1">
        <v>0</v>
      </c>
      <c r="S21" s="1">
        <v>0</v>
      </c>
      <c r="T21" s="1">
        <v>1</v>
      </c>
      <c r="U21" s="1">
        <v>0</v>
      </c>
      <c r="V21" s="1">
        <v>0</v>
      </c>
      <c r="W21" s="1">
        <v>1</v>
      </c>
      <c r="X21" s="1">
        <v>0</v>
      </c>
      <c r="Y21" s="1">
        <v>1</v>
      </c>
      <c r="Z21" s="1">
        <v>0</v>
      </c>
      <c r="AA21" s="1">
        <v>1</v>
      </c>
      <c r="AB21" s="1">
        <v>0</v>
      </c>
      <c r="AC21" s="1">
        <v>1</v>
      </c>
      <c r="AD21" s="1">
        <v>1</v>
      </c>
      <c r="AE21" s="1">
        <v>0</v>
      </c>
      <c r="AF21" s="1">
        <v>1</v>
      </c>
      <c r="AG21" s="1">
        <v>0</v>
      </c>
      <c r="AH21" s="1">
        <v>0</v>
      </c>
      <c r="AI21" s="1">
        <v>1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1</v>
      </c>
      <c r="AP21" s="1">
        <v>0</v>
      </c>
      <c r="AQ21" s="1">
        <v>0</v>
      </c>
      <c r="AR21" s="1">
        <v>0</v>
      </c>
      <c r="AS21" s="1">
        <v>0</v>
      </c>
      <c r="AT21" s="1">
        <v>1</v>
      </c>
      <c r="AU21" s="1">
        <v>0</v>
      </c>
      <c r="AV21" s="1">
        <v>1</v>
      </c>
      <c r="AW21" s="1">
        <v>0</v>
      </c>
      <c r="AX21" s="1">
        <v>1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1</v>
      </c>
      <c r="BN21" s="1">
        <v>1</v>
      </c>
      <c r="BO21" s="1">
        <v>0</v>
      </c>
      <c r="BP21" s="1">
        <v>0</v>
      </c>
      <c r="BQ21" s="1">
        <v>1</v>
      </c>
      <c r="BR21" s="1">
        <v>1</v>
      </c>
      <c r="BS21" s="1">
        <v>1</v>
      </c>
      <c r="BT21" s="1">
        <v>0</v>
      </c>
      <c r="BU21" s="1">
        <v>1</v>
      </c>
      <c r="BV21" s="1">
        <v>0</v>
      </c>
      <c r="BW21" s="1">
        <v>0</v>
      </c>
      <c r="BX21" s="1">
        <v>0</v>
      </c>
      <c r="BY21" s="1">
        <v>0</v>
      </c>
      <c r="BZ21" s="1">
        <v>1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1</v>
      </c>
      <c r="CM21" s="1">
        <v>1</v>
      </c>
      <c r="CN21" s="1">
        <v>0</v>
      </c>
      <c r="CO21" s="1">
        <v>1</v>
      </c>
      <c r="CP21" s="1">
        <v>0</v>
      </c>
      <c r="CQ21" s="1">
        <v>0</v>
      </c>
      <c r="CR21" s="1">
        <v>0</v>
      </c>
      <c r="CS21" s="1">
        <v>1</v>
      </c>
      <c r="CT21" s="1">
        <v>1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1</v>
      </c>
      <c r="DE21" s="1">
        <v>1</v>
      </c>
      <c r="DF21" s="1">
        <v>0</v>
      </c>
      <c r="DG21" s="1">
        <v>1</v>
      </c>
      <c r="DH21" s="1">
        <v>0</v>
      </c>
      <c r="DI21" s="1">
        <v>0</v>
      </c>
      <c r="DJ21" s="1">
        <v>1</v>
      </c>
      <c r="DK21" s="1">
        <v>0</v>
      </c>
      <c r="DL21" s="1">
        <v>0</v>
      </c>
      <c r="DM21" s="1">
        <v>1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1</v>
      </c>
      <c r="DV21" s="1">
        <v>1</v>
      </c>
      <c r="DW21" s="1">
        <v>1</v>
      </c>
      <c r="DX21" s="1">
        <v>0</v>
      </c>
      <c r="DY21" s="1">
        <v>0</v>
      </c>
      <c r="DZ21" s="1">
        <v>1</v>
      </c>
      <c r="EA21" s="1">
        <v>1</v>
      </c>
      <c r="EB21" s="1">
        <v>0</v>
      </c>
      <c r="EC21" s="1">
        <v>0</v>
      </c>
      <c r="ED21" s="1">
        <v>1</v>
      </c>
      <c r="EE21" s="1">
        <v>0</v>
      </c>
      <c r="EF21" s="1">
        <v>0</v>
      </c>
      <c r="EG21" s="1">
        <v>0</v>
      </c>
      <c r="EH21" s="1">
        <v>1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 t="s">
        <v>330</v>
      </c>
      <c r="ER21" s="1" t="s">
        <v>333</v>
      </c>
      <c r="ES21" s="1" t="s">
        <v>330</v>
      </c>
      <c r="ET21" s="1" t="s">
        <v>331</v>
      </c>
      <c r="EU21" s="1" t="s">
        <v>333</v>
      </c>
      <c r="EV21" s="1" t="s">
        <v>331</v>
      </c>
      <c r="EW21" s="1" t="s">
        <v>333</v>
      </c>
      <c r="EX21" s="1" t="s">
        <v>331</v>
      </c>
      <c r="EY21" s="1" t="s">
        <v>333</v>
      </c>
      <c r="EZ21" s="1" t="s">
        <v>331</v>
      </c>
      <c r="FA21" s="1" t="s">
        <v>332</v>
      </c>
      <c r="FB21" s="1" t="s">
        <v>332</v>
      </c>
      <c r="FC21" s="1" t="s">
        <v>332</v>
      </c>
      <c r="FD21" s="1" t="s">
        <v>333</v>
      </c>
      <c r="FE21" s="1" t="s">
        <v>331</v>
      </c>
      <c r="FF21" s="1" t="s">
        <v>331</v>
      </c>
      <c r="FG21" s="1" t="s">
        <v>331</v>
      </c>
      <c r="FH21" s="1" t="s">
        <v>333</v>
      </c>
      <c r="FI21" s="1" t="s">
        <v>331</v>
      </c>
      <c r="FJ21" s="1" t="s">
        <v>330</v>
      </c>
      <c r="FK21" s="1" t="s">
        <v>332</v>
      </c>
      <c r="FL21" s="1" t="s">
        <v>332</v>
      </c>
      <c r="FM21" s="1" t="s">
        <v>333</v>
      </c>
      <c r="FN21" s="1" t="s">
        <v>333</v>
      </c>
      <c r="FO21" s="1" t="s">
        <v>332</v>
      </c>
      <c r="FP21" s="1" t="s">
        <v>331</v>
      </c>
      <c r="FQ21" s="1" t="s">
        <v>333</v>
      </c>
      <c r="FR21" s="1" t="s">
        <v>331</v>
      </c>
      <c r="FS21" s="1" t="s">
        <v>331</v>
      </c>
      <c r="FT21" s="1" t="s">
        <v>332</v>
      </c>
      <c r="FU21" s="1" t="s">
        <v>332</v>
      </c>
      <c r="FV21" s="1" t="s">
        <v>333</v>
      </c>
      <c r="FW21" s="1" t="s">
        <v>332</v>
      </c>
      <c r="FX21" s="1" t="s">
        <v>331</v>
      </c>
      <c r="FY21" s="1" t="s">
        <v>330</v>
      </c>
      <c r="FZ21" s="1" t="s">
        <v>331</v>
      </c>
      <c r="GA21" s="1" t="s">
        <v>331</v>
      </c>
      <c r="GB21" s="1" t="s">
        <v>331</v>
      </c>
      <c r="GC21" s="1" t="s">
        <v>330</v>
      </c>
      <c r="GD21" s="1" t="s">
        <v>331</v>
      </c>
      <c r="GE21" s="1" t="s">
        <v>330</v>
      </c>
      <c r="GF21" s="1" t="s">
        <v>333</v>
      </c>
      <c r="GG21" s="1" t="s">
        <v>333</v>
      </c>
      <c r="GH21" s="1" t="s">
        <v>333</v>
      </c>
      <c r="GI21" s="1" t="s">
        <v>332</v>
      </c>
      <c r="GJ21" s="1" t="s">
        <v>330</v>
      </c>
      <c r="GK21" s="1" t="s">
        <v>333</v>
      </c>
      <c r="GL21" s="1" t="s">
        <v>330</v>
      </c>
      <c r="GM21" s="1" t="s">
        <v>333</v>
      </c>
      <c r="GN21" s="1" t="s">
        <v>330</v>
      </c>
      <c r="GO21" s="1" t="s">
        <v>331</v>
      </c>
      <c r="GP21" s="1" t="s">
        <v>331</v>
      </c>
      <c r="GQ21" s="1" t="s">
        <v>331</v>
      </c>
      <c r="GR21" s="1" t="s">
        <v>333</v>
      </c>
      <c r="GS21" s="1" t="s">
        <v>332</v>
      </c>
      <c r="GT21" s="1" t="s">
        <v>333</v>
      </c>
      <c r="GU21" s="1" t="s">
        <v>333</v>
      </c>
      <c r="GV21" s="1" t="s">
        <v>333</v>
      </c>
      <c r="GW21" s="1" t="s">
        <v>331</v>
      </c>
      <c r="GX21" s="1" t="s">
        <v>333</v>
      </c>
      <c r="GY21" s="1" t="s">
        <v>330</v>
      </c>
      <c r="GZ21" s="1" t="s">
        <v>330</v>
      </c>
      <c r="HA21" s="1" t="s">
        <v>333</v>
      </c>
      <c r="HB21" s="1" t="s">
        <v>332</v>
      </c>
      <c r="HC21" s="1" t="s">
        <v>333</v>
      </c>
      <c r="HD21" s="1" t="s">
        <v>332</v>
      </c>
      <c r="HE21" s="1" t="s">
        <v>331</v>
      </c>
      <c r="HF21" s="1" t="s">
        <v>330</v>
      </c>
      <c r="HG21" s="1" t="s">
        <v>332</v>
      </c>
      <c r="HH21" s="1" t="s">
        <v>330</v>
      </c>
      <c r="HI21" s="1" t="s">
        <v>332</v>
      </c>
      <c r="HJ21" s="1" t="s">
        <v>330</v>
      </c>
      <c r="HK21" s="1" t="s">
        <v>330</v>
      </c>
      <c r="HL21" s="1" t="s">
        <v>333</v>
      </c>
      <c r="HM21" s="1" t="s">
        <v>332</v>
      </c>
      <c r="HN21" s="1" t="s">
        <v>331</v>
      </c>
      <c r="HO21" s="1" t="s">
        <v>332</v>
      </c>
      <c r="HP21" s="1" t="s">
        <v>331</v>
      </c>
      <c r="HQ21" s="1" t="s">
        <v>333</v>
      </c>
      <c r="HR21" s="1" t="s">
        <v>330</v>
      </c>
      <c r="HS21" s="1" t="s">
        <v>330</v>
      </c>
      <c r="HT21" s="1" t="s">
        <v>335</v>
      </c>
      <c r="HU21" s="1" t="s">
        <v>331</v>
      </c>
      <c r="HV21" s="1" t="s">
        <v>333</v>
      </c>
      <c r="HW21" s="1" t="s">
        <v>333</v>
      </c>
      <c r="HX21" s="1" t="s">
        <v>330</v>
      </c>
      <c r="HY21" s="1" t="s">
        <v>331</v>
      </c>
      <c r="HZ21" s="1" t="s">
        <v>333</v>
      </c>
      <c r="IA21" s="1" t="s">
        <v>330</v>
      </c>
      <c r="IB21" s="1" t="s">
        <v>333</v>
      </c>
      <c r="IC21" s="1" t="s">
        <v>331</v>
      </c>
      <c r="ID21" s="1" t="s">
        <v>333</v>
      </c>
      <c r="IE21" s="1" t="s">
        <v>330</v>
      </c>
      <c r="IF21" s="1" t="s">
        <v>330</v>
      </c>
      <c r="IG21" s="1" t="s">
        <v>331</v>
      </c>
      <c r="IH21" s="1" t="s">
        <v>330</v>
      </c>
      <c r="II21" s="1" t="s">
        <v>333</v>
      </c>
      <c r="IJ21" s="1" t="s">
        <v>330</v>
      </c>
      <c r="IK21" s="1" t="s">
        <v>331</v>
      </c>
      <c r="IL21" s="1" t="s">
        <v>333</v>
      </c>
      <c r="IM21" s="1" t="s">
        <v>330</v>
      </c>
      <c r="IN21" s="1" t="s">
        <v>331</v>
      </c>
      <c r="IO21" s="1" t="s">
        <v>330</v>
      </c>
      <c r="IP21" s="1" t="s">
        <v>333</v>
      </c>
      <c r="IQ21" s="1" t="s">
        <v>331</v>
      </c>
      <c r="IR21" s="1" t="s">
        <v>330</v>
      </c>
      <c r="IS21" s="1" t="s">
        <v>331</v>
      </c>
      <c r="IT21" s="1" t="s">
        <v>330</v>
      </c>
      <c r="IU21" s="1" t="s">
        <v>333</v>
      </c>
      <c r="IV21" s="1" t="s">
        <v>330</v>
      </c>
      <c r="IW21" s="1" t="s">
        <v>331</v>
      </c>
      <c r="IX21" s="1" t="s">
        <v>333</v>
      </c>
      <c r="IY21" s="1" t="s">
        <v>331</v>
      </c>
      <c r="IZ21" s="1" t="s">
        <v>330</v>
      </c>
      <c r="JA21" s="1" t="s">
        <v>331</v>
      </c>
      <c r="JB21" s="1" t="s">
        <v>333</v>
      </c>
      <c r="JC21" s="1" t="s">
        <v>331</v>
      </c>
      <c r="JD21" s="1" t="s">
        <v>330</v>
      </c>
      <c r="JE21" s="1" t="s">
        <v>333</v>
      </c>
      <c r="JF21" s="1" t="s">
        <v>332</v>
      </c>
      <c r="JG21" s="1" t="s">
        <v>330</v>
      </c>
      <c r="JH21" s="1" t="s">
        <v>331</v>
      </c>
      <c r="JI21" s="1" t="s">
        <v>333</v>
      </c>
      <c r="JJ21" s="1" t="s">
        <v>332</v>
      </c>
      <c r="JK21" s="1" t="s">
        <v>330</v>
      </c>
      <c r="JL21" s="1" t="s">
        <v>333</v>
      </c>
      <c r="JM21" s="1" t="s">
        <v>331</v>
      </c>
      <c r="JN21" s="1" t="s">
        <v>333</v>
      </c>
      <c r="JO21" s="1" t="s">
        <v>332</v>
      </c>
      <c r="JP21" s="1" t="s">
        <v>330</v>
      </c>
      <c r="JQ21" s="1" t="s">
        <v>331</v>
      </c>
      <c r="JR21" s="1" t="s">
        <v>333</v>
      </c>
      <c r="JS21" s="1" t="s">
        <v>332</v>
      </c>
      <c r="JT21" s="1" t="s">
        <v>333</v>
      </c>
    </row>
    <row r="22" spans="1:280" x14ac:dyDescent="0.35">
      <c r="A22" s="1" t="s">
        <v>1734</v>
      </c>
      <c r="D22" s="1" t="s">
        <v>1759</v>
      </c>
      <c r="E22" s="1">
        <v>5811</v>
      </c>
      <c r="G22" s="1" t="s">
        <v>1698</v>
      </c>
      <c r="H22" s="1" t="s">
        <v>312</v>
      </c>
      <c r="I22" s="1" t="s">
        <v>1737</v>
      </c>
      <c r="J22" s="1" t="s">
        <v>1731</v>
      </c>
      <c r="K22" s="1" t="s">
        <v>1736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1</v>
      </c>
      <c r="X22" s="1">
        <v>0</v>
      </c>
      <c r="Y22" s="1">
        <v>1</v>
      </c>
      <c r="Z22" s="1">
        <v>0</v>
      </c>
      <c r="AA22" s="1">
        <v>1</v>
      </c>
      <c r="AB22" s="1">
        <v>1</v>
      </c>
      <c r="AC22" s="1">
        <v>0</v>
      </c>
      <c r="AD22" s="1">
        <v>0</v>
      </c>
      <c r="AE22" s="1">
        <v>0</v>
      </c>
      <c r="AF22" s="1">
        <v>0</v>
      </c>
      <c r="AG22" s="1">
        <v>1</v>
      </c>
      <c r="AH22" s="1">
        <v>1</v>
      </c>
      <c r="AI22" s="1">
        <v>1</v>
      </c>
      <c r="AJ22" s="1">
        <v>0</v>
      </c>
      <c r="AK22" s="1">
        <v>0</v>
      </c>
      <c r="AL22" s="1">
        <v>0</v>
      </c>
      <c r="AM22" s="1">
        <v>1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1</v>
      </c>
      <c r="AU22" s="1">
        <v>0</v>
      </c>
      <c r="AV22" s="1">
        <v>0</v>
      </c>
      <c r="AW22" s="1">
        <v>0</v>
      </c>
      <c r="AX22" s="1">
        <v>1</v>
      </c>
      <c r="AY22" s="1">
        <v>1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1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1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1</v>
      </c>
      <c r="BZ22" s="1">
        <v>0</v>
      </c>
      <c r="CA22" s="1">
        <v>0</v>
      </c>
      <c r="CB22" s="1">
        <v>1</v>
      </c>
      <c r="CC22" s="1">
        <v>0</v>
      </c>
      <c r="CD22" s="1">
        <v>1</v>
      </c>
      <c r="CE22" s="1">
        <v>0</v>
      </c>
      <c r="CF22" s="1">
        <v>1</v>
      </c>
      <c r="CG22" s="1">
        <v>0</v>
      </c>
      <c r="CH22" s="1">
        <v>1</v>
      </c>
      <c r="CI22" s="1">
        <v>0</v>
      </c>
      <c r="CJ22" s="1">
        <v>0</v>
      </c>
      <c r="CK22" s="1">
        <v>0</v>
      </c>
      <c r="CL22" s="1">
        <v>1</v>
      </c>
      <c r="CM22" s="1">
        <v>0</v>
      </c>
      <c r="CN22" s="1">
        <v>1</v>
      </c>
      <c r="CO22" s="1">
        <v>0</v>
      </c>
      <c r="CP22" s="1">
        <v>0</v>
      </c>
      <c r="CQ22" s="1">
        <v>0</v>
      </c>
      <c r="CR22" s="1">
        <v>0</v>
      </c>
      <c r="CS22" s="1">
        <v>1</v>
      </c>
      <c r="CT22" s="1">
        <v>1</v>
      </c>
      <c r="CU22" s="1">
        <v>0</v>
      </c>
      <c r="CV22" s="1">
        <v>0</v>
      </c>
      <c r="CW22" s="1">
        <v>1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1</v>
      </c>
      <c r="DJ22" s="1">
        <v>0</v>
      </c>
      <c r="DK22" s="1">
        <v>1</v>
      </c>
      <c r="DL22" s="1">
        <v>0</v>
      </c>
      <c r="DM22" s="1">
        <v>0</v>
      </c>
      <c r="DN22" s="1">
        <v>0</v>
      </c>
      <c r="DO22" s="1">
        <v>1</v>
      </c>
      <c r="DP22" s="1">
        <v>1</v>
      </c>
      <c r="DQ22" s="1">
        <v>0</v>
      </c>
      <c r="DR22" s="1">
        <v>0</v>
      </c>
      <c r="DS22" s="1">
        <v>1</v>
      </c>
      <c r="DT22" s="1">
        <v>1</v>
      </c>
      <c r="DU22" s="1">
        <v>0</v>
      </c>
      <c r="DV22" s="1">
        <v>0</v>
      </c>
      <c r="DW22" s="1">
        <v>1</v>
      </c>
      <c r="DX22" s="1">
        <v>0</v>
      </c>
      <c r="DY22" s="1">
        <v>0</v>
      </c>
      <c r="DZ22" s="1">
        <v>0</v>
      </c>
      <c r="EA22" s="1">
        <v>1</v>
      </c>
      <c r="EB22" s="1">
        <v>0</v>
      </c>
      <c r="EC22" s="1">
        <v>0</v>
      </c>
      <c r="ED22" s="1">
        <v>0</v>
      </c>
      <c r="EE22" s="1">
        <v>1</v>
      </c>
      <c r="EF22" s="1">
        <v>0</v>
      </c>
      <c r="EG22" s="1">
        <v>1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 t="s">
        <v>332</v>
      </c>
      <c r="ER22" s="1" t="s">
        <v>333</v>
      </c>
      <c r="ES22" s="1" t="s">
        <v>331</v>
      </c>
      <c r="ET22" s="1" t="s">
        <v>332</v>
      </c>
      <c r="EU22" s="1" t="s">
        <v>330</v>
      </c>
      <c r="EV22" s="1" t="s">
        <v>333</v>
      </c>
      <c r="EW22" s="1" t="s">
        <v>331</v>
      </c>
      <c r="EX22" s="1" t="s">
        <v>333</v>
      </c>
      <c r="EY22" s="1" t="s">
        <v>330</v>
      </c>
      <c r="EZ22" s="1" t="s">
        <v>331</v>
      </c>
      <c r="FA22" s="1" t="s">
        <v>332</v>
      </c>
      <c r="FB22" s="1" t="s">
        <v>331</v>
      </c>
      <c r="FC22" s="1" t="s">
        <v>332</v>
      </c>
      <c r="FD22" s="1" t="s">
        <v>333</v>
      </c>
      <c r="FE22" s="1" t="s">
        <v>331</v>
      </c>
      <c r="FF22" s="1" t="s">
        <v>333</v>
      </c>
      <c r="FG22" s="1" t="s">
        <v>332</v>
      </c>
      <c r="FH22" s="1" t="s">
        <v>330</v>
      </c>
      <c r="FI22" s="1" t="s">
        <v>333</v>
      </c>
      <c r="FJ22" s="1" t="s">
        <v>331</v>
      </c>
      <c r="FK22" s="1" t="s">
        <v>331</v>
      </c>
      <c r="FL22" s="1" t="s">
        <v>333</v>
      </c>
      <c r="FM22" s="1" t="s">
        <v>333</v>
      </c>
      <c r="FN22" s="1" t="s">
        <v>330</v>
      </c>
      <c r="FO22" s="1" t="s">
        <v>330</v>
      </c>
      <c r="FP22" s="1" t="s">
        <v>331</v>
      </c>
      <c r="FQ22" s="1" t="s">
        <v>330</v>
      </c>
      <c r="FR22" s="1" t="s">
        <v>331</v>
      </c>
      <c r="FS22" s="1" t="s">
        <v>332</v>
      </c>
      <c r="FT22" s="1" t="s">
        <v>332</v>
      </c>
      <c r="FU22" s="1" t="s">
        <v>332</v>
      </c>
      <c r="FV22" s="1" t="s">
        <v>332</v>
      </c>
      <c r="FW22" s="1" t="s">
        <v>333</v>
      </c>
      <c r="FX22" s="1" t="s">
        <v>331</v>
      </c>
      <c r="FY22" s="1" t="s">
        <v>332</v>
      </c>
      <c r="FZ22" s="1" t="s">
        <v>333</v>
      </c>
      <c r="GA22" s="1" t="s">
        <v>330</v>
      </c>
      <c r="GB22" s="1" t="s">
        <v>331</v>
      </c>
      <c r="GC22" s="1" t="s">
        <v>331</v>
      </c>
      <c r="GD22" s="1" t="s">
        <v>333</v>
      </c>
      <c r="GE22" s="1" t="s">
        <v>330</v>
      </c>
      <c r="GF22" s="1" t="s">
        <v>332</v>
      </c>
      <c r="GG22" s="1" t="s">
        <v>331</v>
      </c>
      <c r="GH22" s="1" t="s">
        <v>333</v>
      </c>
      <c r="GI22" s="1" t="s">
        <v>331</v>
      </c>
      <c r="GJ22" s="1" t="s">
        <v>332</v>
      </c>
      <c r="GK22" s="1" t="s">
        <v>333</v>
      </c>
      <c r="GL22" s="1" t="s">
        <v>332</v>
      </c>
      <c r="GM22" s="1" t="s">
        <v>332</v>
      </c>
      <c r="GN22" s="1" t="s">
        <v>330</v>
      </c>
      <c r="GO22" s="1" t="s">
        <v>331</v>
      </c>
      <c r="GP22" s="1" t="s">
        <v>331</v>
      </c>
      <c r="GQ22" s="1" t="s">
        <v>332</v>
      </c>
      <c r="GR22" s="1" t="s">
        <v>333</v>
      </c>
      <c r="GS22" s="1" t="s">
        <v>330</v>
      </c>
      <c r="GT22" s="1" t="s">
        <v>330</v>
      </c>
      <c r="GU22" s="1" t="s">
        <v>330</v>
      </c>
      <c r="GV22" s="1" t="s">
        <v>331</v>
      </c>
      <c r="GW22" s="1" t="s">
        <v>330</v>
      </c>
      <c r="GX22" s="1" t="s">
        <v>333</v>
      </c>
      <c r="GY22" s="1" t="s">
        <v>333</v>
      </c>
      <c r="GZ22" s="1" t="s">
        <v>333</v>
      </c>
      <c r="HA22" s="1" t="s">
        <v>331</v>
      </c>
      <c r="HB22" s="1" t="s">
        <v>333</v>
      </c>
      <c r="HC22" s="1" t="s">
        <v>330</v>
      </c>
      <c r="HD22" s="1" t="s">
        <v>333</v>
      </c>
      <c r="HE22" s="1" t="s">
        <v>333</v>
      </c>
      <c r="HF22" s="1" t="s">
        <v>331</v>
      </c>
      <c r="HG22" s="1" t="s">
        <v>330</v>
      </c>
      <c r="HH22" s="1" t="s">
        <v>333</v>
      </c>
      <c r="HI22" s="1" t="s">
        <v>332</v>
      </c>
      <c r="HJ22" s="1" t="s">
        <v>333</v>
      </c>
      <c r="HK22" s="1" t="s">
        <v>331</v>
      </c>
      <c r="HL22" s="1" t="s">
        <v>330</v>
      </c>
      <c r="HM22" s="1" t="s">
        <v>333</v>
      </c>
      <c r="HN22" s="1" t="s">
        <v>331</v>
      </c>
      <c r="HO22" s="1" t="s">
        <v>330</v>
      </c>
      <c r="HP22" s="1" t="s">
        <v>331</v>
      </c>
      <c r="HQ22" s="1" t="s">
        <v>330</v>
      </c>
      <c r="HR22" s="1" t="s">
        <v>333</v>
      </c>
      <c r="HS22" s="1" t="s">
        <v>335</v>
      </c>
      <c r="HT22" s="1" t="s">
        <v>337</v>
      </c>
      <c r="HU22" s="1" t="s">
        <v>333</v>
      </c>
      <c r="HV22" s="1" t="s">
        <v>332</v>
      </c>
      <c r="HW22" s="1" t="s">
        <v>333</v>
      </c>
      <c r="HX22" s="1" t="s">
        <v>330</v>
      </c>
      <c r="HY22" s="1" t="s">
        <v>331</v>
      </c>
      <c r="HZ22" s="1" t="s">
        <v>333</v>
      </c>
      <c r="IA22" s="1" t="s">
        <v>333</v>
      </c>
      <c r="IB22" s="1" t="s">
        <v>330</v>
      </c>
      <c r="IC22" s="1" t="s">
        <v>330</v>
      </c>
      <c r="ID22" s="1" t="s">
        <v>333</v>
      </c>
      <c r="IE22" s="1" t="s">
        <v>333</v>
      </c>
      <c r="IF22" s="1" t="s">
        <v>331</v>
      </c>
      <c r="IG22" s="1" t="s">
        <v>331</v>
      </c>
      <c r="IH22" s="1" t="s">
        <v>331</v>
      </c>
      <c r="II22" s="1" t="s">
        <v>331</v>
      </c>
      <c r="IJ22" s="1" t="s">
        <v>333</v>
      </c>
      <c r="IK22" s="1" t="s">
        <v>330</v>
      </c>
      <c r="IL22" s="1" t="s">
        <v>330</v>
      </c>
      <c r="IM22" s="1" t="s">
        <v>333</v>
      </c>
      <c r="IN22" s="1" t="s">
        <v>330</v>
      </c>
      <c r="IO22" s="1" t="s">
        <v>333</v>
      </c>
      <c r="IP22" s="1" t="s">
        <v>331</v>
      </c>
      <c r="IQ22" s="1" t="s">
        <v>333</v>
      </c>
      <c r="IR22" s="1" t="s">
        <v>330</v>
      </c>
      <c r="IS22" s="1" t="s">
        <v>333</v>
      </c>
      <c r="IT22" s="1" t="s">
        <v>333</v>
      </c>
      <c r="IU22" s="1" t="s">
        <v>333</v>
      </c>
      <c r="IV22" s="1" t="s">
        <v>330</v>
      </c>
      <c r="IW22" s="1" t="s">
        <v>333</v>
      </c>
      <c r="IX22" s="1" t="s">
        <v>331</v>
      </c>
      <c r="IY22" s="1" t="s">
        <v>330</v>
      </c>
      <c r="IZ22" s="1" t="s">
        <v>333</v>
      </c>
      <c r="JA22" s="1" t="s">
        <v>331</v>
      </c>
      <c r="JB22" s="1" t="s">
        <v>333</v>
      </c>
      <c r="JC22" s="1" t="s">
        <v>331</v>
      </c>
      <c r="JD22" s="1" t="s">
        <v>333</v>
      </c>
      <c r="JE22" s="1" t="s">
        <v>333</v>
      </c>
      <c r="JF22" s="1" t="s">
        <v>331</v>
      </c>
      <c r="JG22" s="1" t="s">
        <v>330</v>
      </c>
      <c r="JH22" s="1" t="s">
        <v>332</v>
      </c>
      <c r="JI22" s="1" t="s">
        <v>331</v>
      </c>
      <c r="JJ22" s="1" t="s">
        <v>332</v>
      </c>
      <c r="JK22" s="1" t="s">
        <v>333</v>
      </c>
      <c r="JL22" s="1" t="s">
        <v>331</v>
      </c>
      <c r="JM22" s="1" t="s">
        <v>333</v>
      </c>
      <c r="JN22" s="1" t="s">
        <v>331</v>
      </c>
      <c r="JO22" s="1" t="s">
        <v>330</v>
      </c>
      <c r="JP22" s="1" t="s">
        <v>333</v>
      </c>
      <c r="JQ22" s="1" t="s">
        <v>333</v>
      </c>
      <c r="JR22" s="1" t="s">
        <v>331</v>
      </c>
      <c r="JS22" s="1" t="s">
        <v>332</v>
      </c>
      <c r="JT22" s="1" t="s">
        <v>331</v>
      </c>
    </row>
    <row r="23" spans="1:280" x14ac:dyDescent="0.35">
      <c r="A23" s="1" t="s">
        <v>1734</v>
      </c>
      <c r="D23" s="1" t="s">
        <v>1760</v>
      </c>
      <c r="E23" s="1">
        <v>5812</v>
      </c>
      <c r="G23" s="1" t="s">
        <v>1685</v>
      </c>
      <c r="H23" s="1" t="s">
        <v>312</v>
      </c>
      <c r="I23" s="1" t="s">
        <v>1704</v>
      </c>
      <c r="J23" s="1" t="s">
        <v>1731</v>
      </c>
      <c r="K23" s="1" t="s">
        <v>1736</v>
      </c>
      <c r="M23" s="1">
        <v>0</v>
      </c>
      <c r="N23" s="1">
        <v>0</v>
      </c>
      <c r="O23" s="1">
        <v>0</v>
      </c>
      <c r="P23" s="1">
        <v>1</v>
      </c>
      <c r="Q23" s="1">
        <v>1</v>
      </c>
      <c r="R23" s="1">
        <v>1</v>
      </c>
      <c r="S23" s="1">
        <v>0</v>
      </c>
      <c r="T23" s="1">
        <v>1</v>
      </c>
      <c r="U23" s="1">
        <v>0</v>
      </c>
      <c r="V23" s="1">
        <v>1</v>
      </c>
      <c r="W23" s="1">
        <v>1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1</v>
      </c>
      <c r="AF23" s="1">
        <v>1</v>
      </c>
      <c r="AG23" s="1">
        <v>1</v>
      </c>
      <c r="AH23" s="1">
        <v>0</v>
      </c>
      <c r="AI23" s="1">
        <v>1</v>
      </c>
      <c r="AJ23" s="1">
        <v>1</v>
      </c>
      <c r="AK23" s="1">
        <v>0</v>
      </c>
      <c r="AL23" s="1">
        <v>1</v>
      </c>
      <c r="AM23" s="1">
        <v>1</v>
      </c>
      <c r="AN23" s="1">
        <v>0</v>
      </c>
      <c r="AO23" s="1">
        <v>0</v>
      </c>
      <c r="AP23" s="1">
        <v>1</v>
      </c>
      <c r="AQ23" s="1">
        <v>0</v>
      </c>
      <c r="AR23" s="1">
        <v>0</v>
      </c>
      <c r="AS23" s="1">
        <v>1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1</v>
      </c>
      <c r="AZ23" s="1">
        <v>1</v>
      </c>
      <c r="BA23" s="1">
        <v>0</v>
      </c>
      <c r="BB23" s="1">
        <v>1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1</v>
      </c>
      <c r="BP23" s="1">
        <v>0</v>
      </c>
      <c r="BQ23" s="1">
        <v>0</v>
      </c>
      <c r="BR23" s="1">
        <v>1</v>
      </c>
      <c r="BS23" s="1">
        <v>0</v>
      </c>
      <c r="BT23" s="1">
        <v>1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1</v>
      </c>
      <c r="CE23" s="1">
        <v>0</v>
      </c>
      <c r="CF23" s="1">
        <v>0</v>
      </c>
      <c r="CG23" s="1">
        <v>0</v>
      </c>
      <c r="CH23" s="1">
        <v>1</v>
      </c>
      <c r="CI23" s="1">
        <v>0</v>
      </c>
      <c r="CJ23" s="1">
        <v>1</v>
      </c>
      <c r="CK23" s="1">
        <v>1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1</v>
      </c>
      <c r="CT23" s="1">
        <v>1</v>
      </c>
      <c r="CU23" s="1">
        <v>1</v>
      </c>
      <c r="CV23" s="1">
        <v>0</v>
      </c>
      <c r="CW23" s="1">
        <v>0</v>
      </c>
      <c r="CX23" s="1">
        <v>1</v>
      </c>
      <c r="CY23" s="1">
        <v>0</v>
      </c>
      <c r="CZ23" s="1">
        <v>0</v>
      </c>
      <c r="DA23" s="1">
        <v>0</v>
      </c>
      <c r="DB23" s="1">
        <v>1</v>
      </c>
      <c r="DC23" s="1">
        <v>0</v>
      </c>
      <c r="DD23" s="1">
        <v>1</v>
      </c>
      <c r="DE23" s="1">
        <v>1</v>
      </c>
      <c r="DF23" s="1">
        <v>0</v>
      </c>
      <c r="DG23" s="1">
        <v>1</v>
      </c>
      <c r="DH23" s="1">
        <v>1</v>
      </c>
      <c r="DI23" s="1">
        <v>1</v>
      </c>
      <c r="DJ23" s="1">
        <v>0</v>
      </c>
      <c r="DK23" s="1">
        <v>1</v>
      </c>
      <c r="DL23" s="1">
        <v>0</v>
      </c>
      <c r="DM23" s="1">
        <v>0</v>
      </c>
      <c r="DN23" s="1">
        <v>0</v>
      </c>
      <c r="DO23" s="1">
        <v>0</v>
      </c>
      <c r="DP23" s="1">
        <v>1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1</v>
      </c>
      <c r="DW23" s="1">
        <v>0</v>
      </c>
      <c r="DX23" s="1">
        <v>1</v>
      </c>
      <c r="DY23" s="1">
        <v>0</v>
      </c>
      <c r="DZ23" s="1">
        <v>0</v>
      </c>
      <c r="EA23" s="1">
        <v>0</v>
      </c>
      <c r="EB23" s="1">
        <v>1</v>
      </c>
      <c r="EC23" s="1">
        <v>0</v>
      </c>
      <c r="ED23" s="1">
        <v>0</v>
      </c>
      <c r="EE23" s="1">
        <v>1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1</v>
      </c>
      <c r="EO23" s="1">
        <v>0</v>
      </c>
      <c r="EP23" s="1">
        <v>0</v>
      </c>
      <c r="EQ23" s="1" t="s">
        <v>331</v>
      </c>
      <c r="ER23" s="1" t="s">
        <v>333</v>
      </c>
      <c r="ES23" s="1" t="s">
        <v>330</v>
      </c>
      <c r="ET23" s="1" t="s">
        <v>331</v>
      </c>
      <c r="EU23" s="1" t="s">
        <v>332</v>
      </c>
      <c r="EV23" s="1" t="s">
        <v>330</v>
      </c>
      <c r="EW23" s="1" t="s">
        <v>330</v>
      </c>
      <c r="EX23" s="1" t="s">
        <v>331</v>
      </c>
      <c r="EY23" s="1" t="s">
        <v>330</v>
      </c>
      <c r="EZ23" s="1" t="s">
        <v>330</v>
      </c>
      <c r="FA23" s="1" t="s">
        <v>332</v>
      </c>
      <c r="FB23" s="1" t="s">
        <v>332</v>
      </c>
      <c r="FC23" s="1" t="s">
        <v>333</v>
      </c>
      <c r="FD23" s="1" t="s">
        <v>333</v>
      </c>
      <c r="FE23" s="1" t="s">
        <v>333</v>
      </c>
      <c r="FF23" s="1" t="s">
        <v>331</v>
      </c>
      <c r="FG23" s="1" t="s">
        <v>333</v>
      </c>
      <c r="FH23" s="1" t="s">
        <v>330</v>
      </c>
      <c r="FI23" s="1" t="s">
        <v>330</v>
      </c>
      <c r="FJ23" s="1" t="s">
        <v>330</v>
      </c>
      <c r="FK23" s="1" t="s">
        <v>331</v>
      </c>
      <c r="FL23" s="1" t="s">
        <v>332</v>
      </c>
      <c r="FM23" s="1" t="s">
        <v>333</v>
      </c>
      <c r="FN23" s="1" t="s">
        <v>332</v>
      </c>
      <c r="FO23" s="1" t="s">
        <v>333</v>
      </c>
      <c r="FP23" s="1" t="s">
        <v>330</v>
      </c>
      <c r="FQ23" s="1" t="s">
        <v>330</v>
      </c>
      <c r="FR23" s="1" t="s">
        <v>331</v>
      </c>
      <c r="FS23" s="1" t="s">
        <v>333</v>
      </c>
      <c r="FT23" s="1" t="s">
        <v>333</v>
      </c>
      <c r="FU23" s="1" t="s">
        <v>332</v>
      </c>
      <c r="FV23" s="1" t="s">
        <v>333</v>
      </c>
      <c r="FW23" s="1" t="s">
        <v>331</v>
      </c>
      <c r="FX23" s="1" t="s">
        <v>332</v>
      </c>
      <c r="FY23" s="1" t="s">
        <v>330</v>
      </c>
      <c r="FZ23" s="1" t="s">
        <v>333</v>
      </c>
      <c r="GA23" s="1" t="s">
        <v>331</v>
      </c>
      <c r="GB23" s="1" t="s">
        <v>332</v>
      </c>
      <c r="GC23" s="1" t="s">
        <v>331</v>
      </c>
      <c r="GD23" s="1" t="s">
        <v>332</v>
      </c>
      <c r="GE23" s="1" t="s">
        <v>330</v>
      </c>
      <c r="GF23" s="1" t="s">
        <v>331</v>
      </c>
      <c r="GG23" s="1" t="s">
        <v>331</v>
      </c>
      <c r="GH23" s="1" t="s">
        <v>331</v>
      </c>
      <c r="GI23" s="1" t="s">
        <v>330</v>
      </c>
      <c r="GJ23" s="1" t="s">
        <v>330</v>
      </c>
      <c r="GK23" s="1" t="s">
        <v>331</v>
      </c>
      <c r="GL23" s="1" t="s">
        <v>332</v>
      </c>
      <c r="GM23" s="1" t="s">
        <v>333</v>
      </c>
      <c r="GN23" s="1" t="s">
        <v>330</v>
      </c>
      <c r="GO23" s="1" t="s">
        <v>331</v>
      </c>
      <c r="GP23" s="1" t="s">
        <v>331</v>
      </c>
      <c r="GQ23" s="1" t="s">
        <v>333</v>
      </c>
      <c r="GR23" s="1" t="s">
        <v>332</v>
      </c>
      <c r="GS23" s="1" t="s">
        <v>333</v>
      </c>
      <c r="GT23" s="1" t="s">
        <v>333</v>
      </c>
      <c r="GU23" s="1" t="s">
        <v>330</v>
      </c>
      <c r="GV23" s="1" t="s">
        <v>333</v>
      </c>
      <c r="GW23" s="1" t="s">
        <v>332</v>
      </c>
      <c r="GX23" s="1" t="s">
        <v>331</v>
      </c>
      <c r="GY23" s="1" t="s">
        <v>331</v>
      </c>
      <c r="GZ23" s="1" t="s">
        <v>333</v>
      </c>
      <c r="HA23" s="1" t="s">
        <v>331</v>
      </c>
      <c r="HB23" s="1" t="s">
        <v>330</v>
      </c>
      <c r="HC23" s="1" t="s">
        <v>331</v>
      </c>
      <c r="HD23" s="1" t="s">
        <v>330</v>
      </c>
      <c r="HE23" s="1" t="s">
        <v>331</v>
      </c>
      <c r="HF23" s="1" t="s">
        <v>333</v>
      </c>
      <c r="HG23" s="1" t="s">
        <v>330</v>
      </c>
      <c r="HH23" s="1" t="s">
        <v>333</v>
      </c>
      <c r="HI23" s="1" t="s">
        <v>331</v>
      </c>
      <c r="HJ23" s="1" t="s">
        <v>330</v>
      </c>
      <c r="HK23" s="1" t="s">
        <v>331</v>
      </c>
      <c r="HL23" s="1" t="s">
        <v>330</v>
      </c>
      <c r="HM23" s="1" t="s">
        <v>333</v>
      </c>
      <c r="HN23" s="1" t="s">
        <v>330</v>
      </c>
      <c r="HO23" s="1" t="s">
        <v>331</v>
      </c>
      <c r="HP23" s="1" t="s">
        <v>332</v>
      </c>
      <c r="HQ23" s="1" t="s">
        <v>330</v>
      </c>
      <c r="HR23" s="1" t="s">
        <v>331</v>
      </c>
      <c r="HS23" s="1" t="s">
        <v>333</v>
      </c>
      <c r="HT23" s="1" t="s">
        <v>337</v>
      </c>
      <c r="HU23" s="1" t="s">
        <v>332</v>
      </c>
      <c r="HV23" s="1" t="s">
        <v>335</v>
      </c>
      <c r="HW23" s="1" t="s">
        <v>333</v>
      </c>
      <c r="HX23" s="1" t="s">
        <v>330</v>
      </c>
      <c r="HY23" s="1" t="s">
        <v>333</v>
      </c>
      <c r="HZ23" s="1" t="s">
        <v>333</v>
      </c>
      <c r="IA23" s="1" t="s">
        <v>331</v>
      </c>
      <c r="IB23" s="1" t="s">
        <v>331</v>
      </c>
      <c r="IC23" s="1" t="s">
        <v>331</v>
      </c>
      <c r="ID23" s="1" t="s">
        <v>333</v>
      </c>
      <c r="IE23" s="1" t="s">
        <v>330</v>
      </c>
      <c r="IF23" s="1" t="s">
        <v>333</v>
      </c>
      <c r="IG23" s="1" t="s">
        <v>333</v>
      </c>
      <c r="IH23" s="1" t="s">
        <v>330</v>
      </c>
      <c r="II23" s="1" t="s">
        <v>333</v>
      </c>
      <c r="IJ23" s="1" t="s">
        <v>330</v>
      </c>
      <c r="IK23" s="1" t="s">
        <v>331</v>
      </c>
      <c r="IL23" s="1" t="s">
        <v>331</v>
      </c>
      <c r="IM23" s="1" t="s">
        <v>333</v>
      </c>
      <c r="IN23" s="1" t="s">
        <v>330</v>
      </c>
      <c r="IO23" s="1" t="s">
        <v>333</v>
      </c>
      <c r="IP23" s="1" t="s">
        <v>333</v>
      </c>
      <c r="IQ23" s="1" t="s">
        <v>333</v>
      </c>
      <c r="IR23" s="1" t="s">
        <v>330</v>
      </c>
      <c r="IS23" s="1" t="s">
        <v>331</v>
      </c>
      <c r="IT23" s="1" t="s">
        <v>333</v>
      </c>
      <c r="IU23" s="1" t="s">
        <v>331</v>
      </c>
      <c r="IV23" s="1" t="s">
        <v>333</v>
      </c>
      <c r="IW23" s="1" t="s">
        <v>331</v>
      </c>
      <c r="IX23" s="1" t="s">
        <v>330</v>
      </c>
      <c r="IY23" s="1" t="s">
        <v>333</v>
      </c>
      <c r="IZ23" s="1" t="s">
        <v>330</v>
      </c>
      <c r="JA23" s="1" t="s">
        <v>330</v>
      </c>
      <c r="JB23" s="1" t="s">
        <v>330</v>
      </c>
      <c r="JC23" s="1" t="s">
        <v>330</v>
      </c>
      <c r="JD23" s="1" t="s">
        <v>333</v>
      </c>
      <c r="JE23" s="1" t="s">
        <v>331</v>
      </c>
      <c r="JF23" s="1" t="s">
        <v>333</v>
      </c>
      <c r="JG23" s="1" t="s">
        <v>330</v>
      </c>
      <c r="JH23" s="1" t="s">
        <v>332</v>
      </c>
      <c r="JI23" s="1" t="s">
        <v>331</v>
      </c>
      <c r="JJ23" s="1" t="s">
        <v>333</v>
      </c>
      <c r="JK23" s="1" t="s">
        <v>331</v>
      </c>
      <c r="JL23" s="1" t="s">
        <v>331</v>
      </c>
      <c r="JM23" s="1" t="s">
        <v>332</v>
      </c>
      <c r="JN23" s="1" t="s">
        <v>333</v>
      </c>
      <c r="JO23" s="1" t="s">
        <v>332</v>
      </c>
      <c r="JP23" s="1" t="s">
        <v>330</v>
      </c>
      <c r="JQ23" s="1" t="s">
        <v>333</v>
      </c>
      <c r="JR23" s="1" t="s">
        <v>330</v>
      </c>
      <c r="JS23" s="1" t="s">
        <v>332</v>
      </c>
      <c r="JT23" s="1" t="s">
        <v>331</v>
      </c>
    </row>
    <row r="24" spans="1:280" x14ac:dyDescent="0.35">
      <c r="A24" s="1" t="s">
        <v>1734</v>
      </c>
      <c r="D24" s="1" t="s">
        <v>1761</v>
      </c>
      <c r="E24" s="1">
        <v>6201</v>
      </c>
      <c r="G24" s="1" t="s">
        <v>327</v>
      </c>
      <c r="H24" s="1" t="s">
        <v>312</v>
      </c>
      <c r="I24" s="1" t="s">
        <v>329</v>
      </c>
      <c r="J24" s="1" t="s">
        <v>1733</v>
      </c>
      <c r="K24" s="1" t="s">
        <v>1736</v>
      </c>
      <c r="M24" s="1">
        <v>1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1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1</v>
      </c>
      <c r="AE24" s="1">
        <v>0</v>
      </c>
      <c r="AF24" s="1">
        <v>0</v>
      </c>
      <c r="AG24" s="1">
        <v>0</v>
      </c>
      <c r="AH24" s="1">
        <v>1</v>
      </c>
      <c r="AI24" s="1">
        <v>0</v>
      </c>
      <c r="AJ24" s="1">
        <v>0</v>
      </c>
      <c r="AK24" s="1">
        <v>0</v>
      </c>
      <c r="AL24" s="1">
        <v>1</v>
      </c>
      <c r="AM24" s="1">
        <v>1</v>
      </c>
      <c r="AN24" s="1">
        <v>1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1</v>
      </c>
      <c r="AW24" s="1">
        <v>0</v>
      </c>
      <c r="AX24" s="1">
        <v>0</v>
      </c>
      <c r="AY24" s="1">
        <v>1</v>
      </c>
      <c r="AZ24" s="1">
        <v>0</v>
      </c>
      <c r="BA24" s="1">
        <v>0</v>
      </c>
      <c r="BB24" s="1">
        <v>0</v>
      </c>
      <c r="BC24" s="1">
        <v>1</v>
      </c>
      <c r="BD24" s="1">
        <v>0</v>
      </c>
      <c r="BE24" s="1">
        <v>1</v>
      </c>
      <c r="BF24" s="1">
        <v>1</v>
      </c>
      <c r="BG24" s="1">
        <v>0</v>
      </c>
      <c r="BH24" s="1">
        <v>1</v>
      </c>
      <c r="BI24" s="1">
        <v>0</v>
      </c>
      <c r="BJ24" s="1">
        <v>0</v>
      </c>
      <c r="BK24" s="1">
        <v>1</v>
      </c>
      <c r="BL24" s="1">
        <v>0</v>
      </c>
      <c r="BM24" s="1">
        <v>0</v>
      </c>
      <c r="BN24" s="1">
        <v>0</v>
      </c>
      <c r="BO24" s="1">
        <v>1</v>
      </c>
      <c r="BP24" s="1">
        <v>0</v>
      </c>
      <c r="BQ24" s="1">
        <v>0</v>
      </c>
      <c r="BR24" s="1">
        <v>0</v>
      </c>
      <c r="BS24" s="1">
        <v>0</v>
      </c>
      <c r="BT24" s="1">
        <v>1</v>
      </c>
      <c r="BU24" s="1">
        <v>0</v>
      </c>
      <c r="BV24" s="1">
        <v>0</v>
      </c>
      <c r="BW24" s="1">
        <v>0</v>
      </c>
      <c r="BX24" s="1">
        <v>1</v>
      </c>
      <c r="BY24" s="1">
        <v>0</v>
      </c>
      <c r="BZ24" s="1">
        <v>1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1</v>
      </c>
      <c r="CH24" s="1">
        <v>0</v>
      </c>
      <c r="CI24" s="1">
        <v>0</v>
      </c>
      <c r="CJ24" s="1">
        <v>1</v>
      </c>
      <c r="CK24" s="1">
        <v>1</v>
      </c>
      <c r="CL24" s="1">
        <v>0</v>
      </c>
      <c r="CM24" s="1">
        <v>1</v>
      </c>
      <c r="CN24" s="1">
        <v>1</v>
      </c>
      <c r="CO24" s="1">
        <v>1</v>
      </c>
      <c r="CP24" s="1">
        <v>1</v>
      </c>
      <c r="CQ24" s="1">
        <v>0</v>
      </c>
      <c r="CR24" s="1">
        <v>1</v>
      </c>
      <c r="CS24" s="1">
        <v>1</v>
      </c>
      <c r="CT24" s="1">
        <v>0</v>
      </c>
      <c r="CU24" s="1">
        <v>1</v>
      </c>
      <c r="CV24" s="1">
        <v>0</v>
      </c>
      <c r="CW24" s="1">
        <v>1</v>
      </c>
      <c r="CX24" s="1">
        <v>0</v>
      </c>
      <c r="CY24" s="1">
        <v>0</v>
      </c>
      <c r="CZ24" s="1">
        <v>1</v>
      </c>
      <c r="DA24" s="1">
        <v>0</v>
      </c>
      <c r="DB24" s="1">
        <v>1</v>
      </c>
      <c r="DC24" s="1">
        <v>1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1</v>
      </c>
      <c r="DJ24" s="1">
        <v>0</v>
      </c>
      <c r="DK24" s="1">
        <v>0</v>
      </c>
      <c r="DL24" s="1">
        <v>1</v>
      </c>
      <c r="DM24" s="1">
        <v>0</v>
      </c>
      <c r="DN24" s="1">
        <v>1</v>
      </c>
      <c r="DO24" s="1">
        <v>0</v>
      </c>
      <c r="DP24" s="1">
        <v>1</v>
      </c>
      <c r="DQ24" s="1">
        <v>1</v>
      </c>
      <c r="DR24" s="1">
        <v>1</v>
      </c>
      <c r="DS24" s="1">
        <v>1</v>
      </c>
      <c r="DT24" s="1">
        <v>0</v>
      </c>
      <c r="DU24" s="1">
        <v>1</v>
      </c>
      <c r="DV24" s="1">
        <v>1</v>
      </c>
      <c r="DW24" s="1">
        <v>0</v>
      </c>
      <c r="DX24" s="1">
        <v>0</v>
      </c>
      <c r="DY24" s="1">
        <v>1</v>
      </c>
      <c r="DZ24" s="1">
        <v>1</v>
      </c>
      <c r="EA24" s="1">
        <v>0</v>
      </c>
      <c r="EB24" s="1">
        <v>0</v>
      </c>
      <c r="EC24" s="1">
        <v>0</v>
      </c>
      <c r="ED24" s="1">
        <v>1</v>
      </c>
      <c r="EE24" s="1">
        <v>0</v>
      </c>
      <c r="EF24" s="1">
        <v>0</v>
      </c>
      <c r="EG24" s="1">
        <v>0</v>
      </c>
      <c r="EH24" s="1">
        <v>1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1</v>
      </c>
      <c r="EP24" s="1">
        <v>0</v>
      </c>
      <c r="EQ24" s="1" t="s">
        <v>330</v>
      </c>
      <c r="ER24" s="1" t="s">
        <v>333</v>
      </c>
      <c r="ES24" s="1" t="s">
        <v>332</v>
      </c>
      <c r="ET24" s="1" t="s">
        <v>333</v>
      </c>
      <c r="EU24" s="1" t="s">
        <v>331</v>
      </c>
      <c r="EV24" s="1" t="s">
        <v>333</v>
      </c>
      <c r="EW24" s="1" t="s">
        <v>330</v>
      </c>
      <c r="EX24" s="1" t="s">
        <v>331</v>
      </c>
      <c r="EY24" s="1" t="s">
        <v>332</v>
      </c>
      <c r="EZ24" s="1" t="s">
        <v>333</v>
      </c>
      <c r="FA24" s="1" t="s">
        <v>331</v>
      </c>
      <c r="FB24" s="1" t="s">
        <v>333</v>
      </c>
      <c r="FC24" s="1" t="s">
        <v>331</v>
      </c>
      <c r="FD24" s="1" t="s">
        <v>330</v>
      </c>
      <c r="FE24" s="1" t="s">
        <v>332</v>
      </c>
      <c r="FF24" s="1" t="s">
        <v>331</v>
      </c>
      <c r="FG24" s="1" t="s">
        <v>333</v>
      </c>
      <c r="FH24" s="1" t="s">
        <v>333</v>
      </c>
      <c r="FI24" s="1" t="s">
        <v>331</v>
      </c>
      <c r="FJ24" s="1" t="s">
        <v>332</v>
      </c>
      <c r="FK24" s="1" t="s">
        <v>333</v>
      </c>
      <c r="FL24" s="1" t="s">
        <v>333</v>
      </c>
      <c r="FM24" s="1" t="s">
        <v>331</v>
      </c>
      <c r="FN24" s="1" t="s">
        <v>330</v>
      </c>
      <c r="FO24" s="1" t="s">
        <v>332</v>
      </c>
      <c r="FP24" s="1" t="s">
        <v>330</v>
      </c>
      <c r="FQ24" s="1" t="s">
        <v>330</v>
      </c>
      <c r="FR24" s="1" t="s">
        <v>333</v>
      </c>
      <c r="FS24" s="1" t="s">
        <v>330</v>
      </c>
      <c r="FT24" s="1" t="s">
        <v>330</v>
      </c>
      <c r="FU24" s="1" t="s">
        <v>331</v>
      </c>
      <c r="FV24" s="1" t="s">
        <v>332</v>
      </c>
      <c r="FW24" s="1" t="s">
        <v>330</v>
      </c>
      <c r="FX24" s="1" t="s">
        <v>333</v>
      </c>
      <c r="FY24" s="1" t="s">
        <v>333</v>
      </c>
      <c r="FZ24" s="1" t="s">
        <v>331</v>
      </c>
      <c r="GA24" s="1" t="s">
        <v>332</v>
      </c>
      <c r="GB24" s="1" t="s">
        <v>332</v>
      </c>
      <c r="GC24" s="1" t="s">
        <v>331</v>
      </c>
      <c r="GD24" s="1" t="s">
        <v>333</v>
      </c>
      <c r="GE24" s="1" t="s">
        <v>332</v>
      </c>
      <c r="GF24" s="1" t="s">
        <v>333</v>
      </c>
      <c r="GG24" s="1" t="s">
        <v>330</v>
      </c>
      <c r="GH24" s="1" t="s">
        <v>333</v>
      </c>
      <c r="GI24" s="1" t="s">
        <v>331</v>
      </c>
      <c r="GJ24" s="1" t="s">
        <v>333</v>
      </c>
      <c r="GK24" s="1" t="s">
        <v>331</v>
      </c>
      <c r="GL24" s="1" t="s">
        <v>331</v>
      </c>
      <c r="GM24" s="1" t="s">
        <v>333</v>
      </c>
      <c r="GN24" s="1" t="s">
        <v>331</v>
      </c>
      <c r="GO24" s="1" t="s">
        <v>333</v>
      </c>
      <c r="GP24" s="1" t="s">
        <v>333</v>
      </c>
      <c r="GQ24" s="1" t="s">
        <v>333</v>
      </c>
      <c r="GR24" s="1" t="s">
        <v>331</v>
      </c>
      <c r="GS24" s="1" t="s">
        <v>333</v>
      </c>
      <c r="GT24" s="1" t="s">
        <v>333</v>
      </c>
      <c r="GU24" s="1" t="s">
        <v>331</v>
      </c>
      <c r="GV24" s="1" t="s">
        <v>330</v>
      </c>
      <c r="GW24" s="1" t="s">
        <v>332</v>
      </c>
      <c r="GX24" s="1" t="s">
        <v>331</v>
      </c>
      <c r="GY24" s="1" t="s">
        <v>331</v>
      </c>
      <c r="GZ24" s="1" t="s">
        <v>332</v>
      </c>
      <c r="HA24" s="1" t="s">
        <v>333</v>
      </c>
      <c r="HB24" s="1" t="s">
        <v>331</v>
      </c>
      <c r="HC24" s="1" t="s">
        <v>333</v>
      </c>
      <c r="HD24" s="1" t="s">
        <v>332</v>
      </c>
      <c r="HE24" s="1" t="s">
        <v>331</v>
      </c>
      <c r="HF24" s="1" t="s">
        <v>333</v>
      </c>
      <c r="HG24" s="1" t="s">
        <v>330</v>
      </c>
      <c r="HH24" s="1" t="s">
        <v>331</v>
      </c>
      <c r="HI24" s="1" t="s">
        <v>333</v>
      </c>
      <c r="HJ24" s="1" t="s">
        <v>331</v>
      </c>
      <c r="HK24" s="1" t="s">
        <v>333</v>
      </c>
      <c r="HL24" s="1" t="s">
        <v>333</v>
      </c>
      <c r="HM24" s="1" t="s">
        <v>331</v>
      </c>
      <c r="HN24" s="1" t="s">
        <v>330</v>
      </c>
      <c r="HO24" s="1" t="s">
        <v>331</v>
      </c>
      <c r="HP24" s="1" t="s">
        <v>330</v>
      </c>
      <c r="HQ24" s="1" t="s">
        <v>333</v>
      </c>
      <c r="HR24" s="1" t="s">
        <v>333</v>
      </c>
      <c r="HS24" s="1" t="s">
        <v>330</v>
      </c>
      <c r="HT24" s="1" t="s">
        <v>331</v>
      </c>
      <c r="HU24" s="1" t="s">
        <v>332</v>
      </c>
      <c r="HV24" s="1" t="s">
        <v>336</v>
      </c>
      <c r="HW24" s="1" t="s">
        <v>333</v>
      </c>
      <c r="HX24" s="1" t="s">
        <v>333</v>
      </c>
      <c r="HY24" s="1" t="s">
        <v>333</v>
      </c>
      <c r="HZ24" s="1" t="s">
        <v>333</v>
      </c>
      <c r="IA24" s="1" t="s">
        <v>333</v>
      </c>
      <c r="IB24" s="1" t="s">
        <v>330</v>
      </c>
      <c r="IC24" s="1" t="s">
        <v>330</v>
      </c>
      <c r="ID24" s="1" t="s">
        <v>330</v>
      </c>
      <c r="IE24" s="1" t="s">
        <v>333</v>
      </c>
      <c r="IF24" s="1" t="s">
        <v>333</v>
      </c>
      <c r="IG24" s="1" t="s">
        <v>330</v>
      </c>
      <c r="IH24" s="1" t="s">
        <v>333</v>
      </c>
      <c r="II24" s="1" t="s">
        <v>331</v>
      </c>
      <c r="IJ24" s="1" t="s">
        <v>330</v>
      </c>
      <c r="IK24" s="1" t="s">
        <v>333</v>
      </c>
      <c r="IL24" s="1" t="s">
        <v>333</v>
      </c>
      <c r="IM24" s="1" t="s">
        <v>333</v>
      </c>
      <c r="IN24" s="1" t="s">
        <v>330</v>
      </c>
      <c r="IO24" s="1" t="s">
        <v>330</v>
      </c>
      <c r="IP24" s="1" t="s">
        <v>330</v>
      </c>
      <c r="IQ24" s="1" t="s">
        <v>330</v>
      </c>
      <c r="IR24" s="1" t="s">
        <v>331</v>
      </c>
      <c r="IS24" s="1" t="s">
        <v>331</v>
      </c>
      <c r="IT24" s="1" t="s">
        <v>333</v>
      </c>
      <c r="IU24" s="1" t="s">
        <v>330</v>
      </c>
      <c r="IV24" s="1" t="s">
        <v>331</v>
      </c>
      <c r="IW24" s="1" t="s">
        <v>333</v>
      </c>
      <c r="IX24" s="1" t="s">
        <v>330</v>
      </c>
      <c r="IY24" s="1" t="s">
        <v>331</v>
      </c>
      <c r="IZ24" s="1" t="s">
        <v>330</v>
      </c>
      <c r="JA24" s="1" t="s">
        <v>330</v>
      </c>
      <c r="JB24" s="1" t="s">
        <v>331</v>
      </c>
      <c r="JC24" s="1" t="s">
        <v>333</v>
      </c>
      <c r="JD24" s="1" t="s">
        <v>330</v>
      </c>
      <c r="JE24" s="1" t="s">
        <v>331</v>
      </c>
      <c r="JF24" s="1" t="s">
        <v>331</v>
      </c>
      <c r="JG24" s="1" t="s">
        <v>333</v>
      </c>
      <c r="JH24" s="1" t="s">
        <v>331</v>
      </c>
      <c r="JI24" s="1" t="s">
        <v>333</v>
      </c>
      <c r="JJ24" s="1" t="s">
        <v>333</v>
      </c>
      <c r="JK24" s="1" t="s">
        <v>331</v>
      </c>
      <c r="JL24" s="1" t="s">
        <v>333</v>
      </c>
      <c r="JM24" s="1" t="s">
        <v>331</v>
      </c>
      <c r="JN24" s="1" t="s">
        <v>333</v>
      </c>
      <c r="JO24" s="1" t="s">
        <v>330</v>
      </c>
      <c r="JP24" s="1" t="s">
        <v>332</v>
      </c>
      <c r="JQ24" s="1" t="s">
        <v>330</v>
      </c>
      <c r="JR24" s="1" t="s">
        <v>331</v>
      </c>
      <c r="JS24" s="1" t="s">
        <v>333</v>
      </c>
      <c r="JT24" s="1" t="s">
        <v>331</v>
      </c>
    </row>
    <row r="25" spans="1:280" x14ac:dyDescent="0.35">
      <c r="A25" s="1" t="s">
        <v>1734</v>
      </c>
      <c r="D25" s="1" t="s">
        <v>1762</v>
      </c>
      <c r="E25" s="1">
        <v>6203</v>
      </c>
      <c r="G25" s="1" t="s">
        <v>1687</v>
      </c>
      <c r="H25" s="1" t="s">
        <v>312</v>
      </c>
      <c r="I25" s="1" t="s">
        <v>1688</v>
      </c>
      <c r="J25" s="1" t="s">
        <v>1733</v>
      </c>
      <c r="K25" s="1" t="s">
        <v>1736</v>
      </c>
      <c r="M25" s="1">
        <v>1</v>
      </c>
      <c r="N25" s="1">
        <v>0</v>
      </c>
      <c r="O25" s="1">
        <v>0</v>
      </c>
      <c r="P25" s="1">
        <v>0</v>
      </c>
      <c r="Q25" s="1">
        <v>1</v>
      </c>
      <c r="R25" s="1">
        <v>1</v>
      </c>
      <c r="S25" s="1">
        <v>0</v>
      </c>
      <c r="T25" s="1">
        <v>1</v>
      </c>
      <c r="U25" s="1">
        <v>0</v>
      </c>
      <c r="V25" s="1">
        <v>0</v>
      </c>
      <c r="W25" s="1">
        <v>0</v>
      </c>
      <c r="X25" s="1">
        <v>1</v>
      </c>
      <c r="Y25" s="1">
        <v>1</v>
      </c>
      <c r="Z25" s="1">
        <v>0</v>
      </c>
      <c r="AA25" s="1">
        <v>0</v>
      </c>
      <c r="AB25" s="1">
        <v>1</v>
      </c>
      <c r="AC25" s="1">
        <v>0</v>
      </c>
      <c r="AD25" s="1">
        <v>0</v>
      </c>
      <c r="AE25" s="1">
        <v>1</v>
      </c>
      <c r="AF25" s="1">
        <v>1</v>
      </c>
      <c r="AG25" s="1">
        <v>1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1</v>
      </c>
      <c r="AN25" s="1">
        <v>1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1</v>
      </c>
      <c r="AY25" s="1">
        <v>1</v>
      </c>
      <c r="AZ25" s="1">
        <v>0</v>
      </c>
      <c r="BA25" s="1">
        <v>0</v>
      </c>
      <c r="BB25" s="1">
        <v>0</v>
      </c>
      <c r="BC25" s="1">
        <v>0</v>
      </c>
      <c r="BD25" s="1">
        <v>1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1</v>
      </c>
      <c r="BU25" s="1">
        <v>0</v>
      </c>
      <c r="BV25" s="1">
        <v>0</v>
      </c>
      <c r="BW25" s="1">
        <v>0</v>
      </c>
      <c r="BX25" s="1">
        <v>0</v>
      </c>
      <c r="BY25" s="1">
        <v>1</v>
      </c>
      <c r="BZ25" s="1">
        <v>0</v>
      </c>
      <c r="CA25" s="1">
        <v>0</v>
      </c>
      <c r="CB25" s="1">
        <v>0</v>
      </c>
      <c r="CC25" s="1">
        <v>0</v>
      </c>
      <c r="CD25" s="1">
        <v>1</v>
      </c>
      <c r="CE25" s="1">
        <v>0</v>
      </c>
      <c r="CF25" s="1">
        <v>0</v>
      </c>
      <c r="CG25" s="1">
        <v>1</v>
      </c>
      <c r="CH25" s="1">
        <v>1</v>
      </c>
      <c r="CI25" s="1">
        <v>0</v>
      </c>
      <c r="CJ25" s="1">
        <v>1</v>
      </c>
      <c r="CK25" s="1">
        <v>1</v>
      </c>
      <c r="CL25" s="1">
        <v>1</v>
      </c>
      <c r="CM25" s="1">
        <v>0</v>
      </c>
      <c r="CN25" s="1">
        <v>0</v>
      </c>
      <c r="CO25" s="1">
        <v>1</v>
      </c>
      <c r="CP25" s="1">
        <v>1</v>
      </c>
      <c r="CQ25" s="1">
        <v>0</v>
      </c>
      <c r="CR25" s="1">
        <v>0</v>
      </c>
      <c r="CS25" s="1">
        <v>1</v>
      </c>
      <c r="CT25" s="1">
        <v>0</v>
      </c>
      <c r="CU25" s="1">
        <v>0</v>
      </c>
      <c r="CV25" s="1">
        <v>1</v>
      </c>
      <c r="CW25" s="1">
        <v>1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1</v>
      </c>
      <c r="DD25" s="1">
        <v>1</v>
      </c>
      <c r="DE25" s="1">
        <v>1</v>
      </c>
      <c r="DF25" s="1">
        <v>0</v>
      </c>
      <c r="DG25" s="1">
        <v>0</v>
      </c>
      <c r="DH25" s="1">
        <v>0</v>
      </c>
      <c r="DI25" s="1">
        <v>0</v>
      </c>
      <c r="DJ25" s="1">
        <v>1</v>
      </c>
      <c r="DK25" s="1">
        <v>0</v>
      </c>
      <c r="DL25" s="1">
        <v>1</v>
      </c>
      <c r="DM25" s="1">
        <v>0</v>
      </c>
      <c r="DN25" s="1">
        <v>0</v>
      </c>
      <c r="DO25" s="1">
        <v>0</v>
      </c>
      <c r="DP25" s="1">
        <v>0</v>
      </c>
      <c r="DQ25" s="1">
        <v>1</v>
      </c>
      <c r="DR25" s="1">
        <v>1</v>
      </c>
      <c r="DS25" s="1">
        <v>1</v>
      </c>
      <c r="DT25" s="1">
        <v>0</v>
      </c>
      <c r="DU25" s="1">
        <v>1</v>
      </c>
      <c r="DV25" s="1">
        <v>1</v>
      </c>
      <c r="DW25" s="1">
        <v>0</v>
      </c>
      <c r="DX25" s="1">
        <v>1</v>
      </c>
      <c r="DY25" s="1">
        <v>0</v>
      </c>
      <c r="DZ25" s="1">
        <v>1</v>
      </c>
      <c r="EA25" s="1">
        <v>0</v>
      </c>
      <c r="EB25" s="1">
        <v>1</v>
      </c>
      <c r="EC25" s="1">
        <v>0</v>
      </c>
      <c r="ED25" s="1">
        <v>0</v>
      </c>
      <c r="EE25" s="1">
        <v>1</v>
      </c>
      <c r="EF25" s="1">
        <v>0</v>
      </c>
      <c r="EG25" s="1">
        <v>1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1</v>
      </c>
      <c r="EP25" s="1">
        <v>0</v>
      </c>
      <c r="EQ25" s="1" t="s">
        <v>330</v>
      </c>
      <c r="ER25" s="1" t="s">
        <v>330</v>
      </c>
      <c r="ES25" s="1" t="s">
        <v>332</v>
      </c>
      <c r="ET25" s="1" t="s">
        <v>330</v>
      </c>
      <c r="EU25" s="1" t="s">
        <v>332</v>
      </c>
      <c r="EV25" s="1" t="s">
        <v>330</v>
      </c>
      <c r="EW25" s="1" t="s">
        <v>333</v>
      </c>
      <c r="EX25" s="1" t="s">
        <v>331</v>
      </c>
      <c r="EY25" s="1" t="s">
        <v>333</v>
      </c>
      <c r="EZ25" s="1" t="s">
        <v>333</v>
      </c>
      <c r="FA25" s="1" t="s">
        <v>330</v>
      </c>
      <c r="FB25" s="1" t="s">
        <v>330</v>
      </c>
      <c r="FC25" s="1" t="s">
        <v>332</v>
      </c>
      <c r="FD25" s="1" t="s">
        <v>331</v>
      </c>
      <c r="FE25" s="1" t="s">
        <v>333</v>
      </c>
      <c r="FF25" s="1" t="s">
        <v>333</v>
      </c>
      <c r="FG25" s="1" t="s">
        <v>330</v>
      </c>
      <c r="FH25" s="1" t="s">
        <v>330</v>
      </c>
      <c r="FI25" s="1" t="s">
        <v>330</v>
      </c>
      <c r="FJ25" s="1" t="s">
        <v>330</v>
      </c>
      <c r="FK25" s="1" t="s">
        <v>331</v>
      </c>
      <c r="FL25" s="1" t="s">
        <v>330</v>
      </c>
      <c r="FM25" s="1" t="s">
        <v>332</v>
      </c>
      <c r="FN25" s="1" t="s">
        <v>330</v>
      </c>
      <c r="FO25" s="1" t="s">
        <v>330</v>
      </c>
      <c r="FP25" s="1" t="s">
        <v>331</v>
      </c>
      <c r="FQ25" s="1" t="s">
        <v>330</v>
      </c>
      <c r="FR25" s="1" t="s">
        <v>333</v>
      </c>
      <c r="FS25" s="1" t="s">
        <v>332</v>
      </c>
      <c r="FT25" s="1" t="s">
        <v>330</v>
      </c>
      <c r="FU25" s="1" t="s">
        <v>331</v>
      </c>
      <c r="FV25" s="1" t="s">
        <v>333</v>
      </c>
      <c r="FW25" s="1" t="s">
        <v>332</v>
      </c>
      <c r="FX25" s="1" t="s">
        <v>333</v>
      </c>
      <c r="FY25" s="1" t="s">
        <v>333</v>
      </c>
      <c r="FZ25" s="1" t="s">
        <v>330</v>
      </c>
      <c r="GA25" s="1" t="s">
        <v>331</v>
      </c>
      <c r="GB25" s="1" t="s">
        <v>331</v>
      </c>
      <c r="GC25" s="1" t="s">
        <v>331</v>
      </c>
      <c r="GD25" s="1" t="s">
        <v>333</v>
      </c>
      <c r="GE25" s="1" t="s">
        <v>330</v>
      </c>
      <c r="GF25" s="1" t="s">
        <v>330</v>
      </c>
      <c r="GG25" s="1" t="s">
        <v>332</v>
      </c>
      <c r="GH25" s="1" t="s">
        <v>330</v>
      </c>
      <c r="GI25" s="1" t="s">
        <v>332</v>
      </c>
      <c r="GJ25" s="1" t="s">
        <v>330</v>
      </c>
      <c r="GK25" s="1" t="s">
        <v>330</v>
      </c>
      <c r="GL25" s="1" t="s">
        <v>330</v>
      </c>
      <c r="GM25" s="1" t="s">
        <v>330</v>
      </c>
      <c r="GN25" s="1" t="s">
        <v>330</v>
      </c>
      <c r="GO25" s="1" t="s">
        <v>330</v>
      </c>
      <c r="GP25" s="1" t="s">
        <v>333</v>
      </c>
      <c r="GQ25" s="1" t="s">
        <v>330</v>
      </c>
      <c r="GR25" s="1" t="s">
        <v>330</v>
      </c>
      <c r="GS25" s="1" t="s">
        <v>331</v>
      </c>
      <c r="GT25" s="1" t="s">
        <v>330</v>
      </c>
      <c r="GU25" s="1" t="s">
        <v>330</v>
      </c>
      <c r="GV25" s="1" t="s">
        <v>331</v>
      </c>
      <c r="GW25" s="1" t="s">
        <v>333</v>
      </c>
      <c r="GX25" s="1" t="s">
        <v>331</v>
      </c>
      <c r="GY25" s="1" t="s">
        <v>333</v>
      </c>
      <c r="GZ25" s="1" t="s">
        <v>332</v>
      </c>
      <c r="HA25" s="1" t="s">
        <v>333</v>
      </c>
      <c r="HB25" s="1" t="s">
        <v>330</v>
      </c>
      <c r="HC25" s="1" t="s">
        <v>330</v>
      </c>
      <c r="HD25" s="1" t="s">
        <v>330</v>
      </c>
      <c r="HE25" s="1" t="s">
        <v>330</v>
      </c>
      <c r="HF25" s="1" t="s">
        <v>330</v>
      </c>
      <c r="HG25" s="1" t="s">
        <v>330</v>
      </c>
      <c r="HH25" s="1" t="s">
        <v>333</v>
      </c>
      <c r="HI25" s="1" t="s">
        <v>333</v>
      </c>
      <c r="HJ25" s="1" t="s">
        <v>332</v>
      </c>
      <c r="HK25" s="1" t="s">
        <v>333</v>
      </c>
      <c r="HL25" s="1" t="s">
        <v>330</v>
      </c>
      <c r="HM25" s="1" t="s">
        <v>332</v>
      </c>
      <c r="HN25" s="1" t="s">
        <v>330</v>
      </c>
      <c r="HO25" s="1" t="s">
        <v>331</v>
      </c>
      <c r="HP25" s="1" t="s">
        <v>331</v>
      </c>
      <c r="HQ25" s="1" t="s">
        <v>331</v>
      </c>
      <c r="HR25" s="1" t="s">
        <v>336</v>
      </c>
      <c r="HS25" s="1" t="s">
        <v>330</v>
      </c>
      <c r="HT25" s="1" t="s">
        <v>331</v>
      </c>
      <c r="HU25" s="1" t="s">
        <v>333</v>
      </c>
      <c r="HV25" s="1" t="s">
        <v>335</v>
      </c>
      <c r="HW25" s="1" t="s">
        <v>333</v>
      </c>
      <c r="HX25" s="1" t="s">
        <v>333</v>
      </c>
      <c r="HY25" s="1" t="s">
        <v>330</v>
      </c>
      <c r="HZ25" s="1" t="s">
        <v>330</v>
      </c>
      <c r="IA25" s="1" t="s">
        <v>333</v>
      </c>
      <c r="IB25" s="1" t="s">
        <v>330</v>
      </c>
      <c r="IC25" s="1" t="s">
        <v>330</v>
      </c>
      <c r="ID25" s="1" t="s">
        <v>331</v>
      </c>
      <c r="IE25" s="1" t="s">
        <v>333</v>
      </c>
      <c r="IF25" s="1" t="s">
        <v>330</v>
      </c>
      <c r="IG25" s="1" t="s">
        <v>330</v>
      </c>
      <c r="IH25" s="1" t="s">
        <v>330</v>
      </c>
      <c r="II25" s="1" t="s">
        <v>333</v>
      </c>
      <c r="IJ25" s="1" t="s">
        <v>333</v>
      </c>
      <c r="IK25" s="1" t="s">
        <v>330</v>
      </c>
      <c r="IL25" s="1" t="s">
        <v>333</v>
      </c>
      <c r="IM25" s="1" t="s">
        <v>330</v>
      </c>
      <c r="IN25" s="1" t="s">
        <v>331</v>
      </c>
      <c r="IO25" s="1" t="s">
        <v>330</v>
      </c>
      <c r="IP25" s="1" t="s">
        <v>330</v>
      </c>
      <c r="IQ25" s="1" t="s">
        <v>333</v>
      </c>
      <c r="IR25" s="1" t="s">
        <v>333</v>
      </c>
      <c r="IS25" s="1" t="s">
        <v>330</v>
      </c>
      <c r="IT25" s="1" t="s">
        <v>330</v>
      </c>
      <c r="IU25" s="1" t="s">
        <v>330</v>
      </c>
      <c r="IV25" s="1" t="s">
        <v>331</v>
      </c>
      <c r="IW25" s="1" t="s">
        <v>333</v>
      </c>
      <c r="IX25" s="1" t="s">
        <v>330</v>
      </c>
      <c r="IY25" s="1" t="s">
        <v>331</v>
      </c>
      <c r="IZ25" s="1" t="s">
        <v>330</v>
      </c>
      <c r="JA25" s="1" t="s">
        <v>330</v>
      </c>
      <c r="JB25" s="1" t="s">
        <v>330</v>
      </c>
      <c r="JC25" s="1" t="s">
        <v>330</v>
      </c>
      <c r="JD25" s="1" t="s">
        <v>330</v>
      </c>
      <c r="JE25" s="1" t="s">
        <v>331</v>
      </c>
      <c r="JF25" s="1" t="s">
        <v>333</v>
      </c>
      <c r="JG25" s="1" t="s">
        <v>331</v>
      </c>
      <c r="JH25" s="1" t="s">
        <v>333</v>
      </c>
      <c r="JI25" s="1" t="s">
        <v>331</v>
      </c>
      <c r="JJ25" s="1" t="s">
        <v>331</v>
      </c>
      <c r="JK25" s="1" t="s">
        <v>333</v>
      </c>
      <c r="JL25" s="1" t="s">
        <v>332</v>
      </c>
      <c r="JM25" s="1" t="s">
        <v>331</v>
      </c>
      <c r="JN25" s="1" t="s">
        <v>333</v>
      </c>
      <c r="JO25" s="1" t="s">
        <v>331</v>
      </c>
      <c r="JP25" s="1" t="s">
        <v>333</v>
      </c>
      <c r="JQ25" s="1" t="s">
        <v>333</v>
      </c>
      <c r="JR25" s="1" t="s">
        <v>331</v>
      </c>
      <c r="JS25" s="1" t="s">
        <v>333</v>
      </c>
      <c r="JT25" s="1" t="s">
        <v>330</v>
      </c>
    </row>
    <row r="26" spans="1:280" x14ac:dyDescent="0.35">
      <c r="A26" s="1" t="s">
        <v>1734</v>
      </c>
      <c r="D26" s="1" t="s">
        <v>1763</v>
      </c>
      <c r="E26" s="1">
        <v>6204</v>
      </c>
      <c r="G26" s="1" t="s">
        <v>1687</v>
      </c>
      <c r="H26" s="1" t="s">
        <v>312</v>
      </c>
      <c r="I26" s="1" t="s">
        <v>1688</v>
      </c>
      <c r="J26" s="1" t="s">
        <v>1733</v>
      </c>
      <c r="K26" s="1" t="s">
        <v>1736</v>
      </c>
      <c r="M26" s="1">
        <v>1</v>
      </c>
      <c r="N26" s="1">
        <v>0</v>
      </c>
      <c r="O26" s="1">
        <v>0</v>
      </c>
      <c r="P26" s="1">
        <v>1</v>
      </c>
      <c r="Q26" s="1">
        <v>1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1</v>
      </c>
      <c r="Y26" s="1">
        <v>0</v>
      </c>
      <c r="Z26" s="1">
        <v>0</v>
      </c>
      <c r="AA26" s="1">
        <v>1</v>
      </c>
      <c r="AB26" s="1">
        <v>1</v>
      </c>
      <c r="AC26" s="1">
        <v>1</v>
      </c>
      <c r="AD26" s="1">
        <v>0</v>
      </c>
      <c r="AE26" s="1">
        <v>1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1</v>
      </c>
      <c r="AM26" s="1">
        <v>1</v>
      </c>
      <c r="AN26" s="1">
        <v>1</v>
      </c>
      <c r="AO26" s="1">
        <v>1</v>
      </c>
      <c r="AP26" s="1">
        <v>0</v>
      </c>
      <c r="AQ26" s="1">
        <v>0</v>
      </c>
      <c r="AR26" s="1">
        <v>1</v>
      </c>
      <c r="AS26" s="1">
        <v>1</v>
      </c>
      <c r="AT26" s="1">
        <v>0</v>
      </c>
      <c r="AU26" s="1">
        <v>0</v>
      </c>
      <c r="AV26" s="1">
        <v>0</v>
      </c>
      <c r="AW26" s="1">
        <v>0</v>
      </c>
      <c r="AX26" s="1">
        <v>1</v>
      </c>
      <c r="AY26" s="1">
        <v>1</v>
      </c>
      <c r="AZ26" s="1">
        <v>0</v>
      </c>
      <c r="BA26" s="1">
        <v>0</v>
      </c>
      <c r="BB26" s="1">
        <v>0</v>
      </c>
      <c r="BC26" s="1">
        <v>0</v>
      </c>
      <c r="BD26" s="1">
        <v>1</v>
      </c>
      <c r="BE26" s="1">
        <v>0</v>
      </c>
      <c r="BF26" s="1">
        <v>0</v>
      </c>
      <c r="BG26" s="1">
        <v>0</v>
      </c>
      <c r="BH26" s="1">
        <v>0</v>
      </c>
      <c r="BI26" s="1">
        <v>1</v>
      </c>
      <c r="BJ26" s="1">
        <v>0</v>
      </c>
      <c r="BK26" s="1">
        <v>0</v>
      </c>
      <c r="BL26" s="1">
        <v>1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1</v>
      </c>
      <c r="BT26" s="1">
        <v>1</v>
      </c>
      <c r="BU26" s="1">
        <v>0</v>
      </c>
      <c r="BV26" s="1">
        <v>0</v>
      </c>
      <c r="BW26" s="1">
        <v>0</v>
      </c>
      <c r="BX26" s="1">
        <v>1</v>
      </c>
      <c r="BY26" s="1">
        <v>1</v>
      </c>
      <c r="BZ26" s="1">
        <v>0</v>
      </c>
      <c r="CA26" s="1">
        <v>1</v>
      </c>
      <c r="CB26" s="1">
        <v>0</v>
      </c>
      <c r="CC26" s="1">
        <v>1</v>
      </c>
      <c r="CD26" s="1">
        <v>0</v>
      </c>
      <c r="CE26" s="1">
        <v>0</v>
      </c>
      <c r="CF26" s="1">
        <v>1</v>
      </c>
      <c r="CG26" s="1">
        <v>0</v>
      </c>
      <c r="CH26" s="1">
        <v>0</v>
      </c>
      <c r="CI26" s="1">
        <v>0</v>
      </c>
      <c r="CJ26" s="1">
        <v>1</v>
      </c>
      <c r="CK26" s="1">
        <v>1</v>
      </c>
      <c r="CL26" s="1">
        <v>0</v>
      </c>
      <c r="CM26" s="1">
        <v>0</v>
      </c>
      <c r="CN26" s="1">
        <v>0</v>
      </c>
      <c r="CO26" s="1">
        <v>1</v>
      </c>
      <c r="CP26" s="1">
        <v>1</v>
      </c>
      <c r="CQ26" s="1">
        <v>0</v>
      </c>
      <c r="CR26" s="1">
        <v>1</v>
      </c>
      <c r="CS26" s="1">
        <v>1</v>
      </c>
      <c r="CT26" s="1">
        <v>0</v>
      </c>
      <c r="CU26" s="1">
        <v>0</v>
      </c>
      <c r="CV26" s="1">
        <v>0</v>
      </c>
      <c r="CW26" s="1">
        <v>1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1</v>
      </c>
      <c r="DH26" s="1">
        <v>1</v>
      </c>
      <c r="DI26" s="1">
        <v>1</v>
      </c>
      <c r="DJ26" s="1">
        <v>0</v>
      </c>
      <c r="DK26" s="1">
        <v>1</v>
      </c>
      <c r="DL26" s="1">
        <v>0</v>
      </c>
      <c r="DM26" s="1">
        <v>1</v>
      </c>
      <c r="DN26" s="1">
        <v>0</v>
      </c>
      <c r="DO26" s="1">
        <v>0</v>
      </c>
      <c r="DP26" s="1">
        <v>1</v>
      </c>
      <c r="DQ26" s="1">
        <v>0</v>
      </c>
      <c r="DR26" s="1">
        <v>1</v>
      </c>
      <c r="DS26" s="1">
        <v>1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1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1</v>
      </c>
      <c r="EL26" s="1">
        <v>1</v>
      </c>
      <c r="EM26" s="1">
        <v>0</v>
      </c>
      <c r="EN26" s="1">
        <v>0</v>
      </c>
      <c r="EO26" s="1">
        <v>0</v>
      </c>
      <c r="EP26" s="1">
        <v>0</v>
      </c>
      <c r="EQ26" s="1" t="s">
        <v>330</v>
      </c>
      <c r="ER26" s="1" t="s">
        <v>330</v>
      </c>
      <c r="ES26" s="1" t="s">
        <v>332</v>
      </c>
      <c r="ET26" s="1" t="s">
        <v>331</v>
      </c>
      <c r="EU26" s="1" t="s">
        <v>332</v>
      </c>
      <c r="EV26" s="1" t="s">
        <v>333</v>
      </c>
      <c r="EW26" s="1" t="s">
        <v>330</v>
      </c>
      <c r="EX26" s="1" t="s">
        <v>330</v>
      </c>
      <c r="EY26" s="1" t="s">
        <v>332</v>
      </c>
      <c r="EZ26" s="1" t="s">
        <v>331</v>
      </c>
      <c r="FA26" s="1" t="s">
        <v>330</v>
      </c>
      <c r="FB26" s="1" t="s">
        <v>330</v>
      </c>
      <c r="FC26" s="1" t="s">
        <v>333</v>
      </c>
      <c r="FD26" s="1" t="s">
        <v>333</v>
      </c>
      <c r="FE26" s="1" t="s">
        <v>331</v>
      </c>
      <c r="FF26" s="1" t="s">
        <v>333</v>
      </c>
      <c r="FG26" s="1" t="s">
        <v>331</v>
      </c>
      <c r="FH26" s="1" t="s">
        <v>332</v>
      </c>
      <c r="FI26" s="1" t="s">
        <v>330</v>
      </c>
      <c r="FJ26" s="1" t="s">
        <v>331</v>
      </c>
      <c r="FK26" s="1" t="s">
        <v>333</v>
      </c>
      <c r="FL26" s="1" t="s">
        <v>332</v>
      </c>
      <c r="FM26" s="1" t="s">
        <v>331</v>
      </c>
      <c r="FN26" s="1" t="s">
        <v>333</v>
      </c>
      <c r="FO26" s="1" t="s">
        <v>332</v>
      </c>
      <c r="FP26" s="1" t="s">
        <v>330</v>
      </c>
      <c r="FQ26" s="1" t="s">
        <v>330</v>
      </c>
      <c r="FR26" s="1" t="s">
        <v>333</v>
      </c>
      <c r="FS26" s="1" t="s">
        <v>331</v>
      </c>
      <c r="FT26" s="1" t="s">
        <v>332</v>
      </c>
      <c r="FU26" s="1" t="s">
        <v>331</v>
      </c>
      <c r="FV26" s="1" t="s">
        <v>331</v>
      </c>
      <c r="FW26" s="1" t="s">
        <v>331</v>
      </c>
      <c r="FX26" s="1" t="s">
        <v>332</v>
      </c>
      <c r="FY26" s="1" t="s">
        <v>333</v>
      </c>
      <c r="FZ26" s="1" t="s">
        <v>330</v>
      </c>
      <c r="GA26" s="1" t="s">
        <v>332</v>
      </c>
      <c r="GB26" s="1" t="s">
        <v>331</v>
      </c>
      <c r="GC26" s="1" t="s">
        <v>331</v>
      </c>
      <c r="GD26" s="1" t="s">
        <v>333</v>
      </c>
      <c r="GE26" s="1" t="s">
        <v>330</v>
      </c>
      <c r="GF26" s="1" t="s">
        <v>332</v>
      </c>
      <c r="GG26" s="1" t="s">
        <v>333</v>
      </c>
      <c r="GH26" s="1" t="s">
        <v>330</v>
      </c>
      <c r="GI26" s="1" t="s">
        <v>330</v>
      </c>
      <c r="GJ26" s="1" t="s">
        <v>330</v>
      </c>
      <c r="GK26" s="1" t="s">
        <v>333</v>
      </c>
      <c r="GL26" s="1" t="s">
        <v>333</v>
      </c>
      <c r="GM26" s="1" t="s">
        <v>331</v>
      </c>
      <c r="GN26" s="1" t="s">
        <v>332</v>
      </c>
      <c r="GO26" s="1" t="s">
        <v>332</v>
      </c>
      <c r="GP26" s="1" t="s">
        <v>332</v>
      </c>
      <c r="GQ26" s="1" t="s">
        <v>333</v>
      </c>
      <c r="GR26" s="1" t="s">
        <v>330</v>
      </c>
      <c r="GS26" s="1" t="s">
        <v>330</v>
      </c>
      <c r="GT26" s="1" t="s">
        <v>330</v>
      </c>
      <c r="GU26" s="1" t="s">
        <v>332</v>
      </c>
      <c r="GV26" s="1" t="s">
        <v>331</v>
      </c>
      <c r="GW26" s="1" t="s">
        <v>331</v>
      </c>
      <c r="GX26" s="1" t="s">
        <v>331</v>
      </c>
      <c r="GY26" s="1" t="s">
        <v>333</v>
      </c>
      <c r="GZ26" s="1" t="s">
        <v>333</v>
      </c>
      <c r="HA26" s="1" t="s">
        <v>333</v>
      </c>
      <c r="HB26" s="1" t="s">
        <v>331</v>
      </c>
      <c r="HC26" s="1" t="s">
        <v>330</v>
      </c>
      <c r="HD26" s="1" t="s">
        <v>330</v>
      </c>
      <c r="HE26" s="1" t="s">
        <v>332</v>
      </c>
      <c r="HF26" s="1" t="s">
        <v>330</v>
      </c>
      <c r="HG26" s="1" t="s">
        <v>333</v>
      </c>
      <c r="HH26" s="1" t="s">
        <v>330</v>
      </c>
      <c r="HI26" s="1" t="s">
        <v>333</v>
      </c>
      <c r="HJ26" s="1" t="s">
        <v>333</v>
      </c>
      <c r="HK26" s="1" t="s">
        <v>330</v>
      </c>
      <c r="HL26" s="1" t="s">
        <v>332</v>
      </c>
      <c r="HM26" s="1" t="s">
        <v>333</v>
      </c>
      <c r="HN26" s="1" t="s">
        <v>330</v>
      </c>
      <c r="HO26" s="1" t="s">
        <v>331</v>
      </c>
      <c r="HP26" s="1" t="s">
        <v>330</v>
      </c>
      <c r="HQ26" s="1" t="s">
        <v>331</v>
      </c>
      <c r="HR26" s="1" t="s">
        <v>337</v>
      </c>
      <c r="HS26" s="1" t="s">
        <v>330</v>
      </c>
      <c r="HT26" s="1" t="s">
        <v>331</v>
      </c>
      <c r="HU26" s="1" t="s">
        <v>332</v>
      </c>
      <c r="HV26" s="1" t="s">
        <v>336</v>
      </c>
      <c r="HW26" s="1" t="s">
        <v>333</v>
      </c>
      <c r="HX26" s="1" t="s">
        <v>333</v>
      </c>
      <c r="HY26" s="1" t="s">
        <v>331</v>
      </c>
      <c r="HZ26" s="1" t="s">
        <v>333</v>
      </c>
      <c r="IA26" s="1" t="s">
        <v>333</v>
      </c>
      <c r="IB26" s="1" t="s">
        <v>333</v>
      </c>
      <c r="IC26" s="1" t="s">
        <v>331</v>
      </c>
      <c r="ID26" s="1" t="s">
        <v>331</v>
      </c>
      <c r="IE26" s="1" t="s">
        <v>333</v>
      </c>
      <c r="IF26" s="1" t="s">
        <v>331</v>
      </c>
      <c r="IG26" s="1" t="s">
        <v>333</v>
      </c>
      <c r="IH26" s="1" t="s">
        <v>333</v>
      </c>
      <c r="II26" s="1" t="s">
        <v>330</v>
      </c>
      <c r="IJ26" s="1" t="s">
        <v>333</v>
      </c>
      <c r="IK26" s="1" t="s">
        <v>331</v>
      </c>
      <c r="IL26" s="1" t="s">
        <v>331</v>
      </c>
      <c r="IM26" s="1" t="s">
        <v>333</v>
      </c>
      <c r="IN26" s="1" t="s">
        <v>330</v>
      </c>
      <c r="IO26" s="1" t="s">
        <v>333</v>
      </c>
      <c r="IP26" s="1" t="s">
        <v>333</v>
      </c>
      <c r="IQ26" s="1" t="s">
        <v>331</v>
      </c>
      <c r="IR26" s="1" t="s">
        <v>330</v>
      </c>
      <c r="IS26" s="1" t="s">
        <v>330</v>
      </c>
      <c r="IT26" s="1" t="s">
        <v>333</v>
      </c>
      <c r="IU26" s="1" t="s">
        <v>331</v>
      </c>
      <c r="IV26" s="1" t="s">
        <v>331</v>
      </c>
      <c r="IW26" s="1" t="s">
        <v>333</v>
      </c>
      <c r="IX26" s="1" t="s">
        <v>333</v>
      </c>
      <c r="IY26" s="1" t="s">
        <v>330</v>
      </c>
      <c r="IZ26" s="1" t="s">
        <v>331</v>
      </c>
      <c r="JA26" s="1" t="s">
        <v>330</v>
      </c>
      <c r="JB26" s="1" t="s">
        <v>333</v>
      </c>
      <c r="JC26" s="1" t="s">
        <v>333</v>
      </c>
      <c r="JD26" s="1" t="s">
        <v>333</v>
      </c>
      <c r="JE26" s="1" t="s">
        <v>331</v>
      </c>
      <c r="JF26" s="1" t="s">
        <v>331</v>
      </c>
      <c r="JG26" s="1" t="s">
        <v>331</v>
      </c>
      <c r="JH26" s="1" t="s">
        <v>332</v>
      </c>
      <c r="JI26" s="1" t="s">
        <v>330</v>
      </c>
      <c r="JJ26" s="1" t="s">
        <v>333</v>
      </c>
      <c r="JK26" s="1" t="s">
        <v>332</v>
      </c>
      <c r="JL26" s="1" t="s">
        <v>330</v>
      </c>
      <c r="JM26" s="1" t="s">
        <v>332</v>
      </c>
      <c r="JN26" s="1" t="s">
        <v>330</v>
      </c>
      <c r="JO26" s="1" t="s">
        <v>333</v>
      </c>
      <c r="JP26" s="1" t="s">
        <v>331</v>
      </c>
      <c r="JQ26" s="1" t="s">
        <v>333</v>
      </c>
      <c r="JR26" s="1" t="s">
        <v>331</v>
      </c>
      <c r="JS26" s="1" t="s">
        <v>332</v>
      </c>
      <c r="JT26" s="1" t="s">
        <v>331</v>
      </c>
    </row>
    <row r="27" spans="1:280" x14ac:dyDescent="0.35">
      <c r="A27" s="1" t="s">
        <v>1734</v>
      </c>
      <c r="D27" s="1" t="s">
        <v>1764</v>
      </c>
      <c r="E27" s="1">
        <v>6207</v>
      </c>
      <c r="G27" s="1" t="s">
        <v>1686</v>
      </c>
      <c r="H27" s="1" t="s">
        <v>312</v>
      </c>
      <c r="I27" s="1" t="s">
        <v>1707</v>
      </c>
      <c r="J27" s="1" t="s">
        <v>1733</v>
      </c>
      <c r="K27" s="1" t="s">
        <v>1736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1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1</v>
      </c>
      <c r="AF27" s="1">
        <v>1</v>
      </c>
      <c r="AG27" s="1">
        <v>1</v>
      </c>
      <c r="AH27" s="1">
        <v>0</v>
      </c>
      <c r="AI27" s="1">
        <v>1</v>
      </c>
      <c r="AJ27" s="1">
        <v>0</v>
      </c>
      <c r="AK27" s="1">
        <v>1</v>
      </c>
      <c r="AL27" s="1">
        <v>1</v>
      </c>
      <c r="AM27" s="1">
        <v>1</v>
      </c>
      <c r="AN27" s="1">
        <v>1</v>
      </c>
      <c r="AO27" s="1">
        <v>0</v>
      </c>
      <c r="AP27" s="1">
        <v>0</v>
      </c>
      <c r="AQ27" s="1">
        <v>0</v>
      </c>
      <c r="AR27" s="1">
        <v>1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1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1</v>
      </c>
      <c r="BI27" s="1">
        <v>0</v>
      </c>
      <c r="BJ27" s="1">
        <v>1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1</v>
      </c>
      <c r="BR27" s="1">
        <v>0</v>
      </c>
      <c r="BS27" s="1">
        <v>1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1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1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1</v>
      </c>
      <c r="CW27" s="1">
        <v>0</v>
      </c>
      <c r="CX27" s="1">
        <v>1</v>
      </c>
      <c r="CY27" s="1">
        <v>0</v>
      </c>
      <c r="CZ27" s="1">
        <v>0</v>
      </c>
      <c r="DA27" s="1">
        <v>0</v>
      </c>
      <c r="DB27" s="1">
        <v>1</v>
      </c>
      <c r="DC27" s="1">
        <v>1</v>
      </c>
      <c r="DD27" s="1">
        <v>1</v>
      </c>
      <c r="DE27" s="1">
        <v>1</v>
      </c>
      <c r="DF27" s="1">
        <v>1</v>
      </c>
      <c r="DG27" s="1">
        <v>0</v>
      </c>
      <c r="DH27" s="1">
        <v>0</v>
      </c>
      <c r="DI27" s="1">
        <v>0</v>
      </c>
      <c r="DJ27" s="1">
        <v>0</v>
      </c>
      <c r="DK27" s="1">
        <v>1</v>
      </c>
      <c r="DL27" s="1">
        <v>1</v>
      </c>
      <c r="DM27" s="1">
        <v>1</v>
      </c>
      <c r="DN27" s="1">
        <v>0</v>
      </c>
      <c r="DO27" s="1">
        <v>0</v>
      </c>
      <c r="DP27" s="1">
        <v>1</v>
      </c>
      <c r="DQ27" s="1">
        <v>1</v>
      </c>
      <c r="DR27" s="1">
        <v>1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1</v>
      </c>
      <c r="DZ27" s="1">
        <v>1</v>
      </c>
      <c r="EA27" s="1">
        <v>1</v>
      </c>
      <c r="EB27" s="1">
        <v>0</v>
      </c>
      <c r="EC27" s="1">
        <v>0</v>
      </c>
      <c r="ED27" s="1">
        <v>0</v>
      </c>
      <c r="EE27" s="1">
        <v>0</v>
      </c>
      <c r="EF27" s="1">
        <v>1</v>
      </c>
      <c r="EG27" s="1">
        <v>0</v>
      </c>
      <c r="EH27" s="1">
        <v>0</v>
      </c>
      <c r="EI27" s="1">
        <v>0</v>
      </c>
      <c r="EJ27" s="1">
        <v>1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 t="s">
        <v>332</v>
      </c>
      <c r="ER27" s="1" t="s">
        <v>332</v>
      </c>
      <c r="ES27" s="1" t="s">
        <v>330</v>
      </c>
      <c r="ET27" s="1" t="s">
        <v>330</v>
      </c>
      <c r="EU27" s="1" t="s">
        <v>330</v>
      </c>
      <c r="EV27" s="1" t="s">
        <v>331</v>
      </c>
      <c r="EW27" s="1" t="s">
        <v>330</v>
      </c>
      <c r="EX27" s="1" t="s">
        <v>333</v>
      </c>
      <c r="EY27" s="1" t="s">
        <v>331</v>
      </c>
      <c r="EZ27" s="1" t="s">
        <v>333</v>
      </c>
      <c r="FA27" s="1" t="s">
        <v>330</v>
      </c>
      <c r="FB27" s="1" t="s">
        <v>332</v>
      </c>
      <c r="FC27" s="1" t="s">
        <v>330</v>
      </c>
      <c r="FD27" s="1" t="s">
        <v>330</v>
      </c>
      <c r="FE27" s="1" t="s">
        <v>333</v>
      </c>
      <c r="FF27" s="1" t="s">
        <v>330</v>
      </c>
      <c r="FG27" s="1" t="s">
        <v>332</v>
      </c>
      <c r="FH27" s="1" t="s">
        <v>331</v>
      </c>
      <c r="FI27" s="1" t="s">
        <v>330</v>
      </c>
      <c r="FJ27" s="1" t="s">
        <v>330</v>
      </c>
      <c r="FK27" s="1" t="s">
        <v>331</v>
      </c>
      <c r="FL27" s="1" t="s">
        <v>331</v>
      </c>
      <c r="FM27" s="1" t="s">
        <v>333</v>
      </c>
      <c r="FN27" s="1" t="s">
        <v>333</v>
      </c>
      <c r="FO27" s="1" t="s">
        <v>331</v>
      </c>
      <c r="FP27" s="1" t="s">
        <v>330</v>
      </c>
      <c r="FQ27" s="1" t="s">
        <v>330</v>
      </c>
      <c r="FR27" s="1" t="s">
        <v>333</v>
      </c>
      <c r="FS27" s="1" t="s">
        <v>333</v>
      </c>
      <c r="FT27" s="1" t="s">
        <v>332</v>
      </c>
      <c r="FU27" s="1" t="s">
        <v>331</v>
      </c>
      <c r="FV27" s="1" t="s">
        <v>331</v>
      </c>
      <c r="FW27" s="1" t="s">
        <v>330</v>
      </c>
      <c r="FX27" s="1" t="s">
        <v>332</v>
      </c>
      <c r="FY27" s="1" t="s">
        <v>333</v>
      </c>
      <c r="FZ27" s="1" t="s">
        <v>330</v>
      </c>
      <c r="GA27" s="1" t="s">
        <v>332</v>
      </c>
      <c r="GB27" s="1" t="s">
        <v>332</v>
      </c>
      <c r="GC27" s="1" t="s">
        <v>331</v>
      </c>
      <c r="GD27" s="1" t="s">
        <v>333</v>
      </c>
      <c r="GE27" s="1" t="s">
        <v>330</v>
      </c>
      <c r="GF27" s="1" t="s">
        <v>333</v>
      </c>
      <c r="GG27" s="1" t="s">
        <v>333</v>
      </c>
      <c r="GH27" s="1" t="s">
        <v>333</v>
      </c>
      <c r="GI27" s="1" t="s">
        <v>330</v>
      </c>
      <c r="GJ27" s="1" t="s">
        <v>331</v>
      </c>
      <c r="GK27" s="1" t="s">
        <v>333</v>
      </c>
      <c r="GL27" s="1" t="s">
        <v>331</v>
      </c>
      <c r="GM27" s="1" t="s">
        <v>330</v>
      </c>
      <c r="GN27" s="1" t="s">
        <v>333</v>
      </c>
      <c r="GO27" s="1" t="s">
        <v>331</v>
      </c>
      <c r="GP27" s="1" t="s">
        <v>331</v>
      </c>
      <c r="GQ27" s="1" t="s">
        <v>330</v>
      </c>
      <c r="GR27" s="1" t="s">
        <v>331</v>
      </c>
      <c r="GS27" s="1" t="s">
        <v>331</v>
      </c>
      <c r="GT27" s="1" t="s">
        <v>332</v>
      </c>
      <c r="GU27" s="1" t="s">
        <v>333</v>
      </c>
      <c r="GV27" s="1" t="s">
        <v>330</v>
      </c>
      <c r="GW27" s="1" t="s">
        <v>331</v>
      </c>
      <c r="GX27" s="1" t="s">
        <v>333</v>
      </c>
      <c r="GY27" s="1" t="s">
        <v>331</v>
      </c>
      <c r="GZ27" s="1" t="s">
        <v>330</v>
      </c>
      <c r="HA27" s="1" t="s">
        <v>331</v>
      </c>
      <c r="HB27" s="1" t="s">
        <v>330</v>
      </c>
      <c r="HC27" s="1" t="s">
        <v>333</v>
      </c>
      <c r="HD27" s="1" t="s">
        <v>330</v>
      </c>
      <c r="HE27" s="1" t="s">
        <v>333</v>
      </c>
      <c r="HF27" s="1" t="s">
        <v>330</v>
      </c>
      <c r="HG27" s="1" t="s">
        <v>330</v>
      </c>
      <c r="HH27" s="1" t="s">
        <v>333</v>
      </c>
      <c r="HI27" s="1" t="s">
        <v>333</v>
      </c>
      <c r="HJ27" s="1" t="s">
        <v>330</v>
      </c>
      <c r="HK27" s="1" t="s">
        <v>330</v>
      </c>
      <c r="HL27" s="1" t="s">
        <v>333</v>
      </c>
      <c r="HM27" s="1" t="s">
        <v>332</v>
      </c>
      <c r="HN27" s="1" t="s">
        <v>333</v>
      </c>
      <c r="HO27" s="1" t="s">
        <v>333</v>
      </c>
      <c r="HP27" s="1" t="s">
        <v>331</v>
      </c>
      <c r="HQ27" s="1" t="s">
        <v>331</v>
      </c>
      <c r="HR27" s="1" t="s">
        <v>331</v>
      </c>
      <c r="HS27" s="1" t="s">
        <v>333</v>
      </c>
      <c r="HT27" s="1" t="s">
        <v>332</v>
      </c>
      <c r="HU27" s="1" t="s">
        <v>330</v>
      </c>
      <c r="HV27" s="1" t="s">
        <v>332</v>
      </c>
      <c r="HW27" s="1" t="s">
        <v>330</v>
      </c>
      <c r="HX27" s="1" t="s">
        <v>333</v>
      </c>
      <c r="HY27" s="1" t="s">
        <v>330</v>
      </c>
      <c r="HZ27" s="1" t="s">
        <v>330</v>
      </c>
      <c r="IA27" s="1" t="s">
        <v>330</v>
      </c>
      <c r="IB27" s="1" t="s">
        <v>331</v>
      </c>
      <c r="IC27" s="1" t="s">
        <v>330</v>
      </c>
      <c r="ID27" s="1" t="s">
        <v>333</v>
      </c>
      <c r="IE27" s="1" t="s">
        <v>333</v>
      </c>
      <c r="IF27" s="1" t="s">
        <v>333</v>
      </c>
      <c r="IG27" s="1" t="s">
        <v>330</v>
      </c>
      <c r="IH27" s="1" t="s">
        <v>330</v>
      </c>
      <c r="II27" s="1" t="s">
        <v>333</v>
      </c>
      <c r="IJ27" s="1" t="s">
        <v>331</v>
      </c>
      <c r="IK27" s="1" t="s">
        <v>333</v>
      </c>
      <c r="IL27" s="1" t="s">
        <v>330</v>
      </c>
      <c r="IM27" s="1" t="s">
        <v>331</v>
      </c>
      <c r="IN27" s="1" t="s">
        <v>330</v>
      </c>
      <c r="IO27" s="1" t="s">
        <v>333</v>
      </c>
      <c r="IP27" s="1" t="s">
        <v>330</v>
      </c>
      <c r="IQ27" s="1" t="s">
        <v>331</v>
      </c>
      <c r="IR27" s="1" t="s">
        <v>333</v>
      </c>
      <c r="IS27" s="1" t="s">
        <v>331</v>
      </c>
      <c r="IT27" s="1" t="s">
        <v>333</v>
      </c>
      <c r="IU27" s="1" t="s">
        <v>330</v>
      </c>
      <c r="IV27" s="1" t="s">
        <v>331</v>
      </c>
      <c r="IW27" s="1" t="s">
        <v>331</v>
      </c>
      <c r="IX27" s="1" t="s">
        <v>330</v>
      </c>
      <c r="IY27" s="1" t="s">
        <v>333</v>
      </c>
      <c r="IZ27" s="1" t="s">
        <v>331</v>
      </c>
      <c r="JA27" s="1" t="s">
        <v>330</v>
      </c>
      <c r="JB27" s="1" t="s">
        <v>331</v>
      </c>
      <c r="JC27" s="1" t="s">
        <v>333</v>
      </c>
      <c r="JD27" s="1" t="s">
        <v>330</v>
      </c>
      <c r="JE27" s="1" t="s">
        <v>333</v>
      </c>
      <c r="JF27" s="1" t="s">
        <v>331</v>
      </c>
      <c r="JG27" s="1" t="s">
        <v>333</v>
      </c>
      <c r="JH27" s="1" t="s">
        <v>333</v>
      </c>
      <c r="JI27" s="1" t="s">
        <v>332</v>
      </c>
      <c r="JJ27" s="1" t="s">
        <v>330</v>
      </c>
      <c r="JK27" s="1" t="s">
        <v>330</v>
      </c>
      <c r="JL27" s="1" t="s">
        <v>331</v>
      </c>
      <c r="JM27" s="1" t="s">
        <v>333</v>
      </c>
      <c r="JN27" s="1" t="s">
        <v>332</v>
      </c>
      <c r="JO27" s="1" t="s">
        <v>330</v>
      </c>
      <c r="JP27" s="1" t="s">
        <v>333</v>
      </c>
      <c r="JQ27" s="1" t="s">
        <v>333</v>
      </c>
      <c r="JR27" s="1" t="s">
        <v>331</v>
      </c>
      <c r="JS27" s="1" t="s">
        <v>330</v>
      </c>
      <c r="JT27" s="1" t="s">
        <v>331</v>
      </c>
    </row>
    <row r="28" spans="1:280" x14ac:dyDescent="0.35">
      <c r="A28" s="1" t="s">
        <v>1734</v>
      </c>
      <c r="D28" s="1" t="s">
        <v>1765</v>
      </c>
      <c r="E28" s="1">
        <v>6208</v>
      </c>
      <c r="G28" s="1" t="s">
        <v>327</v>
      </c>
      <c r="H28" s="1" t="s">
        <v>312</v>
      </c>
      <c r="I28" s="1" t="s">
        <v>329</v>
      </c>
      <c r="J28" s="1" t="s">
        <v>1733</v>
      </c>
      <c r="K28" s="1" t="s">
        <v>1736</v>
      </c>
      <c r="M28" s="1">
        <v>1</v>
      </c>
      <c r="N28" s="1">
        <v>1</v>
      </c>
      <c r="O28" s="1">
        <v>0</v>
      </c>
      <c r="P28" s="1">
        <v>0</v>
      </c>
      <c r="Q28" s="1">
        <v>0</v>
      </c>
      <c r="R28" s="1">
        <v>0</v>
      </c>
      <c r="S28" s="1">
        <v>1</v>
      </c>
      <c r="T28" s="1">
        <v>0</v>
      </c>
      <c r="U28" s="1">
        <v>1</v>
      </c>
      <c r="V28" s="1">
        <v>0</v>
      </c>
      <c r="W28" s="1">
        <v>0</v>
      </c>
      <c r="X28" s="1">
        <v>0</v>
      </c>
      <c r="Y28" s="1">
        <v>1</v>
      </c>
      <c r="Z28" s="1">
        <v>1</v>
      </c>
      <c r="AA28" s="1">
        <v>0</v>
      </c>
      <c r="AB28" s="1">
        <v>1</v>
      </c>
      <c r="AC28" s="1">
        <v>0</v>
      </c>
      <c r="AD28" s="1">
        <v>0</v>
      </c>
      <c r="AE28" s="1">
        <v>1</v>
      </c>
      <c r="AF28" s="1">
        <v>0</v>
      </c>
      <c r="AG28" s="1">
        <v>0</v>
      </c>
      <c r="AH28" s="1">
        <v>1</v>
      </c>
      <c r="AI28" s="1">
        <v>0</v>
      </c>
      <c r="AJ28" s="1">
        <v>1</v>
      </c>
      <c r="AK28" s="1">
        <v>0</v>
      </c>
      <c r="AL28" s="1">
        <v>0</v>
      </c>
      <c r="AM28" s="1">
        <v>1</v>
      </c>
      <c r="AN28" s="1">
        <v>1</v>
      </c>
      <c r="AO28" s="1">
        <v>1</v>
      </c>
      <c r="AP28" s="1">
        <v>0</v>
      </c>
      <c r="AQ28" s="1">
        <v>0</v>
      </c>
      <c r="AR28" s="1">
        <v>1</v>
      </c>
      <c r="AS28" s="1">
        <v>0</v>
      </c>
      <c r="AT28" s="1">
        <v>0</v>
      </c>
      <c r="AU28" s="1">
        <v>0</v>
      </c>
      <c r="AV28" s="1">
        <v>0</v>
      </c>
      <c r="AW28" s="1">
        <v>1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1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1</v>
      </c>
      <c r="BQ28" s="1">
        <v>1</v>
      </c>
      <c r="BR28" s="1">
        <v>1</v>
      </c>
      <c r="BS28" s="1">
        <v>0</v>
      </c>
      <c r="BT28" s="1">
        <v>1</v>
      </c>
      <c r="BU28" s="1">
        <v>0</v>
      </c>
      <c r="BV28" s="1">
        <v>0</v>
      </c>
      <c r="BW28" s="1">
        <v>0</v>
      </c>
      <c r="BX28" s="1">
        <v>0</v>
      </c>
      <c r="BY28" s="1">
        <v>1</v>
      </c>
      <c r="BZ28" s="1">
        <v>0</v>
      </c>
      <c r="CA28" s="1">
        <v>0</v>
      </c>
      <c r="CB28" s="1">
        <v>0</v>
      </c>
      <c r="CC28" s="1">
        <v>1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1</v>
      </c>
      <c r="CJ28" s="1">
        <v>0</v>
      </c>
      <c r="CK28" s="1">
        <v>1</v>
      </c>
      <c r="CL28" s="1">
        <v>0</v>
      </c>
      <c r="CM28" s="1">
        <v>0</v>
      </c>
      <c r="CN28" s="1">
        <v>0</v>
      </c>
      <c r="CO28" s="1">
        <v>1</v>
      </c>
      <c r="CP28" s="1">
        <v>1</v>
      </c>
      <c r="CQ28" s="1">
        <v>0</v>
      </c>
      <c r="CR28" s="1">
        <v>0</v>
      </c>
      <c r="CS28" s="1">
        <v>1</v>
      </c>
      <c r="CT28" s="1">
        <v>1</v>
      </c>
      <c r="CU28" s="1">
        <v>0</v>
      </c>
      <c r="CV28" s="1">
        <v>0</v>
      </c>
      <c r="CW28" s="1">
        <v>1</v>
      </c>
      <c r="CX28" s="1">
        <v>0</v>
      </c>
      <c r="CY28" s="1">
        <v>1</v>
      </c>
      <c r="CZ28" s="1">
        <v>0</v>
      </c>
      <c r="DA28" s="1">
        <v>1</v>
      </c>
      <c r="DB28" s="1">
        <v>0</v>
      </c>
      <c r="DC28" s="1">
        <v>0</v>
      </c>
      <c r="DD28" s="1">
        <v>0</v>
      </c>
      <c r="DE28" s="1">
        <v>1</v>
      </c>
      <c r="DF28" s="1">
        <v>0</v>
      </c>
      <c r="DG28" s="1">
        <v>1</v>
      </c>
      <c r="DH28" s="1">
        <v>0</v>
      </c>
      <c r="DI28" s="1">
        <v>1</v>
      </c>
      <c r="DJ28" s="1">
        <v>0</v>
      </c>
      <c r="DK28" s="1">
        <v>0</v>
      </c>
      <c r="DL28" s="1">
        <v>1</v>
      </c>
      <c r="DM28" s="1">
        <v>1</v>
      </c>
      <c r="DN28" s="1">
        <v>0</v>
      </c>
      <c r="DO28" s="1">
        <v>1</v>
      </c>
      <c r="DP28" s="1">
        <v>0</v>
      </c>
      <c r="DQ28" s="1">
        <v>0</v>
      </c>
      <c r="DR28" s="1">
        <v>0</v>
      </c>
      <c r="DS28" s="1">
        <v>1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1</v>
      </c>
      <c r="DZ28" s="1">
        <v>0</v>
      </c>
      <c r="EA28" s="1">
        <v>0</v>
      </c>
      <c r="EB28" s="1">
        <v>1</v>
      </c>
      <c r="EC28" s="1">
        <v>1</v>
      </c>
      <c r="ED28" s="1">
        <v>0</v>
      </c>
      <c r="EE28" s="1">
        <v>1</v>
      </c>
      <c r="EF28" s="1">
        <v>1</v>
      </c>
      <c r="EG28" s="1">
        <v>0</v>
      </c>
      <c r="EH28" s="1">
        <v>0</v>
      </c>
      <c r="EI28" s="1">
        <v>0</v>
      </c>
      <c r="EJ28" s="1">
        <v>1</v>
      </c>
      <c r="EK28" s="1">
        <v>1</v>
      </c>
      <c r="EL28" s="1">
        <v>0</v>
      </c>
      <c r="EM28" s="1">
        <v>0</v>
      </c>
      <c r="EN28" s="1">
        <v>0</v>
      </c>
      <c r="EO28" s="1">
        <v>0</v>
      </c>
      <c r="EP28" s="1">
        <v>1</v>
      </c>
      <c r="EQ28" s="1" t="s">
        <v>330</v>
      </c>
      <c r="ER28" s="1" t="s">
        <v>331</v>
      </c>
      <c r="ES28" s="1" t="s">
        <v>330</v>
      </c>
      <c r="ET28" s="1" t="s">
        <v>332</v>
      </c>
      <c r="EU28" s="1" t="s">
        <v>333</v>
      </c>
      <c r="EV28" s="1" t="s">
        <v>331</v>
      </c>
      <c r="EW28" s="1" t="s">
        <v>332</v>
      </c>
      <c r="EX28" s="1" t="s">
        <v>330</v>
      </c>
      <c r="EY28" s="1" t="s">
        <v>331</v>
      </c>
      <c r="EZ28" s="1" t="s">
        <v>331</v>
      </c>
      <c r="FA28" s="1" t="s">
        <v>333</v>
      </c>
      <c r="FB28" s="1" t="s">
        <v>333</v>
      </c>
      <c r="FC28" s="1" t="s">
        <v>332</v>
      </c>
      <c r="FD28" s="1" t="s">
        <v>332</v>
      </c>
      <c r="FE28" s="1" t="s">
        <v>332</v>
      </c>
      <c r="FF28" s="1" t="s">
        <v>333</v>
      </c>
      <c r="FG28" s="1" t="s">
        <v>330</v>
      </c>
      <c r="FH28" s="1" t="s">
        <v>331</v>
      </c>
      <c r="FI28" s="1" t="s">
        <v>330</v>
      </c>
      <c r="FJ28" s="1" t="s">
        <v>333</v>
      </c>
      <c r="FK28" s="1" t="s">
        <v>330</v>
      </c>
      <c r="FL28" s="1" t="s">
        <v>333</v>
      </c>
      <c r="FM28" s="1" t="s">
        <v>331</v>
      </c>
      <c r="FN28" s="1" t="s">
        <v>332</v>
      </c>
      <c r="FO28" s="1" t="s">
        <v>330</v>
      </c>
      <c r="FP28" s="1" t="s">
        <v>333</v>
      </c>
      <c r="FQ28" s="1" t="s">
        <v>330</v>
      </c>
      <c r="FR28" s="1" t="s">
        <v>333</v>
      </c>
      <c r="FS28" s="1" t="s">
        <v>331</v>
      </c>
      <c r="FT28" s="1" t="s">
        <v>330</v>
      </c>
      <c r="FU28" s="1" t="s">
        <v>331</v>
      </c>
      <c r="FV28" s="1" t="s">
        <v>331</v>
      </c>
      <c r="FW28" s="1" t="s">
        <v>333</v>
      </c>
      <c r="FX28" s="1" t="s">
        <v>332</v>
      </c>
      <c r="FY28" s="1" t="s">
        <v>333</v>
      </c>
      <c r="FZ28" s="1" t="s">
        <v>330</v>
      </c>
      <c r="GA28" s="1" t="s">
        <v>333</v>
      </c>
      <c r="GB28" s="1" t="s">
        <v>332</v>
      </c>
      <c r="GC28" s="1" t="s">
        <v>330</v>
      </c>
      <c r="GD28" s="1" t="s">
        <v>330</v>
      </c>
      <c r="GE28" s="1" t="s">
        <v>331</v>
      </c>
      <c r="GF28" s="1" t="s">
        <v>333</v>
      </c>
      <c r="GG28" s="1" t="s">
        <v>331</v>
      </c>
      <c r="GH28" s="1" t="s">
        <v>331</v>
      </c>
      <c r="GI28" s="1" t="s">
        <v>333</v>
      </c>
      <c r="GJ28" s="1" t="s">
        <v>332</v>
      </c>
      <c r="GK28" s="1" t="s">
        <v>333</v>
      </c>
      <c r="GL28" s="1" t="s">
        <v>332</v>
      </c>
      <c r="GM28" s="1" t="s">
        <v>331</v>
      </c>
      <c r="GN28" s="1" t="s">
        <v>330</v>
      </c>
      <c r="GO28" s="1" t="s">
        <v>332</v>
      </c>
      <c r="GP28" s="1" t="s">
        <v>333</v>
      </c>
      <c r="GQ28" s="1" t="s">
        <v>332</v>
      </c>
      <c r="GR28" s="1" t="s">
        <v>330</v>
      </c>
      <c r="GS28" s="1" t="s">
        <v>331</v>
      </c>
      <c r="GT28" s="1" t="s">
        <v>331</v>
      </c>
      <c r="GU28" s="1" t="s">
        <v>333</v>
      </c>
      <c r="GV28" s="1" t="s">
        <v>333</v>
      </c>
      <c r="GW28" s="1" t="s">
        <v>330</v>
      </c>
      <c r="GX28" s="1" t="s">
        <v>331</v>
      </c>
      <c r="GY28" s="1" t="s">
        <v>333</v>
      </c>
      <c r="GZ28" s="1" t="s">
        <v>332</v>
      </c>
      <c r="HA28" s="1" t="s">
        <v>333</v>
      </c>
      <c r="HB28" s="1" t="s">
        <v>330</v>
      </c>
      <c r="HC28" s="1" t="s">
        <v>330</v>
      </c>
      <c r="HD28" s="1" t="s">
        <v>330</v>
      </c>
      <c r="HE28" s="1" t="s">
        <v>333</v>
      </c>
      <c r="HF28" s="1" t="s">
        <v>330</v>
      </c>
      <c r="HG28" s="1" t="s">
        <v>333</v>
      </c>
      <c r="HH28" s="1" t="s">
        <v>330</v>
      </c>
      <c r="HI28" s="1" t="s">
        <v>332</v>
      </c>
      <c r="HJ28" s="1" t="s">
        <v>332</v>
      </c>
      <c r="HK28" s="1" t="s">
        <v>331</v>
      </c>
      <c r="HL28" s="1" t="s">
        <v>332</v>
      </c>
      <c r="HM28" s="1" t="s">
        <v>330</v>
      </c>
      <c r="HN28" s="1" t="s">
        <v>333</v>
      </c>
      <c r="HO28" s="1" t="s">
        <v>331</v>
      </c>
      <c r="HP28" s="1" t="s">
        <v>332</v>
      </c>
      <c r="HQ28" s="1" t="s">
        <v>330</v>
      </c>
      <c r="HR28" s="1" t="s">
        <v>331</v>
      </c>
      <c r="HS28" s="1" t="s">
        <v>330</v>
      </c>
      <c r="HT28" s="1" t="s">
        <v>331</v>
      </c>
      <c r="HU28" s="1" t="s">
        <v>332</v>
      </c>
      <c r="HV28" s="1" t="s">
        <v>337</v>
      </c>
      <c r="HW28" s="1" t="s">
        <v>333</v>
      </c>
      <c r="HX28" s="1" t="s">
        <v>330</v>
      </c>
      <c r="HY28" s="1" t="s">
        <v>331</v>
      </c>
      <c r="HZ28" s="1" t="s">
        <v>333</v>
      </c>
      <c r="IA28" s="1" t="s">
        <v>333</v>
      </c>
      <c r="IB28" s="1" t="s">
        <v>330</v>
      </c>
      <c r="IC28" s="1" t="s">
        <v>333</v>
      </c>
      <c r="ID28" s="1" t="s">
        <v>331</v>
      </c>
      <c r="IE28" s="1" t="s">
        <v>331</v>
      </c>
      <c r="IF28" s="1" t="s">
        <v>330</v>
      </c>
      <c r="IG28" s="1" t="s">
        <v>333</v>
      </c>
      <c r="IH28" s="1" t="s">
        <v>331</v>
      </c>
      <c r="II28" s="1" t="s">
        <v>333</v>
      </c>
      <c r="IJ28" s="1" t="s">
        <v>330</v>
      </c>
      <c r="IK28" s="1" t="s">
        <v>331</v>
      </c>
      <c r="IL28" s="1" t="s">
        <v>333</v>
      </c>
      <c r="IM28" s="1" t="s">
        <v>333</v>
      </c>
      <c r="IN28" s="1" t="s">
        <v>333</v>
      </c>
      <c r="IO28" s="1" t="s">
        <v>331</v>
      </c>
      <c r="IP28" s="1" t="s">
        <v>330</v>
      </c>
      <c r="IQ28" s="1" t="s">
        <v>331</v>
      </c>
      <c r="IR28" s="1" t="s">
        <v>333</v>
      </c>
      <c r="IS28" s="1" t="s">
        <v>333</v>
      </c>
      <c r="IT28" s="1" t="s">
        <v>330</v>
      </c>
      <c r="IU28" s="1" t="s">
        <v>331</v>
      </c>
      <c r="IV28" s="1" t="s">
        <v>333</v>
      </c>
      <c r="IW28" s="1" t="s">
        <v>333</v>
      </c>
      <c r="IX28" s="1" t="s">
        <v>330</v>
      </c>
      <c r="IY28" s="1" t="s">
        <v>333</v>
      </c>
      <c r="IZ28" s="1" t="s">
        <v>333</v>
      </c>
      <c r="JA28" s="1" t="s">
        <v>330</v>
      </c>
      <c r="JB28" s="1" t="s">
        <v>331</v>
      </c>
      <c r="JC28" s="1" t="s">
        <v>333</v>
      </c>
      <c r="JD28" s="1" t="s">
        <v>333</v>
      </c>
      <c r="JE28" s="1" t="s">
        <v>331</v>
      </c>
      <c r="JF28" s="1" t="s">
        <v>333</v>
      </c>
      <c r="JG28" s="1" t="s">
        <v>332</v>
      </c>
      <c r="JH28" s="1" t="s">
        <v>333</v>
      </c>
      <c r="JI28" s="1" t="s">
        <v>331</v>
      </c>
      <c r="JJ28" s="1" t="s">
        <v>330</v>
      </c>
      <c r="JK28" s="1" t="s">
        <v>331</v>
      </c>
      <c r="JL28" s="1" t="s">
        <v>332</v>
      </c>
      <c r="JM28" s="1" t="s">
        <v>332</v>
      </c>
      <c r="JN28" s="1" t="s">
        <v>332</v>
      </c>
      <c r="JO28" s="1" t="s">
        <v>333</v>
      </c>
      <c r="JP28" s="1" t="s">
        <v>330</v>
      </c>
      <c r="JQ28" s="1" t="s">
        <v>331</v>
      </c>
      <c r="JR28" s="1" t="s">
        <v>333</v>
      </c>
      <c r="JS28" s="1" t="s">
        <v>330</v>
      </c>
      <c r="JT28" s="1" t="s">
        <v>332</v>
      </c>
    </row>
    <row r="29" spans="1:280" x14ac:dyDescent="0.35">
      <c r="A29" s="1" t="s">
        <v>1734</v>
      </c>
      <c r="D29" s="1" t="s">
        <v>1766</v>
      </c>
      <c r="E29" s="1">
        <v>6211</v>
      </c>
      <c r="G29" s="1" t="s">
        <v>184</v>
      </c>
      <c r="H29" s="1" t="s">
        <v>312</v>
      </c>
      <c r="I29" s="1" t="s">
        <v>1687</v>
      </c>
      <c r="J29" s="1" t="s">
        <v>1733</v>
      </c>
      <c r="K29" s="1" t="s">
        <v>1736</v>
      </c>
      <c r="M29" s="1">
        <v>1</v>
      </c>
      <c r="N29" s="1">
        <v>0</v>
      </c>
      <c r="O29" s="1">
        <v>1</v>
      </c>
      <c r="P29" s="1">
        <v>1</v>
      </c>
      <c r="Q29" s="1">
        <v>0</v>
      </c>
      <c r="R29" s="1">
        <v>0</v>
      </c>
      <c r="S29" s="1">
        <v>1</v>
      </c>
      <c r="T29" s="1">
        <v>1</v>
      </c>
      <c r="U29" s="1">
        <v>1</v>
      </c>
      <c r="V29" s="1">
        <v>0</v>
      </c>
      <c r="W29" s="1">
        <v>1</v>
      </c>
      <c r="X29" s="1">
        <v>0</v>
      </c>
      <c r="Y29" s="1">
        <v>0</v>
      </c>
      <c r="Z29" s="1">
        <v>0</v>
      </c>
      <c r="AA29" s="1">
        <v>1</v>
      </c>
      <c r="AB29" s="1">
        <v>0</v>
      </c>
      <c r="AC29" s="1">
        <v>0</v>
      </c>
      <c r="AD29" s="1">
        <v>1</v>
      </c>
      <c r="AE29" s="1">
        <v>1</v>
      </c>
      <c r="AF29" s="1">
        <v>1</v>
      </c>
      <c r="AG29" s="1">
        <v>1</v>
      </c>
      <c r="AH29" s="1">
        <v>0</v>
      </c>
      <c r="AI29" s="1">
        <v>1</v>
      </c>
      <c r="AJ29" s="1">
        <v>0</v>
      </c>
      <c r="AK29" s="1">
        <v>1</v>
      </c>
      <c r="AL29" s="1">
        <v>0</v>
      </c>
      <c r="AM29" s="1">
        <v>1</v>
      </c>
      <c r="AN29" s="1">
        <v>0</v>
      </c>
      <c r="AO29" s="1">
        <v>1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1</v>
      </c>
      <c r="AW29" s="1">
        <v>0</v>
      </c>
      <c r="AX29" s="1">
        <v>1</v>
      </c>
      <c r="AY29" s="1">
        <v>1</v>
      </c>
      <c r="AZ29" s="1">
        <v>0</v>
      </c>
      <c r="BA29" s="1">
        <v>0</v>
      </c>
      <c r="BB29" s="1">
        <v>0</v>
      </c>
      <c r="BC29" s="1">
        <v>1</v>
      </c>
      <c r="BD29" s="1">
        <v>0</v>
      </c>
      <c r="BE29" s="1">
        <v>1</v>
      </c>
      <c r="BF29" s="1">
        <v>1</v>
      </c>
      <c r="BG29" s="1">
        <v>0</v>
      </c>
      <c r="BH29" s="1">
        <v>0</v>
      </c>
      <c r="BI29" s="1">
        <v>0</v>
      </c>
      <c r="BJ29" s="1">
        <v>1</v>
      </c>
      <c r="BK29" s="1">
        <v>0</v>
      </c>
      <c r="BL29" s="1">
        <v>1</v>
      </c>
      <c r="BM29" s="1">
        <v>0</v>
      </c>
      <c r="BN29" s="1">
        <v>1</v>
      </c>
      <c r="BO29" s="1">
        <v>0</v>
      </c>
      <c r="BP29" s="1">
        <v>1</v>
      </c>
      <c r="BQ29" s="1">
        <v>1</v>
      </c>
      <c r="BR29" s="1">
        <v>1</v>
      </c>
      <c r="BS29" s="1">
        <v>0</v>
      </c>
      <c r="BT29" s="1">
        <v>1</v>
      </c>
      <c r="BU29" s="1">
        <v>1</v>
      </c>
      <c r="BV29" s="1">
        <v>0</v>
      </c>
      <c r="BW29" s="1">
        <v>1</v>
      </c>
      <c r="BX29" s="1">
        <v>0</v>
      </c>
      <c r="BY29" s="1">
        <v>0</v>
      </c>
      <c r="BZ29" s="1">
        <v>1</v>
      </c>
      <c r="CA29" s="1">
        <v>0</v>
      </c>
      <c r="CB29" s="1">
        <v>1</v>
      </c>
      <c r="CC29" s="1">
        <v>1</v>
      </c>
      <c r="CD29" s="1">
        <v>1</v>
      </c>
      <c r="CE29" s="1">
        <v>0</v>
      </c>
      <c r="CF29" s="1">
        <v>0</v>
      </c>
      <c r="CG29" s="1">
        <v>1</v>
      </c>
      <c r="CH29" s="1">
        <v>1</v>
      </c>
      <c r="CI29" s="1">
        <v>1</v>
      </c>
      <c r="CJ29" s="1">
        <v>0</v>
      </c>
      <c r="CK29" s="1">
        <v>0</v>
      </c>
      <c r="CL29" s="1">
        <v>0</v>
      </c>
      <c r="CM29" s="1">
        <v>1</v>
      </c>
      <c r="CN29" s="1">
        <v>0</v>
      </c>
      <c r="CO29" s="1">
        <v>1</v>
      </c>
      <c r="CP29" s="1">
        <v>1</v>
      </c>
      <c r="CQ29" s="1">
        <v>1</v>
      </c>
      <c r="CR29" s="1">
        <v>0</v>
      </c>
      <c r="CS29" s="1">
        <v>1</v>
      </c>
      <c r="CT29" s="1">
        <v>1</v>
      </c>
      <c r="CU29" s="1">
        <v>1</v>
      </c>
      <c r="CV29" s="1">
        <v>0</v>
      </c>
      <c r="CW29" s="1">
        <v>1</v>
      </c>
      <c r="CX29" s="1">
        <v>0</v>
      </c>
      <c r="CY29" s="1">
        <v>0</v>
      </c>
      <c r="CZ29" s="1">
        <v>0</v>
      </c>
      <c r="DA29" s="1">
        <v>0</v>
      </c>
      <c r="DB29" s="1">
        <v>1</v>
      </c>
      <c r="DC29" s="1">
        <v>0</v>
      </c>
      <c r="DD29" s="1">
        <v>0</v>
      </c>
      <c r="DE29" s="1">
        <v>1</v>
      </c>
      <c r="DF29" s="1">
        <v>1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1</v>
      </c>
      <c r="DM29" s="1">
        <v>1</v>
      </c>
      <c r="DN29" s="1">
        <v>0</v>
      </c>
      <c r="DO29" s="1">
        <v>0</v>
      </c>
      <c r="DP29" s="1">
        <v>1</v>
      </c>
      <c r="DQ29" s="1">
        <v>1</v>
      </c>
      <c r="DR29" s="1">
        <v>0</v>
      </c>
      <c r="DS29" s="1">
        <v>1</v>
      </c>
      <c r="DT29" s="1">
        <v>1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1</v>
      </c>
      <c r="EE29" s="1">
        <v>1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1</v>
      </c>
      <c r="EL29" s="1">
        <v>1</v>
      </c>
      <c r="EM29" s="1">
        <v>0</v>
      </c>
      <c r="EN29" s="1">
        <v>0</v>
      </c>
      <c r="EO29" s="1">
        <v>0</v>
      </c>
      <c r="EP29" s="1">
        <v>0</v>
      </c>
      <c r="EQ29" s="1" t="s">
        <v>330</v>
      </c>
      <c r="ER29" s="1" t="s">
        <v>332</v>
      </c>
      <c r="ES29" s="1" t="s">
        <v>333</v>
      </c>
      <c r="ET29" s="1" t="s">
        <v>331</v>
      </c>
      <c r="EU29" s="1" t="s">
        <v>331</v>
      </c>
      <c r="EV29" s="1" t="s">
        <v>332</v>
      </c>
      <c r="EW29" s="1" t="s">
        <v>332</v>
      </c>
      <c r="EX29" s="1" t="s">
        <v>331</v>
      </c>
      <c r="EY29" s="1" t="s">
        <v>331</v>
      </c>
      <c r="EZ29" s="1" t="s">
        <v>332</v>
      </c>
      <c r="FA29" s="1" t="s">
        <v>332</v>
      </c>
      <c r="FB29" s="1" t="s">
        <v>333</v>
      </c>
      <c r="FC29" s="1" t="s">
        <v>333</v>
      </c>
      <c r="FD29" s="1" t="s">
        <v>333</v>
      </c>
      <c r="FE29" s="1" t="s">
        <v>331</v>
      </c>
      <c r="FF29" s="1" t="s">
        <v>330</v>
      </c>
      <c r="FG29" s="1" t="s">
        <v>332</v>
      </c>
      <c r="FH29" s="1" t="s">
        <v>333</v>
      </c>
      <c r="FI29" s="1" t="s">
        <v>330</v>
      </c>
      <c r="FJ29" s="1" t="s">
        <v>330</v>
      </c>
      <c r="FK29" s="1" t="s">
        <v>331</v>
      </c>
      <c r="FL29" s="1" t="s">
        <v>331</v>
      </c>
      <c r="FM29" s="1" t="s">
        <v>333</v>
      </c>
      <c r="FN29" s="1" t="s">
        <v>331</v>
      </c>
      <c r="FO29" s="1" t="s">
        <v>331</v>
      </c>
      <c r="FP29" s="1" t="s">
        <v>331</v>
      </c>
      <c r="FQ29" s="1" t="s">
        <v>330</v>
      </c>
      <c r="FR29" s="1" t="s">
        <v>332</v>
      </c>
      <c r="FS29" s="1" t="s">
        <v>331</v>
      </c>
      <c r="FT29" s="1" t="s">
        <v>331</v>
      </c>
      <c r="FU29" s="1" t="s">
        <v>332</v>
      </c>
      <c r="FV29" s="1" t="s">
        <v>332</v>
      </c>
      <c r="FW29" s="1" t="s">
        <v>333</v>
      </c>
      <c r="FX29" s="1" t="s">
        <v>330</v>
      </c>
      <c r="FY29" s="1" t="s">
        <v>330</v>
      </c>
      <c r="FZ29" s="1" t="s">
        <v>331</v>
      </c>
      <c r="GA29" s="1" t="s">
        <v>332</v>
      </c>
      <c r="GB29" s="1" t="s">
        <v>331</v>
      </c>
      <c r="GC29" s="1" t="s">
        <v>331</v>
      </c>
      <c r="GD29" s="1" t="s">
        <v>330</v>
      </c>
      <c r="GE29" s="1" t="s">
        <v>331</v>
      </c>
      <c r="GF29" s="1" t="s">
        <v>332</v>
      </c>
      <c r="GG29" s="1" t="s">
        <v>330</v>
      </c>
      <c r="GH29" s="1" t="s">
        <v>333</v>
      </c>
      <c r="GI29" s="1" t="s">
        <v>331</v>
      </c>
      <c r="GJ29" s="1" t="s">
        <v>333</v>
      </c>
      <c r="GK29" s="1" t="s">
        <v>330</v>
      </c>
      <c r="GL29" s="1" t="s">
        <v>330</v>
      </c>
      <c r="GM29" s="1" t="s">
        <v>332</v>
      </c>
      <c r="GN29" s="1" t="s">
        <v>333</v>
      </c>
      <c r="GO29" s="1" t="s">
        <v>332</v>
      </c>
      <c r="GP29" s="1" t="s">
        <v>332</v>
      </c>
      <c r="GQ29" s="1" t="s">
        <v>333</v>
      </c>
      <c r="GR29" s="1" t="s">
        <v>333</v>
      </c>
      <c r="GS29" s="1" t="s">
        <v>331</v>
      </c>
      <c r="GT29" s="1" t="s">
        <v>331</v>
      </c>
      <c r="GU29" s="1" t="s">
        <v>333</v>
      </c>
      <c r="GV29" s="1" t="s">
        <v>333</v>
      </c>
      <c r="GW29" s="1" t="s">
        <v>333</v>
      </c>
      <c r="GX29" s="1" t="s">
        <v>331</v>
      </c>
      <c r="GY29" s="1" t="s">
        <v>330</v>
      </c>
      <c r="GZ29" s="1" t="s">
        <v>333</v>
      </c>
      <c r="HA29" s="1" t="s">
        <v>330</v>
      </c>
      <c r="HB29" s="1" t="s">
        <v>330</v>
      </c>
      <c r="HC29" s="1" t="s">
        <v>331</v>
      </c>
      <c r="HD29" s="1" t="s">
        <v>332</v>
      </c>
      <c r="HE29" s="1" t="s">
        <v>330</v>
      </c>
      <c r="HF29" s="1" t="s">
        <v>331</v>
      </c>
      <c r="HG29" s="1" t="s">
        <v>333</v>
      </c>
      <c r="HH29" s="1" t="s">
        <v>333</v>
      </c>
      <c r="HI29" s="1" t="s">
        <v>332</v>
      </c>
      <c r="HJ29" s="1" t="s">
        <v>332</v>
      </c>
      <c r="HK29" s="1" t="s">
        <v>333</v>
      </c>
      <c r="HL29" s="1" t="s">
        <v>330</v>
      </c>
      <c r="HM29" s="1" t="s">
        <v>330</v>
      </c>
      <c r="HN29" s="1" t="s">
        <v>331</v>
      </c>
      <c r="HO29" s="1" t="s">
        <v>333</v>
      </c>
      <c r="HP29" s="1" t="s">
        <v>332</v>
      </c>
      <c r="HQ29" s="1" t="s">
        <v>333</v>
      </c>
      <c r="HR29" s="1" t="s">
        <v>336</v>
      </c>
      <c r="HS29" s="1" t="s">
        <v>330</v>
      </c>
      <c r="HT29" s="1" t="s">
        <v>331</v>
      </c>
      <c r="HU29" s="1" t="s">
        <v>337</v>
      </c>
      <c r="HV29" s="1" t="s">
        <v>335</v>
      </c>
      <c r="HW29" s="1" t="s">
        <v>333</v>
      </c>
      <c r="HX29" s="1" t="s">
        <v>330</v>
      </c>
      <c r="HY29" s="1" t="s">
        <v>333</v>
      </c>
      <c r="HZ29" s="1" t="s">
        <v>333</v>
      </c>
      <c r="IA29" s="1" t="s">
        <v>333</v>
      </c>
      <c r="IB29" s="1" t="s">
        <v>330</v>
      </c>
      <c r="IC29" s="1" t="s">
        <v>330</v>
      </c>
      <c r="ID29" s="1" t="s">
        <v>331</v>
      </c>
      <c r="IE29" s="1" t="s">
        <v>333</v>
      </c>
      <c r="IF29" s="1" t="s">
        <v>333</v>
      </c>
      <c r="IG29" s="1" t="s">
        <v>331</v>
      </c>
      <c r="IH29" s="1" t="s">
        <v>333</v>
      </c>
      <c r="II29" s="1" t="s">
        <v>333</v>
      </c>
      <c r="IJ29" s="1" t="s">
        <v>331</v>
      </c>
      <c r="IK29" s="1" t="s">
        <v>333</v>
      </c>
      <c r="IL29" s="1" t="s">
        <v>333</v>
      </c>
      <c r="IM29" s="1" t="s">
        <v>331</v>
      </c>
      <c r="IN29" s="1" t="s">
        <v>330</v>
      </c>
      <c r="IO29" s="1" t="s">
        <v>330</v>
      </c>
      <c r="IP29" s="1" t="s">
        <v>330</v>
      </c>
      <c r="IQ29" s="1" t="s">
        <v>331</v>
      </c>
      <c r="IR29" s="1" t="s">
        <v>330</v>
      </c>
      <c r="IS29" s="1" t="s">
        <v>330</v>
      </c>
      <c r="IT29" s="1" t="s">
        <v>333</v>
      </c>
      <c r="IU29" s="1" t="s">
        <v>330</v>
      </c>
      <c r="IV29" s="1" t="s">
        <v>333</v>
      </c>
      <c r="IW29" s="1" t="s">
        <v>333</v>
      </c>
      <c r="IX29" s="1" t="s">
        <v>331</v>
      </c>
      <c r="IY29" s="1" t="s">
        <v>330</v>
      </c>
      <c r="IZ29" s="1" t="s">
        <v>333</v>
      </c>
      <c r="JA29" s="1" t="s">
        <v>330</v>
      </c>
      <c r="JB29" s="1" t="s">
        <v>333</v>
      </c>
      <c r="JC29" s="1" t="s">
        <v>331</v>
      </c>
      <c r="JD29" s="1" t="s">
        <v>333</v>
      </c>
      <c r="JE29" s="1" t="s">
        <v>331</v>
      </c>
      <c r="JF29" s="1" t="s">
        <v>330</v>
      </c>
      <c r="JG29" s="1" t="s">
        <v>333</v>
      </c>
      <c r="JH29" s="1" t="s">
        <v>331</v>
      </c>
      <c r="JI29" s="1" t="s">
        <v>331</v>
      </c>
      <c r="JJ29" s="1" t="s">
        <v>333</v>
      </c>
      <c r="JK29" s="1" t="s">
        <v>330</v>
      </c>
      <c r="JL29" s="1" t="s">
        <v>332</v>
      </c>
      <c r="JM29" s="1" t="s">
        <v>332</v>
      </c>
      <c r="JN29" s="1" t="s">
        <v>330</v>
      </c>
      <c r="JO29" s="1" t="s">
        <v>333</v>
      </c>
      <c r="JP29" s="1" t="s">
        <v>331</v>
      </c>
      <c r="JQ29" s="1" t="s">
        <v>333</v>
      </c>
      <c r="JR29" s="1" t="s">
        <v>333</v>
      </c>
      <c r="JS29" s="1" t="s">
        <v>331</v>
      </c>
      <c r="JT29" s="1" t="s">
        <v>330</v>
      </c>
    </row>
    <row r="30" spans="1:280" x14ac:dyDescent="0.35">
      <c r="A30" s="1" t="s">
        <v>1734</v>
      </c>
      <c r="D30" s="1" t="s">
        <v>1767</v>
      </c>
      <c r="E30" s="1">
        <v>6212</v>
      </c>
      <c r="G30" s="1" t="s">
        <v>324</v>
      </c>
      <c r="H30" s="1" t="s">
        <v>312</v>
      </c>
      <c r="I30" s="1" t="s">
        <v>1703</v>
      </c>
      <c r="J30" s="1" t="s">
        <v>1733</v>
      </c>
      <c r="K30" s="1" t="s">
        <v>1736</v>
      </c>
      <c r="M30" s="1">
        <v>1</v>
      </c>
      <c r="N30" s="1">
        <v>0</v>
      </c>
      <c r="O30" s="1">
        <v>0</v>
      </c>
      <c r="P30" s="1">
        <v>0</v>
      </c>
      <c r="Q30" s="1">
        <v>1</v>
      </c>
      <c r="R30" s="1">
        <v>0</v>
      </c>
      <c r="S30" s="1">
        <v>1</v>
      </c>
      <c r="T30" s="1">
        <v>0</v>
      </c>
      <c r="U30" s="1">
        <v>1</v>
      </c>
      <c r="V30" s="1">
        <v>0</v>
      </c>
      <c r="W30" s="1">
        <v>1</v>
      </c>
      <c r="X30" s="1">
        <v>0</v>
      </c>
      <c r="Y30" s="1">
        <v>1</v>
      </c>
      <c r="Z30" s="1">
        <v>0</v>
      </c>
      <c r="AA30" s="1">
        <v>1</v>
      </c>
      <c r="AB30" s="1">
        <v>0</v>
      </c>
      <c r="AC30" s="1">
        <v>0</v>
      </c>
      <c r="AD30" s="1">
        <v>1</v>
      </c>
      <c r="AE30" s="1">
        <v>1</v>
      </c>
      <c r="AF30" s="1">
        <v>0</v>
      </c>
      <c r="AG30" s="1">
        <v>1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1</v>
      </c>
      <c r="AN30" s="1">
        <v>0</v>
      </c>
      <c r="AO30" s="1">
        <v>1</v>
      </c>
      <c r="AP30" s="1">
        <v>0</v>
      </c>
      <c r="AQ30" s="1">
        <v>0</v>
      </c>
      <c r="AR30" s="1">
        <v>1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1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1</v>
      </c>
      <c r="BE30" s="1">
        <v>1</v>
      </c>
      <c r="BF30" s="1">
        <v>1</v>
      </c>
      <c r="BG30" s="1">
        <v>0</v>
      </c>
      <c r="BH30" s="1">
        <v>0</v>
      </c>
      <c r="BI30" s="1">
        <v>1</v>
      </c>
      <c r="BJ30" s="1">
        <v>0</v>
      </c>
      <c r="BK30" s="1">
        <v>0</v>
      </c>
      <c r="BL30" s="1">
        <v>1</v>
      </c>
      <c r="BM30" s="1">
        <v>0</v>
      </c>
      <c r="BN30" s="1">
        <v>0</v>
      </c>
      <c r="BO30" s="1">
        <v>1</v>
      </c>
      <c r="BP30" s="1">
        <v>0</v>
      </c>
      <c r="BQ30" s="1">
        <v>1</v>
      </c>
      <c r="BR30" s="1">
        <v>1</v>
      </c>
      <c r="BS30" s="1">
        <v>0</v>
      </c>
      <c r="BT30" s="1">
        <v>1</v>
      </c>
      <c r="BU30" s="1">
        <v>0</v>
      </c>
      <c r="BV30" s="1">
        <v>0</v>
      </c>
      <c r="BW30" s="1">
        <v>0</v>
      </c>
      <c r="BX30" s="1">
        <v>0</v>
      </c>
      <c r="BY30" s="1">
        <v>1</v>
      </c>
      <c r="BZ30" s="1">
        <v>0</v>
      </c>
      <c r="CA30" s="1">
        <v>0</v>
      </c>
      <c r="CB30" s="1">
        <v>0</v>
      </c>
      <c r="CC30" s="1">
        <v>0</v>
      </c>
      <c r="CD30" s="1">
        <v>1</v>
      </c>
      <c r="CE30" s="1">
        <v>0</v>
      </c>
      <c r="CF30" s="1">
        <v>0</v>
      </c>
      <c r="CG30" s="1">
        <v>1</v>
      </c>
      <c r="CH30" s="1">
        <v>0</v>
      </c>
      <c r="CI30" s="1">
        <v>0</v>
      </c>
      <c r="CJ30" s="1">
        <v>0</v>
      </c>
      <c r="CK30" s="1">
        <v>0</v>
      </c>
      <c r="CL30" s="1">
        <v>1</v>
      </c>
      <c r="CM30" s="1">
        <v>0</v>
      </c>
      <c r="CN30" s="1">
        <v>0</v>
      </c>
      <c r="CO30" s="1">
        <v>1</v>
      </c>
      <c r="CP30" s="1">
        <v>1</v>
      </c>
      <c r="CQ30" s="1">
        <v>0</v>
      </c>
      <c r="CR30" s="1">
        <v>1</v>
      </c>
      <c r="CS30" s="1">
        <v>0</v>
      </c>
      <c r="CT30" s="1">
        <v>1</v>
      </c>
      <c r="CU30" s="1">
        <v>1</v>
      </c>
      <c r="CV30" s="1">
        <v>0</v>
      </c>
      <c r="CW30" s="1">
        <v>1</v>
      </c>
      <c r="CX30" s="1">
        <v>1</v>
      </c>
      <c r="CY30" s="1">
        <v>1</v>
      </c>
      <c r="CZ30" s="1">
        <v>0</v>
      </c>
      <c r="DA30" s="1">
        <v>0</v>
      </c>
      <c r="DB30" s="1">
        <v>0</v>
      </c>
      <c r="DC30" s="1">
        <v>0</v>
      </c>
      <c r="DD30" s="1">
        <v>1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1</v>
      </c>
      <c r="DN30" s="1">
        <v>1</v>
      </c>
      <c r="DO30" s="1">
        <v>1</v>
      </c>
      <c r="DP30" s="1">
        <v>0</v>
      </c>
      <c r="DQ30" s="1">
        <v>0</v>
      </c>
      <c r="DR30" s="1">
        <v>0</v>
      </c>
      <c r="DS30" s="1">
        <v>0</v>
      </c>
      <c r="DT30" s="1">
        <v>1</v>
      </c>
      <c r="DU30" s="1">
        <v>0</v>
      </c>
      <c r="DV30" s="1">
        <v>0</v>
      </c>
      <c r="DW30" s="1">
        <v>1</v>
      </c>
      <c r="DX30" s="1">
        <v>1</v>
      </c>
      <c r="DY30" s="1">
        <v>0</v>
      </c>
      <c r="DZ30" s="1">
        <v>1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1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1</v>
      </c>
      <c r="EO30" s="1">
        <v>1</v>
      </c>
      <c r="EP30" s="1">
        <v>1</v>
      </c>
      <c r="EQ30" s="1" t="s">
        <v>330</v>
      </c>
      <c r="ER30" s="1" t="s">
        <v>332</v>
      </c>
      <c r="ES30" s="1" t="s">
        <v>331</v>
      </c>
      <c r="ET30" s="1" t="s">
        <v>333</v>
      </c>
      <c r="EU30" s="1" t="s">
        <v>332</v>
      </c>
      <c r="EV30" s="1" t="s">
        <v>331</v>
      </c>
      <c r="EW30" s="1" t="s">
        <v>332</v>
      </c>
      <c r="EX30" s="1" t="s">
        <v>330</v>
      </c>
      <c r="EY30" s="1" t="s">
        <v>331</v>
      </c>
      <c r="EZ30" s="1" t="s">
        <v>333</v>
      </c>
      <c r="FA30" s="1" t="s">
        <v>332</v>
      </c>
      <c r="FB30" s="1" t="s">
        <v>332</v>
      </c>
      <c r="FC30" s="1" t="s">
        <v>332</v>
      </c>
      <c r="FD30" s="1" t="s">
        <v>333</v>
      </c>
      <c r="FE30" s="1" t="s">
        <v>331</v>
      </c>
      <c r="FF30" s="1" t="s">
        <v>330</v>
      </c>
      <c r="FG30" s="1" t="s">
        <v>332</v>
      </c>
      <c r="FH30" s="1" t="s">
        <v>333</v>
      </c>
      <c r="FI30" s="1" t="s">
        <v>330</v>
      </c>
      <c r="FJ30" s="1" t="s">
        <v>333</v>
      </c>
      <c r="FK30" s="1" t="s">
        <v>331</v>
      </c>
      <c r="FL30" s="1" t="s">
        <v>331</v>
      </c>
      <c r="FM30" s="1" t="s">
        <v>330</v>
      </c>
      <c r="FN30" s="1" t="s">
        <v>331</v>
      </c>
      <c r="FO30" s="1" t="s">
        <v>330</v>
      </c>
      <c r="FP30" s="1" t="s">
        <v>333</v>
      </c>
      <c r="FQ30" s="1" t="s">
        <v>330</v>
      </c>
      <c r="FR30" s="1" t="s">
        <v>331</v>
      </c>
      <c r="FS30" s="1" t="s">
        <v>331</v>
      </c>
      <c r="FT30" s="1" t="s">
        <v>330</v>
      </c>
      <c r="FU30" s="1" t="s">
        <v>332</v>
      </c>
      <c r="FV30" s="1" t="s">
        <v>331</v>
      </c>
      <c r="FW30" s="1" t="s">
        <v>332</v>
      </c>
      <c r="FX30" s="1" t="s">
        <v>332</v>
      </c>
      <c r="FY30" s="1" t="s">
        <v>333</v>
      </c>
      <c r="FZ30" s="1" t="s">
        <v>333</v>
      </c>
      <c r="GA30" s="1" t="s">
        <v>332</v>
      </c>
      <c r="GB30" s="1" t="s">
        <v>331</v>
      </c>
      <c r="GC30" s="1" t="s">
        <v>330</v>
      </c>
      <c r="GD30" s="1" t="s">
        <v>330</v>
      </c>
      <c r="GE30" s="1" t="s">
        <v>331</v>
      </c>
      <c r="GF30" s="1" t="s">
        <v>332</v>
      </c>
      <c r="GG30" s="1" t="s">
        <v>331</v>
      </c>
      <c r="GH30" s="1" t="s">
        <v>330</v>
      </c>
      <c r="GI30" s="1" t="s">
        <v>331</v>
      </c>
      <c r="GJ30" s="1" t="s">
        <v>333</v>
      </c>
      <c r="GK30" s="1" t="s">
        <v>331</v>
      </c>
      <c r="GL30" s="1" t="s">
        <v>332</v>
      </c>
      <c r="GM30" s="1" t="s">
        <v>331</v>
      </c>
      <c r="GN30" s="1" t="s">
        <v>332</v>
      </c>
      <c r="GO30" s="1" t="s">
        <v>331</v>
      </c>
      <c r="GP30" s="1" t="s">
        <v>332</v>
      </c>
      <c r="GQ30" s="1" t="s">
        <v>330</v>
      </c>
      <c r="GR30" s="1" t="s">
        <v>330</v>
      </c>
      <c r="GS30" s="1" t="s">
        <v>333</v>
      </c>
      <c r="GT30" s="1" t="s">
        <v>332</v>
      </c>
      <c r="GU30" s="1" t="s">
        <v>333</v>
      </c>
      <c r="GV30" s="1" t="s">
        <v>333</v>
      </c>
      <c r="GW30" s="1" t="s">
        <v>330</v>
      </c>
      <c r="GX30" s="1" t="s">
        <v>331</v>
      </c>
      <c r="GY30" s="1" t="s">
        <v>333</v>
      </c>
      <c r="GZ30" s="1" t="s">
        <v>330</v>
      </c>
      <c r="HA30" s="1" t="s">
        <v>331</v>
      </c>
      <c r="HB30" s="1" t="s">
        <v>332</v>
      </c>
      <c r="HC30" s="1" t="s">
        <v>330</v>
      </c>
      <c r="HD30" s="1" t="s">
        <v>330</v>
      </c>
      <c r="HE30" s="1" t="s">
        <v>333</v>
      </c>
      <c r="HF30" s="1" t="s">
        <v>330</v>
      </c>
      <c r="HG30" s="1" t="s">
        <v>331</v>
      </c>
      <c r="HH30" s="1" t="s">
        <v>333</v>
      </c>
      <c r="HI30" s="1" t="s">
        <v>332</v>
      </c>
      <c r="HJ30" s="1" t="s">
        <v>332</v>
      </c>
      <c r="HK30" s="1" t="s">
        <v>333</v>
      </c>
      <c r="HL30" s="1" t="s">
        <v>333</v>
      </c>
      <c r="HM30" s="1" t="s">
        <v>331</v>
      </c>
      <c r="HN30" s="1" t="s">
        <v>332</v>
      </c>
      <c r="HO30" s="1" t="s">
        <v>330</v>
      </c>
      <c r="HP30" s="1" t="s">
        <v>331</v>
      </c>
      <c r="HQ30" s="1" t="s">
        <v>331</v>
      </c>
      <c r="HR30" s="1" t="s">
        <v>337</v>
      </c>
      <c r="HS30" s="1" t="s">
        <v>330</v>
      </c>
      <c r="HT30" s="1" t="s">
        <v>331</v>
      </c>
      <c r="HU30" s="1" t="s">
        <v>332</v>
      </c>
      <c r="HV30" s="1" t="s">
        <v>336</v>
      </c>
      <c r="HW30" s="1" t="s">
        <v>331</v>
      </c>
      <c r="HX30" s="1" t="s">
        <v>330</v>
      </c>
      <c r="HY30" s="1" t="s">
        <v>333</v>
      </c>
      <c r="HZ30" s="1" t="s">
        <v>333</v>
      </c>
      <c r="IA30" s="1" t="s">
        <v>333</v>
      </c>
      <c r="IB30" s="1" t="s">
        <v>331</v>
      </c>
      <c r="IC30" s="1" t="s">
        <v>333</v>
      </c>
      <c r="ID30" s="1" t="s">
        <v>331</v>
      </c>
      <c r="IE30" s="1" t="s">
        <v>333</v>
      </c>
      <c r="IF30" s="1" t="s">
        <v>330</v>
      </c>
      <c r="IG30" s="1" t="s">
        <v>333</v>
      </c>
      <c r="IH30" s="1" t="s">
        <v>330</v>
      </c>
      <c r="II30" s="1" t="s">
        <v>331</v>
      </c>
      <c r="IJ30" s="1" t="s">
        <v>330</v>
      </c>
      <c r="IK30" s="1" t="s">
        <v>330</v>
      </c>
      <c r="IL30" s="1" t="s">
        <v>333</v>
      </c>
      <c r="IM30" s="1" t="s">
        <v>331</v>
      </c>
      <c r="IN30" s="1" t="s">
        <v>333</v>
      </c>
      <c r="IO30" s="1" t="s">
        <v>330</v>
      </c>
      <c r="IP30" s="1" t="s">
        <v>333</v>
      </c>
      <c r="IQ30" s="1" t="s">
        <v>331</v>
      </c>
      <c r="IR30" s="1" t="s">
        <v>331</v>
      </c>
      <c r="IS30" s="1" t="s">
        <v>333</v>
      </c>
      <c r="IT30" s="1" t="s">
        <v>330</v>
      </c>
      <c r="IU30" s="1" t="s">
        <v>333</v>
      </c>
      <c r="IV30" s="1" t="s">
        <v>333</v>
      </c>
      <c r="IW30" s="1" t="s">
        <v>331</v>
      </c>
      <c r="IX30" s="1" t="s">
        <v>331</v>
      </c>
      <c r="IY30" s="1" t="s">
        <v>333</v>
      </c>
      <c r="IZ30" s="1" t="s">
        <v>331</v>
      </c>
      <c r="JA30" s="1" t="s">
        <v>331</v>
      </c>
      <c r="JB30" s="1" t="s">
        <v>330</v>
      </c>
      <c r="JC30" s="1" t="s">
        <v>331</v>
      </c>
      <c r="JD30" s="1" t="s">
        <v>330</v>
      </c>
      <c r="JE30" s="1" t="s">
        <v>331</v>
      </c>
      <c r="JF30" s="1" t="s">
        <v>332</v>
      </c>
      <c r="JG30" s="1" t="s">
        <v>333</v>
      </c>
      <c r="JH30" s="1" t="s">
        <v>332</v>
      </c>
      <c r="JI30" s="1" t="s">
        <v>333</v>
      </c>
      <c r="JJ30" s="1" t="s">
        <v>332</v>
      </c>
      <c r="JK30" s="1" t="s">
        <v>333</v>
      </c>
      <c r="JL30" s="1" t="s">
        <v>330</v>
      </c>
      <c r="JM30" s="1" t="s">
        <v>332</v>
      </c>
      <c r="JN30" s="1" t="s">
        <v>333</v>
      </c>
      <c r="JO30" s="1" t="s">
        <v>332</v>
      </c>
      <c r="JP30" s="1" t="s">
        <v>333</v>
      </c>
      <c r="JQ30" s="1" t="s">
        <v>333</v>
      </c>
      <c r="JR30" s="1" t="s">
        <v>330</v>
      </c>
      <c r="JS30" s="1" t="s">
        <v>333</v>
      </c>
      <c r="JT30" s="1" t="s">
        <v>332</v>
      </c>
    </row>
    <row r="31" spans="1:280" x14ac:dyDescent="0.35">
      <c r="A31" s="1" t="s">
        <v>1734</v>
      </c>
      <c r="D31" s="1" t="s">
        <v>1768</v>
      </c>
      <c r="E31" s="1">
        <v>6213</v>
      </c>
      <c r="G31" s="1" t="s">
        <v>1709</v>
      </c>
      <c r="H31" s="1" t="s">
        <v>312</v>
      </c>
      <c r="I31" s="1" t="s">
        <v>1710</v>
      </c>
      <c r="J31" s="1" t="s">
        <v>1733</v>
      </c>
      <c r="K31" s="1" t="s">
        <v>1736</v>
      </c>
      <c r="M31" s="1">
        <v>1</v>
      </c>
      <c r="N31" s="1">
        <v>0</v>
      </c>
      <c r="O31" s="1">
        <v>1</v>
      </c>
      <c r="P31" s="1">
        <v>0</v>
      </c>
      <c r="Q31" s="1">
        <v>1</v>
      </c>
      <c r="R31" s="1">
        <v>0</v>
      </c>
      <c r="S31" s="1">
        <v>0</v>
      </c>
      <c r="T31" s="1">
        <v>1</v>
      </c>
      <c r="U31" s="1">
        <v>0</v>
      </c>
      <c r="V31" s="1">
        <v>0</v>
      </c>
      <c r="W31" s="1">
        <v>0</v>
      </c>
      <c r="X31" s="1">
        <v>1</v>
      </c>
      <c r="Y31" s="1">
        <v>0</v>
      </c>
      <c r="Z31" s="1">
        <v>0</v>
      </c>
      <c r="AA31" s="1">
        <v>0</v>
      </c>
      <c r="AB31" s="1">
        <v>0</v>
      </c>
      <c r="AC31" s="1">
        <v>1</v>
      </c>
      <c r="AD31" s="1">
        <v>1</v>
      </c>
      <c r="AE31" s="1">
        <v>0</v>
      </c>
      <c r="AF31" s="1">
        <v>1</v>
      </c>
      <c r="AG31" s="1">
        <v>1</v>
      </c>
      <c r="AH31" s="1">
        <v>1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1</v>
      </c>
      <c r="AO31" s="1">
        <v>1</v>
      </c>
      <c r="AP31" s="1">
        <v>0</v>
      </c>
      <c r="AQ31" s="1">
        <v>1</v>
      </c>
      <c r="AR31" s="1">
        <v>1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1</v>
      </c>
      <c r="BD31" s="1">
        <v>1</v>
      </c>
      <c r="BE31" s="1">
        <v>0</v>
      </c>
      <c r="BF31" s="1">
        <v>0</v>
      </c>
      <c r="BG31" s="1">
        <v>0</v>
      </c>
      <c r="BH31" s="1">
        <v>0</v>
      </c>
      <c r="BI31" s="1">
        <v>1</v>
      </c>
      <c r="BJ31" s="1">
        <v>1</v>
      </c>
      <c r="BK31" s="1">
        <v>0</v>
      </c>
      <c r="BL31" s="1">
        <v>0</v>
      </c>
      <c r="BM31" s="1">
        <v>1</v>
      </c>
      <c r="BN31" s="1">
        <v>0</v>
      </c>
      <c r="BO31" s="1">
        <v>0</v>
      </c>
      <c r="BP31" s="1">
        <v>0</v>
      </c>
      <c r="BQ31" s="1">
        <v>0</v>
      </c>
      <c r="BR31" s="1">
        <v>1</v>
      </c>
      <c r="BS31" s="1">
        <v>0</v>
      </c>
      <c r="BT31" s="1">
        <v>0</v>
      </c>
      <c r="BU31" s="1">
        <v>0</v>
      </c>
      <c r="BV31" s="1">
        <v>0</v>
      </c>
      <c r="BW31" s="1">
        <v>1</v>
      </c>
      <c r="BX31" s="1">
        <v>0</v>
      </c>
      <c r="BY31" s="1">
        <v>1</v>
      </c>
      <c r="BZ31" s="1">
        <v>0</v>
      </c>
      <c r="CA31" s="1">
        <v>0</v>
      </c>
      <c r="CB31" s="1">
        <v>0</v>
      </c>
      <c r="CC31" s="1">
        <v>0</v>
      </c>
      <c r="CD31" s="1">
        <v>1</v>
      </c>
      <c r="CE31" s="1">
        <v>0</v>
      </c>
      <c r="CF31" s="1">
        <v>1</v>
      </c>
      <c r="CG31" s="1">
        <v>0</v>
      </c>
      <c r="CH31" s="1">
        <v>1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1</v>
      </c>
      <c r="CS31" s="1">
        <v>1</v>
      </c>
      <c r="CT31" s="1">
        <v>1</v>
      </c>
      <c r="CU31" s="1">
        <v>0</v>
      </c>
      <c r="CV31" s="1">
        <v>1</v>
      </c>
      <c r="CW31" s="1">
        <v>0</v>
      </c>
      <c r="CX31" s="1">
        <v>0</v>
      </c>
      <c r="CY31" s="1">
        <v>0</v>
      </c>
      <c r="CZ31" s="1">
        <v>1</v>
      </c>
      <c r="DA31" s="1">
        <v>0</v>
      </c>
      <c r="DB31" s="1">
        <v>0</v>
      </c>
      <c r="DC31" s="1">
        <v>0</v>
      </c>
      <c r="DD31" s="1">
        <v>0</v>
      </c>
      <c r="DE31" s="1">
        <v>1</v>
      </c>
      <c r="DF31" s="1">
        <v>0</v>
      </c>
      <c r="DG31" s="1">
        <v>1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1</v>
      </c>
      <c r="DV31" s="1">
        <v>0</v>
      </c>
      <c r="DW31" s="1">
        <v>0</v>
      </c>
      <c r="DX31" s="1">
        <v>1</v>
      </c>
      <c r="DY31" s="1">
        <v>1</v>
      </c>
      <c r="DZ31" s="1">
        <v>0</v>
      </c>
      <c r="EA31" s="1">
        <v>0</v>
      </c>
      <c r="EB31" s="1">
        <v>1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1</v>
      </c>
      <c r="EL31" s="1">
        <v>1</v>
      </c>
      <c r="EM31" s="1">
        <v>0</v>
      </c>
      <c r="EN31" s="1">
        <v>0</v>
      </c>
      <c r="EO31" s="1">
        <v>0</v>
      </c>
      <c r="EP31" s="1">
        <v>0</v>
      </c>
      <c r="EQ31" s="1" t="s">
        <v>330</v>
      </c>
      <c r="ER31" s="1" t="s">
        <v>333</v>
      </c>
      <c r="ES31" s="1" t="s">
        <v>333</v>
      </c>
      <c r="ET31" s="1" t="s">
        <v>330</v>
      </c>
      <c r="EU31" s="1" t="s">
        <v>332</v>
      </c>
      <c r="EV31" s="1" t="s">
        <v>333</v>
      </c>
      <c r="EW31" s="1" t="s">
        <v>330</v>
      </c>
      <c r="EX31" s="1" t="s">
        <v>331</v>
      </c>
      <c r="EY31" s="1" t="s">
        <v>330</v>
      </c>
      <c r="EZ31" s="1" t="s">
        <v>333</v>
      </c>
      <c r="FA31" s="1" t="s">
        <v>333</v>
      </c>
      <c r="FB31" s="1" t="s">
        <v>330</v>
      </c>
      <c r="FC31" s="1" t="s">
        <v>331</v>
      </c>
      <c r="FD31" s="1" t="s">
        <v>333</v>
      </c>
      <c r="FE31" s="1" t="s">
        <v>333</v>
      </c>
      <c r="FF31" s="1" t="s">
        <v>330</v>
      </c>
      <c r="FG31" s="1" t="s">
        <v>331</v>
      </c>
      <c r="FH31" s="1" t="s">
        <v>333</v>
      </c>
      <c r="FI31" s="1" t="s">
        <v>333</v>
      </c>
      <c r="FJ31" s="1" t="s">
        <v>330</v>
      </c>
      <c r="FK31" s="1" t="s">
        <v>331</v>
      </c>
      <c r="FL31" s="1" t="s">
        <v>333</v>
      </c>
      <c r="FM31" s="1" t="s">
        <v>330</v>
      </c>
      <c r="FN31" s="1" t="s">
        <v>331</v>
      </c>
      <c r="FO31" s="1" t="s">
        <v>330</v>
      </c>
      <c r="FP31" s="1" t="s">
        <v>333</v>
      </c>
      <c r="FQ31" s="1" t="s">
        <v>331</v>
      </c>
      <c r="FR31" s="1" t="s">
        <v>333</v>
      </c>
      <c r="FS31" s="1" t="s">
        <v>331</v>
      </c>
      <c r="FT31" s="1" t="s">
        <v>330</v>
      </c>
      <c r="FU31" s="1" t="s">
        <v>333</v>
      </c>
      <c r="FV31" s="1" t="s">
        <v>331</v>
      </c>
      <c r="FW31" s="1" t="s">
        <v>333</v>
      </c>
      <c r="FX31" s="1" t="s">
        <v>332</v>
      </c>
      <c r="FY31" s="1" t="s">
        <v>333</v>
      </c>
      <c r="FZ31" s="1" t="s">
        <v>330</v>
      </c>
      <c r="GA31" s="1" t="s">
        <v>331</v>
      </c>
      <c r="GB31" s="1" t="s">
        <v>330</v>
      </c>
      <c r="GC31" s="1" t="s">
        <v>330</v>
      </c>
      <c r="GD31" s="1" t="s">
        <v>331</v>
      </c>
      <c r="GE31" s="1" t="s">
        <v>330</v>
      </c>
      <c r="GF31" s="1" t="s">
        <v>333</v>
      </c>
      <c r="GG31" s="1" t="s">
        <v>330</v>
      </c>
      <c r="GH31" s="1" t="s">
        <v>330</v>
      </c>
      <c r="GI31" s="1" t="s">
        <v>333</v>
      </c>
      <c r="GJ31" s="1" t="s">
        <v>331</v>
      </c>
      <c r="GK31" s="1" t="s">
        <v>333</v>
      </c>
      <c r="GL31" s="1" t="s">
        <v>330</v>
      </c>
      <c r="GM31" s="1" t="s">
        <v>331</v>
      </c>
      <c r="GN31" s="1" t="s">
        <v>333</v>
      </c>
      <c r="GO31" s="1" t="s">
        <v>330</v>
      </c>
      <c r="GP31" s="1" t="s">
        <v>330</v>
      </c>
      <c r="GQ31" s="1" t="s">
        <v>331</v>
      </c>
      <c r="GR31" s="1" t="s">
        <v>330</v>
      </c>
      <c r="GS31" s="1" t="s">
        <v>331</v>
      </c>
      <c r="GT31" s="1" t="s">
        <v>333</v>
      </c>
      <c r="GU31" s="1" t="s">
        <v>330</v>
      </c>
      <c r="GV31" s="1" t="s">
        <v>333</v>
      </c>
      <c r="GW31" s="1" t="s">
        <v>330</v>
      </c>
      <c r="GX31" s="1" t="s">
        <v>333</v>
      </c>
      <c r="GY31" s="1" t="s">
        <v>332</v>
      </c>
      <c r="GZ31" s="1" t="s">
        <v>330</v>
      </c>
      <c r="HA31" s="1" t="s">
        <v>330</v>
      </c>
      <c r="HB31" s="1" t="s">
        <v>333</v>
      </c>
      <c r="HC31" s="1" t="s">
        <v>330</v>
      </c>
      <c r="HD31" s="1" t="s">
        <v>333</v>
      </c>
      <c r="HE31" s="1" t="s">
        <v>331</v>
      </c>
      <c r="HF31" s="1" t="s">
        <v>330</v>
      </c>
      <c r="HG31" s="1" t="s">
        <v>331</v>
      </c>
      <c r="HH31" s="1" t="s">
        <v>333</v>
      </c>
      <c r="HI31" s="1" t="s">
        <v>331</v>
      </c>
      <c r="HJ31" s="1" t="s">
        <v>333</v>
      </c>
      <c r="HK31" s="1" t="s">
        <v>331</v>
      </c>
      <c r="HL31" s="1" t="s">
        <v>330</v>
      </c>
      <c r="HM31" s="1" t="s">
        <v>333</v>
      </c>
      <c r="HN31" s="1" t="s">
        <v>333</v>
      </c>
      <c r="HO31" s="1" t="s">
        <v>333</v>
      </c>
      <c r="HP31" s="1" t="s">
        <v>333</v>
      </c>
      <c r="HQ31" s="1" t="s">
        <v>330</v>
      </c>
      <c r="HR31" s="1" t="s">
        <v>336</v>
      </c>
      <c r="HS31" s="1" t="s">
        <v>331</v>
      </c>
      <c r="HT31" s="1" t="s">
        <v>330</v>
      </c>
      <c r="HU31" s="1" t="s">
        <v>333</v>
      </c>
      <c r="HV31" s="1" t="s">
        <v>336</v>
      </c>
      <c r="HW31" s="1" t="s">
        <v>333</v>
      </c>
      <c r="HX31" s="1" t="s">
        <v>330</v>
      </c>
      <c r="HY31" s="1" t="s">
        <v>331</v>
      </c>
      <c r="HZ31" s="1" t="s">
        <v>330</v>
      </c>
      <c r="IA31" s="1" t="s">
        <v>331</v>
      </c>
      <c r="IB31" s="1" t="s">
        <v>333</v>
      </c>
      <c r="IC31" s="1" t="s">
        <v>331</v>
      </c>
      <c r="ID31" s="1" t="s">
        <v>330</v>
      </c>
      <c r="IE31" s="1" t="s">
        <v>333</v>
      </c>
      <c r="IF31" s="1" t="s">
        <v>330</v>
      </c>
      <c r="IG31" s="1" t="s">
        <v>331</v>
      </c>
      <c r="IH31" s="1" t="s">
        <v>333</v>
      </c>
      <c r="II31" s="1" t="s">
        <v>333</v>
      </c>
      <c r="IJ31" s="1" t="s">
        <v>330</v>
      </c>
      <c r="IK31" s="1" t="s">
        <v>331</v>
      </c>
      <c r="IL31" s="1" t="s">
        <v>333</v>
      </c>
      <c r="IM31" s="1" t="s">
        <v>330</v>
      </c>
      <c r="IN31" s="1" t="s">
        <v>333</v>
      </c>
      <c r="IO31" s="1" t="s">
        <v>331</v>
      </c>
      <c r="IP31" s="1" t="s">
        <v>333</v>
      </c>
      <c r="IQ31" s="1" t="s">
        <v>330</v>
      </c>
      <c r="IR31" s="1" t="s">
        <v>333</v>
      </c>
      <c r="IS31" s="1" t="s">
        <v>330</v>
      </c>
      <c r="IT31" s="1" t="s">
        <v>331</v>
      </c>
      <c r="IU31" s="1" t="s">
        <v>333</v>
      </c>
      <c r="IV31" s="1" t="s">
        <v>333</v>
      </c>
      <c r="IW31" s="1" t="s">
        <v>330</v>
      </c>
      <c r="IX31" s="1" t="s">
        <v>333</v>
      </c>
      <c r="IY31" s="1" t="s">
        <v>331</v>
      </c>
      <c r="IZ31" s="1" t="s">
        <v>333</v>
      </c>
      <c r="JA31" s="1" t="s">
        <v>333</v>
      </c>
      <c r="JB31" s="1" t="s">
        <v>330</v>
      </c>
      <c r="JC31" s="1" t="s">
        <v>333</v>
      </c>
      <c r="JD31" s="1" t="s">
        <v>331</v>
      </c>
      <c r="JE31" s="1" t="s">
        <v>330</v>
      </c>
      <c r="JF31" s="1" t="s">
        <v>333</v>
      </c>
      <c r="JG31" s="1" t="s">
        <v>331</v>
      </c>
      <c r="JH31" s="1" t="s">
        <v>330</v>
      </c>
      <c r="JI31" s="1" t="s">
        <v>333</v>
      </c>
      <c r="JJ31" s="1" t="s">
        <v>333</v>
      </c>
      <c r="JK31" s="1" t="s">
        <v>331</v>
      </c>
      <c r="JL31" s="1" t="s">
        <v>330</v>
      </c>
      <c r="JM31" s="1" t="s">
        <v>333</v>
      </c>
      <c r="JN31" s="1" t="s">
        <v>331</v>
      </c>
      <c r="JO31" s="1" t="s">
        <v>333</v>
      </c>
      <c r="JP31" s="1" t="s">
        <v>331</v>
      </c>
      <c r="JQ31" s="1" t="s">
        <v>330</v>
      </c>
      <c r="JR31" s="1" t="s">
        <v>333</v>
      </c>
      <c r="JS31" s="1" t="s">
        <v>331</v>
      </c>
      <c r="JT31" s="1" t="s">
        <v>333</v>
      </c>
    </row>
    <row r="32" spans="1:280" x14ac:dyDescent="0.35">
      <c r="D32" s="137" t="s">
        <v>347</v>
      </c>
      <c r="L32" s="98"/>
      <c r="EQ32" s="140">
        <f>COUNTA(M2:M31)</f>
        <v>30</v>
      </c>
      <c r="ER32" s="140">
        <f>COUNTA(N2:N31)</f>
        <v>30</v>
      </c>
      <c r="ES32" s="140">
        <f>COUNTA(O2:O31)</f>
        <v>30</v>
      </c>
      <c r="ET32" s="140">
        <f>COUNTA(P2:P31)</f>
        <v>30</v>
      </c>
      <c r="EU32" s="140">
        <f>COUNTA(Q2:Q31)</f>
        <v>30</v>
      </c>
      <c r="EV32" s="140">
        <f>COUNTA(R2:R31)</f>
        <v>30</v>
      </c>
      <c r="EW32" s="140">
        <f>COUNTA(S2:S31)</f>
        <v>30</v>
      </c>
      <c r="EX32" s="140">
        <f>COUNTA(T2:T31)</f>
        <v>30</v>
      </c>
      <c r="EY32" s="140">
        <f>COUNTA(U2:U31)</f>
        <v>30</v>
      </c>
      <c r="EZ32" s="140">
        <f>COUNTA(V2:V31)</f>
        <v>30</v>
      </c>
      <c r="FA32" s="140">
        <f>COUNTA(W2:W31)</f>
        <v>30</v>
      </c>
      <c r="FB32" s="140">
        <f>COUNTA(X2:X31)</f>
        <v>30</v>
      </c>
      <c r="FC32" s="140">
        <f>COUNTA(Y2:Y31)</f>
        <v>30</v>
      </c>
      <c r="FD32" s="141">
        <f>COUNTA(Z2:Z31)</f>
        <v>30</v>
      </c>
      <c r="FE32" s="140">
        <f>COUNTA(AA2:AA31)</f>
        <v>30</v>
      </c>
      <c r="FF32" s="140">
        <f>COUNTA(AB2:AB31)</f>
        <v>30</v>
      </c>
      <c r="FG32" s="140">
        <f>COUNTA(AC2:AC31)</f>
        <v>30</v>
      </c>
      <c r="FH32" s="140">
        <f>COUNTA(AD2:AD31)</f>
        <v>30</v>
      </c>
      <c r="FI32" s="140">
        <f>COUNTA(AE2:AE31)</f>
        <v>30</v>
      </c>
      <c r="FJ32" s="140">
        <f>COUNTA(AF2:AF31)</f>
        <v>30</v>
      </c>
      <c r="FK32" s="140">
        <f>COUNTA(AG2:AG31)</f>
        <v>30</v>
      </c>
      <c r="FL32" s="140">
        <f>COUNTA(AH2:AH31)</f>
        <v>30</v>
      </c>
      <c r="FM32" s="140">
        <f>COUNTA(AI2:AI31)</f>
        <v>30</v>
      </c>
      <c r="FN32" s="140">
        <f>COUNTA(AJ2:AJ31)</f>
        <v>30</v>
      </c>
      <c r="FO32" s="140">
        <f>COUNTA(AK2:AK31)</f>
        <v>30</v>
      </c>
      <c r="FP32" s="140">
        <f>COUNTA(AL2:AL31)</f>
        <v>30</v>
      </c>
      <c r="FQ32" s="140">
        <f>COUNTA(AM2:AM31)</f>
        <v>30</v>
      </c>
      <c r="FR32" s="140">
        <f>COUNTA(AN2:AN31)</f>
        <v>30</v>
      </c>
      <c r="FS32" s="140">
        <f>COUNTA(AO2:AO31)</f>
        <v>30</v>
      </c>
      <c r="FT32" s="140">
        <f>COUNTA(AP2:AP31)</f>
        <v>30</v>
      </c>
      <c r="FU32" s="140">
        <f>COUNTA(AQ2:AQ31)</f>
        <v>30</v>
      </c>
      <c r="FV32" s="140">
        <f>COUNTA(AR2:AR31)</f>
        <v>30</v>
      </c>
      <c r="FW32" s="140">
        <f>COUNTA(AS2:AS31)</f>
        <v>30</v>
      </c>
      <c r="FX32" s="140">
        <f>COUNTA(AT2:AT31)</f>
        <v>30</v>
      </c>
      <c r="FY32" s="140">
        <f>COUNTA(AU2:AU31)</f>
        <v>30</v>
      </c>
      <c r="FZ32" s="140">
        <f>COUNTA(AV2:AV31)</f>
        <v>30</v>
      </c>
      <c r="GA32" s="140">
        <f>COUNTA(AW2:AW31)</f>
        <v>30</v>
      </c>
      <c r="GB32" s="140">
        <f>COUNTA(AX2:AX31)</f>
        <v>30</v>
      </c>
      <c r="GC32" s="140">
        <f>COUNTA(AY2:AY31)</f>
        <v>30</v>
      </c>
      <c r="GD32" s="140">
        <f>COUNTA(AZ2:AZ31)</f>
        <v>30</v>
      </c>
      <c r="GE32" s="140">
        <f>COUNTA(BA2:BA31)</f>
        <v>30</v>
      </c>
      <c r="GF32" s="140">
        <f>COUNTA(BB2:BB31)</f>
        <v>30</v>
      </c>
      <c r="GG32" s="140">
        <f>COUNTA(BC2:BC31)</f>
        <v>30</v>
      </c>
      <c r="GH32" s="140">
        <f>COUNTA(BD2:BD31)</f>
        <v>30</v>
      </c>
      <c r="GI32" s="140">
        <f>COUNTA(BE2:BE31)</f>
        <v>30</v>
      </c>
      <c r="GJ32" s="140">
        <f>COUNTA(BF2:BF31)</f>
        <v>30</v>
      </c>
      <c r="GK32" s="140">
        <f>COUNTA(BG2:BG31)</f>
        <v>30</v>
      </c>
      <c r="GL32" s="140">
        <f>COUNTA(BH2:BH31)</f>
        <v>30</v>
      </c>
      <c r="GM32" s="140">
        <f>COUNTA(BI2:BI31)</f>
        <v>30</v>
      </c>
      <c r="GN32" s="140">
        <f>COUNTA(BJ2:BJ31)</f>
        <v>30</v>
      </c>
      <c r="GO32" s="140">
        <f>COUNTA(BK2:BK31)</f>
        <v>30</v>
      </c>
      <c r="GP32" s="140">
        <f>COUNTA(BL2:BL31)</f>
        <v>30</v>
      </c>
      <c r="GQ32" s="140">
        <f>COUNTA(BM2:BM31)</f>
        <v>30</v>
      </c>
      <c r="GR32" s="140">
        <f>COUNTA(BN2:BN31)</f>
        <v>30</v>
      </c>
      <c r="GS32" s="140">
        <f>COUNTA(BO2:BO31)</f>
        <v>30</v>
      </c>
      <c r="GT32" s="140">
        <f>COUNTA(BP2:BP31)</f>
        <v>30</v>
      </c>
      <c r="GU32" s="140">
        <f>COUNTA(BQ2:BQ31)</f>
        <v>30</v>
      </c>
      <c r="GV32" s="140">
        <f>COUNTA(BR2:BR31)</f>
        <v>30</v>
      </c>
      <c r="GW32" s="140">
        <f>COUNTA(BS2:BS31)</f>
        <v>30</v>
      </c>
      <c r="GX32" s="140">
        <f>COUNTA(BT2:BT31)</f>
        <v>30</v>
      </c>
      <c r="GY32" s="140">
        <f>COUNTA(BU2:BU31)</f>
        <v>30</v>
      </c>
      <c r="GZ32" s="140">
        <f>COUNTA(BV2:BV31)</f>
        <v>30</v>
      </c>
      <c r="HA32" s="140">
        <f>COUNTA(BW2:BW31)</f>
        <v>30</v>
      </c>
      <c r="HB32" s="140">
        <f>COUNTA(BX2:BX31)</f>
        <v>30</v>
      </c>
      <c r="HC32" s="140">
        <f>COUNTA(BY2:BY31)</f>
        <v>30</v>
      </c>
      <c r="HD32" s="140">
        <f>COUNTA(BZ2:BZ31)</f>
        <v>30</v>
      </c>
      <c r="HE32" s="140">
        <f>COUNTA(CA2:CA31)</f>
        <v>30</v>
      </c>
      <c r="HF32" s="140">
        <f>COUNTA(CB2:CB31)</f>
        <v>30</v>
      </c>
      <c r="HG32" s="140">
        <f>COUNTA(CC2:CC31)</f>
        <v>30</v>
      </c>
      <c r="HH32" s="140">
        <f>COUNTA(CD2:CD31)</f>
        <v>30</v>
      </c>
      <c r="HI32" s="140">
        <f>COUNTA(CE2:CE31)</f>
        <v>30</v>
      </c>
      <c r="HJ32" s="140">
        <f>COUNTA(CF2:CF31)</f>
        <v>30</v>
      </c>
      <c r="HK32" s="140">
        <f>COUNTA(CG2:CG31)</f>
        <v>30</v>
      </c>
      <c r="HL32" s="140">
        <f>COUNTA(CH2:CH31)</f>
        <v>30</v>
      </c>
      <c r="HM32" s="140">
        <f>COUNTA(CI2:CI31)</f>
        <v>30</v>
      </c>
      <c r="HN32" s="140">
        <f>COUNTA(CJ2:CJ31)</f>
        <v>30</v>
      </c>
      <c r="HO32" s="140">
        <f>COUNTA(CK2:CK31)</f>
        <v>30</v>
      </c>
      <c r="HP32" s="140">
        <f>COUNTA(CL2:CL31)</f>
        <v>30</v>
      </c>
      <c r="HQ32" s="140">
        <f>COUNTA(CM2:CM31)</f>
        <v>30</v>
      </c>
      <c r="HR32" s="140">
        <f>COUNTA(CN2:CN31)</f>
        <v>30</v>
      </c>
      <c r="HS32" s="140">
        <f>COUNTA(CO2:CO31)</f>
        <v>30</v>
      </c>
      <c r="HT32" s="140">
        <f>COUNTA(CP2:CP31)</f>
        <v>30</v>
      </c>
      <c r="HU32" s="140">
        <f>COUNTA(CQ2:CQ31)</f>
        <v>30</v>
      </c>
      <c r="HV32" s="140">
        <f>COUNTA(CR2:CR31)</f>
        <v>30</v>
      </c>
      <c r="HW32" s="140">
        <f>COUNTA(CS2:CS31)</f>
        <v>30</v>
      </c>
      <c r="HX32" s="140">
        <f>COUNTA(CT2:CT31)</f>
        <v>30</v>
      </c>
      <c r="HY32" s="140">
        <f>COUNTA(CU2:CU31)</f>
        <v>30</v>
      </c>
      <c r="HZ32" s="140">
        <f>COUNTA(CV2:CV31)</f>
        <v>30</v>
      </c>
      <c r="IA32" s="140">
        <f>COUNTA(CW2:CW31)</f>
        <v>30</v>
      </c>
      <c r="IB32" s="140">
        <f>COUNTA(CX2:CX31)</f>
        <v>30</v>
      </c>
      <c r="IC32" s="140">
        <f>COUNTA(CY2:CY31)</f>
        <v>30</v>
      </c>
      <c r="ID32" s="140">
        <f>COUNTA(CZ2:CZ31)</f>
        <v>30</v>
      </c>
      <c r="IE32" s="140">
        <f>COUNTA(DA2:DA31)</f>
        <v>30</v>
      </c>
      <c r="IF32" s="140">
        <f>COUNTA(DB2:DB31)</f>
        <v>30</v>
      </c>
      <c r="IG32" s="140">
        <f>COUNTA(DC2:DC31)</f>
        <v>30</v>
      </c>
      <c r="IH32" s="140">
        <f>COUNTA(DD2:DD31)</f>
        <v>30</v>
      </c>
      <c r="II32" s="140">
        <f>COUNTA(DE2:DE31)</f>
        <v>30</v>
      </c>
      <c r="IJ32" s="140">
        <f>COUNTA(DF2:DF31)</f>
        <v>30</v>
      </c>
      <c r="IK32" s="140">
        <f>COUNTA(DG2:DG31)</f>
        <v>30</v>
      </c>
      <c r="IL32" s="140">
        <f>COUNTA(DH2:DH31)</f>
        <v>30</v>
      </c>
      <c r="IM32" s="140">
        <f>COUNTA(DI2:DI31)</f>
        <v>30</v>
      </c>
      <c r="IN32" s="140">
        <f>COUNTA(DJ2:DJ31)</f>
        <v>30</v>
      </c>
      <c r="IO32" s="140">
        <f>COUNTA(DK2:DK31)</f>
        <v>30</v>
      </c>
      <c r="IP32" s="140">
        <f>COUNTA(DL2:DL31)</f>
        <v>30</v>
      </c>
      <c r="IQ32" s="140">
        <f>COUNTA(DM2:DM31)</f>
        <v>30</v>
      </c>
      <c r="IR32" s="140">
        <f>COUNTA(DN2:DN31)</f>
        <v>30</v>
      </c>
      <c r="IS32" s="140">
        <f>COUNTA(DO2:DO31)</f>
        <v>30</v>
      </c>
      <c r="IT32" s="140">
        <f>COUNTA(DP2:DP31)</f>
        <v>30</v>
      </c>
      <c r="IU32" s="140">
        <f>COUNTA(DQ2:DQ31)</f>
        <v>30</v>
      </c>
      <c r="IV32" s="140">
        <f>COUNTA(DR2:DR31)</f>
        <v>30</v>
      </c>
      <c r="IW32" s="140">
        <f>COUNTA(DS2:DS31)</f>
        <v>30</v>
      </c>
      <c r="IX32" s="140">
        <f>COUNTA(DT2:DT31)</f>
        <v>30</v>
      </c>
      <c r="IY32" s="140">
        <f>COUNTA(DU2:DU31)</f>
        <v>30</v>
      </c>
      <c r="IZ32" s="140">
        <f>COUNTA(DV2:DV31)</f>
        <v>30</v>
      </c>
      <c r="JA32" s="140">
        <f>COUNTA(DW2:DW31)</f>
        <v>30</v>
      </c>
      <c r="JB32" s="140">
        <f>COUNTA(DX2:DX31)</f>
        <v>30</v>
      </c>
      <c r="JC32" s="140">
        <f>COUNTA(DY2:DY31)</f>
        <v>30</v>
      </c>
      <c r="JD32" s="140">
        <f>COUNTA(DZ2:DZ31)</f>
        <v>30</v>
      </c>
      <c r="JE32" s="140">
        <f>COUNTA(EA2:EA31)</f>
        <v>30</v>
      </c>
      <c r="JF32" s="140">
        <f>COUNTA(EB2:EB31)</f>
        <v>30</v>
      </c>
      <c r="JG32" s="140">
        <f>COUNTA(EC2:EC31)</f>
        <v>30</v>
      </c>
      <c r="JH32" s="140">
        <f>COUNTA(ED2:ED31)</f>
        <v>30</v>
      </c>
      <c r="JI32" s="140">
        <f>COUNTA(EE2:EE31)</f>
        <v>30</v>
      </c>
      <c r="JJ32" s="140">
        <f>COUNTA(EF2:EF31)</f>
        <v>30</v>
      </c>
      <c r="JK32" s="140">
        <f>COUNTA(EG2:EG31)</f>
        <v>30</v>
      </c>
      <c r="JL32" s="140">
        <f>COUNTA(EH2:EH31)</f>
        <v>30</v>
      </c>
      <c r="JM32" s="140">
        <f>COUNTA(EI2:EI31)</f>
        <v>30</v>
      </c>
      <c r="JN32" s="140">
        <f>COUNTA(EJ2:EJ31)</f>
        <v>30</v>
      </c>
      <c r="JO32" s="140">
        <f>COUNTA(EK2:EK31)</f>
        <v>30</v>
      </c>
      <c r="JP32" s="140">
        <f>COUNTA(EL2:EL31)</f>
        <v>30</v>
      </c>
      <c r="JQ32" s="140">
        <f>COUNTA(EM2:EM31)</f>
        <v>30</v>
      </c>
      <c r="JR32" s="140">
        <f>COUNTA(EN2:EN31)</f>
        <v>30</v>
      </c>
      <c r="JS32" s="140">
        <f>COUNTA(EO2:EO31)</f>
        <v>30</v>
      </c>
      <c r="JT32" s="140">
        <f>COUNTA(EP2:EP31)</f>
        <v>30</v>
      </c>
    </row>
    <row r="33" spans="4:280" s="65" customFormat="1" x14ac:dyDescent="0.35">
      <c r="D33" s="139" t="s">
        <v>338</v>
      </c>
      <c r="L33" s="138"/>
      <c r="EQ33" s="142">
        <f>ROUND(COUNTIF(EQ2:EQ31,"A")*100/EQ32,0)</f>
        <v>53</v>
      </c>
      <c r="ER33" s="129">
        <f>ROUND(COUNTIF(ER2:ER31,"A")*100/ER32,0)</f>
        <v>13</v>
      </c>
      <c r="ES33" s="129">
        <f>ROUND(COUNTIF(ES2:ES31,"A")*100/ES32,0)</f>
        <v>30</v>
      </c>
      <c r="ET33" s="129">
        <f>ROUND(COUNTIF(ET2:ET31,"A")*100/ET32,0)</f>
        <v>20</v>
      </c>
      <c r="EU33" s="129">
        <f>ROUND(COUNTIF(EU2:EU31,"A")*100/EU32,0)</f>
        <v>27</v>
      </c>
      <c r="EV33" s="142">
        <f>ROUND(COUNTIF(EV2:EV31,"A")*100/EV32,0)</f>
        <v>30</v>
      </c>
      <c r="EW33" s="129">
        <f>ROUND(COUNTIF(EW2:EW31,"A")*100/EW32,0)</f>
        <v>30</v>
      </c>
      <c r="EX33" s="129">
        <f>ROUND(COUNTIF(EX2:EX31,"A")*100/EX32,0)</f>
        <v>27</v>
      </c>
      <c r="EY33" s="129">
        <f>ROUND(COUNTIF(EY2:EY31,"A")*100/EY32,0)</f>
        <v>20</v>
      </c>
      <c r="EZ33" s="142">
        <f>ROUND(COUNTIF(EZ2:EZ31,"A")*100/EZ32,0)</f>
        <v>7</v>
      </c>
      <c r="FA33" s="129">
        <f>ROUND(COUNTIF(FA2:FA31,"A")*100/FA32,0)</f>
        <v>17</v>
      </c>
      <c r="FB33" s="142">
        <f>ROUND(COUNTIF(FB2:FB31,"A")*100/FB32,0)</f>
        <v>17</v>
      </c>
      <c r="FC33" s="129">
        <f>ROUND(COUNTIF(FC2:FC31,"A")*100/FC32,0)</f>
        <v>17</v>
      </c>
      <c r="FD33" s="129">
        <f>ROUND(COUNTIF(FD2:FD31,"A")*100/FD32,0)</f>
        <v>10</v>
      </c>
      <c r="FE33" s="129">
        <f>ROUND(COUNTIF(FE2:FE31,"A")*100/FE32,0)</f>
        <v>17</v>
      </c>
      <c r="FF33" s="129">
        <f>ROUND(COUNTIF(FF2:FF31,"A")*100/FF32,0)</f>
        <v>37</v>
      </c>
      <c r="FG33" s="129">
        <f>ROUND(COUNTIF(FG2:FG31,"A")*100/FG32,0)</f>
        <v>10</v>
      </c>
      <c r="FH33" s="129">
        <f>ROUND(COUNTIF(FH2:FH31,"A")*100/FH32,0)</f>
        <v>23</v>
      </c>
      <c r="FI33" s="142">
        <f>ROUND(COUNTIF(FI2:FI31,"A")*100/FI32,0)</f>
        <v>67</v>
      </c>
      <c r="FJ33" s="142">
        <f>ROUND(COUNTIF(FJ2:FJ31,"A")*100/FJ32,0)</f>
        <v>67</v>
      </c>
      <c r="FK33" s="129">
        <f>ROUND(COUNTIF(FK2:FK31,"A")*100/FK32,0)</f>
        <v>10</v>
      </c>
      <c r="FL33" s="129">
        <f>ROUND(COUNTIF(FL2:FL31,"A")*100/FL32,0)</f>
        <v>13</v>
      </c>
      <c r="FM33" s="129">
        <f>ROUND(COUNTIF(FM2:FM31,"A")*100/FM32,0)</f>
        <v>23</v>
      </c>
      <c r="FN33" s="129">
        <f>ROUND(COUNTIF(FN2:FN31,"A")*100/FN32,0)</f>
        <v>30</v>
      </c>
      <c r="FO33" s="129">
        <f>ROUND(COUNTIF(FO2:FO31,"A")*100/FO32,0)</f>
        <v>33</v>
      </c>
      <c r="FP33" s="142">
        <f>ROUND(COUNTIF(FP2:FP31,"A")*100/FP32,0)</f>
        <v>33</v>
      </c>
      <c r="FQ33" s="142">
        <f>ROUND(COUNTIF(FQ2:FQ31,"A")*100/FQ32,0)</f>
        <v>63</v>
      </c>
      <c r="FR33" s="129">
        <f>ROUND(COUNTIF(FR2:FR31,"A")*100/FR32,0)</f>
        <v>7</v>
      </c>
      <c r="FS33" s="129">
        <f>ROUND(COUNTIF(FS2:FS31,"A")*100/FS32,0)</f>
        <v>7</v>
      </c>
      <c r="FT33" s="129">
        <f>ROUND(COUNTIF(FT2:FT31,"A")*100/FT32,0)</f>
        <v>37</v>
      </c>
      <c r="FU33" s="129">
        <f>ROUND(COUNTIF(FU2:FU31,"A")*100/FU32,0)</f>
        <v>3</v>
      </c>
      <c r="FV33" s="129">
        <f>ROUND(COUNTIF(FV2:FV31,"A")*100/FV32,0)</f>
        <v>3</v>
      </c>
      <c r="FW33" s="129">
        <f>ROUND(COUNTIF(FW2:FW31,"A")*100/FW32,0)</f>
        <v>37</v>
      </c>
      <c r="FX33" s="129">
        <f>ROUND(COUNTIF(FX2:FX31,"A")*100/FX32,0)</f>
        <v>13</v>
      </c>
      <c r="FY33" s="129">
        <f>ROUND(COUNTIF(FY2:FY31,"A")*100/FY32,0)</f>
        <v>20</v>
      </c>
      <c r="FZ33" s="129">
        <f>ROUND(COUNTIF(FZ2:FZ31,"A")*100/FZ32,0)</f>
        <v>27</v>
      </c>
      <c r="GA33" s="129">
        <f>ROUND(COUNTIF(GA2:GA31,"A")*100/GA32,0)</f>
        <v>17</v>
      </c>
      <c r="GB33" s="129">
        <f>ROUND(COUNTIF(GB2:GB31,"A")*100/GB32,0)</f>
        <v>10</v>
      </c>
      <c r="GC33" s="129">
        <f>ROUND(COUNTIF(GC2:GC31,"A")*100/GC32,0)</f>
        <v>50</v>
      </c>
      <c r="GD33" s="129">
        <f>ROUND(COUNTIF(GD2:GD31,"A")*100/GD32,0)</f>
        <v>33</v>
      </c>
      <c r="GE33" s="129">
        <f>ROUND(COUNTIF(GE2:GE31,"A")*100/GE32,0)</f>
        <v>57</v>
      </c>
      <c r="GF33" s="129">
        <f>ROUND(COUNTIF(GF2:GF31,"A")*100/GF32,0)</f>
        <v>13</v>
      </c>
      <c r="GG33" s="142">
        <f>ROUND(COUNTIF(GG2:GG31,"A")*100/GG32,0)</f>
        <v>17</v>
      </c>
      <c r="GH33" s="142">
        <f>ROUND(COUNTIF(GH2:GH31,"A")*100/GH32,0)</f>
        <v>30</v>
      </c>
      <c r="GI33" s="129">
        <f>ROUND(COUNTIF(GI2:GI31,"A")*100/GI32,0)</f>
        <v>37</v>
      </c>
      <c r="GJ33" s="129">
        <f>ROUND(COUNTIF(GJ2:GJ31,"A")*100/GJ32,0)</f>
        <v>43</v>
      </c>
      <c r="GK33" s="129">
        <f>ROUND(COUNTIF(GK2:GK31,"A")*100/GK32,0)</f>
        <v>23</v>
      </c>
      <c r="GL33" s="129">
        <f>ROUND(COUNTIF(GL2:GL31,"A")*100/GL32,0)</f>
        <v>27</v>
      </c>
      <c r="GM33" s="129">
        <f>ROUND(COUNTIF(GM2:GM31,"A")*100/GM32,0)</f>
        <v>30</v>
      </c>
      <c r="GN33" s="129">
        <f>ROUND(COUNTIF(GN2:GN31,"A")*100/GN32,0)</f>
        <v>50</v>
      </c>
      <c r="GO33" s="129">
        <f>ROUND(COUNTIF(GO2:GO31,"A")*100/GO32,0)</f>
        <v>23</v>
      </c>
      <c r="GP33" s="129">
        <f>ROUND(COUNTIF(GP2:GP31,"A")*100/GP32,0)</f>
        <v>10</v>
      </c>
      <c r="GQ33" s="129">
        <f>ROUND(COUNTIF(GQ2:GQ31,"A")*100/GQ32,0)</f>
        <v>33</v>
      </c>
      <c r="GR33" s="129">
        <f>ROUND(COUNTIF(GR2:GR31,"A")*100/GR32,0)</f>
        <v>27</v>
      </c>
      <c r="GS33" s="129">
        <f>ROUND(COUNTIF(GS2:GS31,"A")*100/GS32,0)</f>
        <v>7</v>
      </c>
      <c r="GT33" s="129">
        <f>ROUND(COUNTIF(GT2:GT31,"A")*100/GT32,0)</f>
        <v>33</v>
      </c>
      <c r="GU33" s="129">
        <f>ROUND(COUNTIF(GU2:GU31,"A")*100/GU32,0)</f>
        <v>27</v>
      </c>
      <c r="GV33" s="129">
        <f>ROUND(COUNTIF(GV2:GV31,"A")*100/GV32,0)</f>
        <v>13</v>
      </c>
      <c r="GW33" s="129">
        <f>ROUND(COUNTIF(GW2:GW31,"A")*100/GW32,0)</f>
        <v>23</v>
      </c>
      <c r="GX33" s="129">
        <f>ROUND(COUNTIF(GX2:GX31,"A")*100/GX32,0)</f>
        <v>13</v>
      </c>
      <c r="GY33" s="142">
        <f>ROUND(COUNTIF(GY2:GY31,"A")*100/GY32,0)</f>
        <v>33</v>
      </c>
      <c r="GZ33" s="129">
        <f>ROUND(COUNTIF(GZ2:GZ31,"A")*100/GZ32,0)</f>
        <v>17</v>
      </c>
      <c r="HA33" s="142">
        <f>ROUND(COUNTIF(HA2:HA31,"A")*100/HA32,0)</f>
        <v>20</v>
      </c>
      <c r="HB33" s="129">
        <f>ROUND(COUNTIF(HB2:HB31,"A")*100/HB32,0)</f>
        <v>43</v>
      </c>
      <c r="HC33" s="142">
        <f>ROUND(COUNTIF(HC2:HC31,"A")*100/HC32,0)</f>
        <v>50</v>
      </c>
      <c r="HD33" s="129">
        <f>ROUND(COUNTIF(HD2:HD31,"A")*100/HD32,0)</f>
        <v>43</v>
      </c>
      <c r="HE33" s="129">
        <f>ROUND(COUNTIF(HE2:HE31,"A")*100/HE32,0)</f>
        <v>17</v>
      </c>
      <c r="HF33" s="129">
        <f>ROUND(COUNTIF(HF2:HF31,"A")*100/HF32,0)</f>
        <v>40</v>
      </c>
      <c r="HG33" s="129">
        <f>ROUND(COUNTIF(HG2:HG31,"A")*100/HG32,0)</f>
        <v>20</v>
      </c>
      <c r="HH33" s="129">
        <f>ROUND(COUNTIF(HH2:HH31,"A")*100/HH32,0)</f>
        <v>33</v>
      </c>
      <c r="HI33" s="142">
        <f>ROUND(COUNTIF(HI2:HI31,"A")*100/HI32,0)</f>
        <v>7</v>
      </c>
      <c r="HJ33" s="129">
        <f>ROUND(COUNTIF(HJ2:HJ31,"A")*100/HJ32,0)</f>
        <v>23</v>
      </c>
      <c r="HK33" s="129">
        <f>ROUND(COUNTIF(HK2:HK31,"A")*100/HK32,0)</f>
        <v>30</v>
      </c>
      <c r="HL33" s="142">
        <f>ROUND(COUNTIF(HL2:HL31,"A")*100/HL32,0)</f>
        <v>33</v>
      </c>
      <c r="HM33" s="142">
        <f>ROUND(COUNTIF(HM2:HM31,"A")*100/HM32,0)</f>
        <v>17</v>
      </c>
      <c r="HN33" s="142">
        <f>ROUND(COUNTIF(HN2:HN31,"A")*100/HN32,0)</f>
        <v>33</v>
      </c>
      <c r="HO33" s="129">
        <f>ROUND(COUNTIF(HO2:HO31,"A")*100/HO32,0)</f>
        <v>30</v>
      </c>
      <c r="HP33" s="129">
        <f>ROUND(COUNTIF(HP2:HP31,"A")*100/HP32,0)</f>
        <v>20</v>
      </c>
      <c r="HQ33" s="129">
        <f>ROUND(COUNTIF(HQ2:HQ31,"A")*100/HQ32,0)</f>
        <v>27</v>
      </c>
      <c r="HR33" s="129">
        <f>ROUND(COUNTIF(HR2:HR31,"A")*100/HR32,0)</f>
        <v>7</v>
      </c>
      <c r="HS33" s="142">
        <f>ROUND(COUNTIF(HS2:HS31,"A")*100/HS32,0)</f>
        <v>73</v>
      </c>
      <c r="HT33" s="129">
        <f>ROUND(COUNTIF(HT2:HT31,"A")*100/HT32,0)</f>
        <v>3</v>
      </c>
      <c r="HU33" s="129">
        <f>ROUND(COUNTIF(HU2:HU31,"A")*100/HU32,0)</f>
        <v>3</v>
      </c>
      <c r="HV33" s="129">
        <f>ROUND(COUNTIF(HV2:HV31,"A")*100/HV32,0)</f>
        <v>10</v>
      </c>
      <c r="HW33" s="129">
        <f>ROUND(COUNTIF(HW2:HW31,"A")*100/HW32,0)</f>
        <v>7</v>
      </c>
      <c r="HX33" s="142">
        <f>ROUND(COUNTIF(HX2:HX31,"A")*100/HX32,0)</f>
        <v>40</v>
      </c>
      <c r="HY33" s="129">
        <f>ROUND(COUNTIF(HY2:HY31,"A")*100/HY32,0)</f>
        <v>13</v>
      </c>
      <c r="HZ33" s="142">
        <f>ROUND(COUNTIF(HZ2:HZ31,"A")*100/HZ32,0)</f>
        <v>23</v>
      </c>
      <c r="IA33" s="129">
        <f>ROUND(COUNTIF(IA2:IA31,"A")*100/IA32,0)</f>
        <v>7</v>
      </c>
      <c r="IB33" s="129">
        <f>ROUND(COUNTIF(IB2:IB31,"A")*100/IB32,0)</f>
        <v>53</v>
      </c>
      <c r="IC33" s="129">
        <f>ROUND(COUNTIF(IC2:IC31,"A")*100/IC32,0)</f>
        <v>37</v>
      </c>
      <c r="ID33" s="142">
        <f>ROUND(COUNTIF(ID2:ID31,"A")*100/ID32,0)</f>
        <v>13</v>
      </c>
      <c r="IE33" s="129">
        <f>ROUND(COUNTIF(IE2:IE31,"A")*100/IE32,0)</f>
        <v>13</v>
      </c>
      <c r="IF33" s="129">
        <f>ROUND(COUNTIF(IF2:IF31,"A")*100/IF32,0)</f>
        <v>43</v>
      </c>
      <c r="IG33" s="142">
        <f>ROUND(COUNTIF(IG2:IG31,"A")*100/IG32,0)</f>
        <v>37</v>
      </c>
      <c r="IH33" s="142">
        <f>ROUND(COUNTIF(IH2:IH31,"A")*100/IH32,0)</f>
        <v>47</v>
      </c>
      <c r="II33" s="129">
        <f>ROUND(COUNTIF(II2:II31,"A")*100/II32,0)</f>
        <v>13</v>
      </c>
      <c r="IJ33" s="129">
        <f>ROUND(COUNTIF(IJ2:IJ31,"A")*100/IJ32,0)</f>
        <v>40</v>
      </c>
      <c r="IK33" s="129">
        <f>ROUND(COUNTIF(IK2:IK31,"A")*100/IK32,0)</f>
        <v>40</v>
      </c>
      <c r="IL33" s="129">
        <f>ROUND(COUNTIF(IL2:IL31,"A")*100/IL32,0)</f>
        <v>13</v>
      </c>
      <c r="IM33" s="129">
        <f>ROUND(COUNTIF(IM2:IM31,"A")*100/IM32,0)</f>
        <v>27</v>
      </c>
      <c r="IN33" s="129">
        <f>ROUND(COUNTIF(IN2:IN31,"A")*100/IN32,0)</f>
        <v>57</v>
      </c>
      <c r="IO33" s="129">
        <f>ROUND(COUNTIF(IO2:IO31,"A")*100/IO32,0)</f>
        <v>47</v>
      </c>
      <c r="IP33" s="142">
        <f>ROUND(COUNTIF(IP2:IP31,"A")*100/IP32,0)</f>
        <v>43</v>
      </c>
      <c r="IQ33" s="129">
        <f>ROUND(COUNTIF(IQ2:IQ31,"A")*100/IQ32,0)</f>
        <v>27</v>
      </c>
      <c r="IR33" s="129">
        <f>ROUND(COUNTIF(IR2:IR31,"A")*100/IR32,0)</f>
        <v>47</v>
      </c>
      <c r="IS33" s="129">
        <f>ROUND(COUNTIF(IS2:IS31,"A")*100/IS32,0)</f>
        <v>30</v>
      </c>
      <c r="IT33" s="129">
        <f>ROUND(COUNTIF(IT2:IT31,"A")*100/IT32,0)</f>
        <v>47</v>
      </c>
      <c r="IU33" s="142">
        <f>ROUND(COUNTIF(IU2:IU31,"A")*100/IU32,0)</f>
        <v>40</v>
      </c>
      <c r="IV33" s="129">
        <f>ROUND(COUNTIF(IV2:IV31,"A")*100/IV32,0)</f>
        <v>13</v>
      </c>
      <c r="IW33" s="129">
        <f>ROUND(COUNTIF(IW2:IW31,"A")*100/IW32,0)</f>
        <v>13</v>
      </c>
      <c r="IX33" s="129">
        <f>ROUND(COUNTIF(IX2:IX31,"A")*100/IX32,0)</f>
        <v>53</v>
      </c>
      <c r="IY33" s="129">
        <f>ROUND(COUNTIF(IY2:IY31,"A")*100/IY32,0)</f>
        <v>13</v>
      </c>
      <c r="IZ33" s="142">
        <f>ROUND(COUNTIF(IZ2:IZ31,"A")*100/IZ32,0)</f>
        <v>63</v>
      </c>
      <c r="JA33" s="129">
        <f>ROUND(COUNTIF(JA2:JA31,"A")*100/JA32,0)</f>
        <v>70</v>
      </c>
      <c r="JB33" s="142">
        <f>ROUND(COUNTIF(JB2:JB31,"A")*100/JB32,0)</f>
        <v>67</v>
      </c>
      <c r="JC33" s="129">
        <f>ROUND(COUNTIF(JC2:JC31,"A")*100/JC32,0)</f>
        <v>23</v>
      </c>
      <c r="JD33" s="142">
        <f>ROUND(COUNTIF(JD2:JD31,"A")*100/JD32,0)</f>
        <v>23</v>
      </c>
      <c r="JE33" s="129">
        <f>ROUND(COUNTIF(JE2:JE31,"A")*100/JE32,0)</f>
        <v>17</v>
      </c>
      <c r="JF33" s="129">
        <f>ROUND(COUNTIF(JF2:JF31,"A")*100/JF32,0)</f>
        <v>20</v>
      </c>
      <c r="JG33" s="129">
        <f>ROUND(COUNTIF(JG2:JG31,"A")*100/JG32,0)</f>
        <v>33</v>
      </c>
      <c r="JH33" s="129">
        <f>ROUND(COUNTIF(JH2:JH31,"A")*100/JH32,0)</f>
        <v>13</v>
      </c>
      <c r="JI33" s="129">
        <f>ROUND(COUNTIF(JI2:JI31,"A")*100/JI32,0)</f>
        <v>33</v>
      </c>
      <c r="JJ33" s="142">
        <f>ROUND(COUNTIF(JJ2:JJ31,"A")*100/JJ32,0)</f>
        <v>23</v>
      </c>
      <c r="JK33" s="129">
        <f>ROUND(COUNTIF(JK2:JK31,"A")*100/JK32,0)</f>
        <v>30</v>
      </c>
      <c r="JL33" s="129">
        <f>ROUND(COUNTIF(JL2:JL31,"A")*100/JL32,0)</f>
        <v>27</v>
      </c>
      <c r="JM33" s="142">
        <f>ROUND(COUNTIF(JM2:JM31,"A")*100/JM32,0)</f>
        <v>17</v>
      </c>
      <c r="JN33" s="129">
        <f>ROUND(COUNTIF(JN2:JN31,"A")*100/JN32,0)</f>
        <v>13</v>
      </c>
      <c r="JO33" s="129">
        <f>ROUND(COUNTIF(JO2:JO31,"A")*100/JO32,0)</f>
        <v>17</v>
      </c>
      <c r="JP33" s="129">
        <f>ROUND(COUNTIF(JP2:JP31,"A")*100/JP32,0)</f>
        <v>13</v>
      </c>
      <c r="JQ33" s="129">
        <f>ROUND(COUNTIF(JQ2:JQ31,"A")*100/JQ32,0)</f>
        <v>23</v>
      </c>
      <c r="JR33" s="142">
        <f>ROUND(COUNTIF(JR2:JR31,"A")*100/JR32,0)</f>
        <v>17</v>
      </c>
      <c r="JS33" s="129">
        <f>ROUND(COUNTIF(JS2:JS31,"A")*100/JS32,0)</f>
        <v>17</v>
      </c>
      <c r="JT33" s="129">
        <f>ROUND(COUNTIF(JT2:JT31,"A")*100/JT32,0)</f>
        <v>10</v>
      </c>
    </row>
    <row r="34" spans="4:280" s="65" customFormat="1" x14ac:dyDescent="0.35">
      <c r="D34" s="139" t="s">
        <v>339</v>
      </c>
      <c r="L34" s="138"/>
      <c r="EQ34" s="129">
        <f>ROUND(COUNTIF(EQ2:EQ31,"B")*100/EQ32,0)</f>
        <v>17</v>
      </c>
      <c r="ER34" s="129">
        <f>ROUND(COUNTIF(ER2:ER31,"B")*100/ER32,0)</f>
        <v>50</v>
      </c>
      <c r="ES34" s="142">
        <f>ROUND(COUNTIF(ES2:ES31,"B")*100/ES32,0)</f>
        <v>27</v>
      </c>
      <c r="ET34" s="129">
        <f>ROUND(COUNTIF(ET2:ET31,"B")*100/ET32,0)</f>
        <v>13</v>
      </c>
      <c r="EU34" s="129">
        <f>ROUND(COUNTIF(EU2:EU31,"B")*100/EU32,0)</f>
        <v>13</v>
      </c>
      <c r="EV34" s="129">
        <f>ROUND(COUNTIF(EV2:EV31,"B")*100/EV32,0)</f>
        <v>27</v>
      </c>
      <c r="EW34" s="129">
        <f>ROUND(COUNTIF(EW2:EW31,"B")*100/EW32,0)</f>
        <v>17</v>
      </c>
      <c r="EX34" s="129">
        <f>ROUND(COUNTIF(EX2:EX31,"B")*100/EX32,0)</f>
        <v>27</v>
      </c>
      <c r="EY34" s="129">
        <f>ROUND(COUNTIF(EY2:EY31,"B")*100/EY32,0)</f>
        <v>27</v>
      </c>
      <c r="EZ34" s="129">
        <f>ROUND(COUNTIF(EZ2:EZ31,"B")*100/EZ32,0)</f>
        <v>50</v>
      </c>
      <c r="FA34" s="129">
        <f>ROUND(COUNTIF(FA2:FA31,"B")*100/FA32,0)</f>
        <v>17</v>
      </c>
      <c r="FB34" s="129">
        <f>ROUND(COUNTIF(FB2:FB31,"B")*100/FB32,0)</f>
        <v>23</v>
      </c>
      <c r="FC34" s="129">
        <f>ROUND(COUNTIF(FC2:FC31,"B")*100/FC32,0)</f>
        <v>37</v>
      </c>
      <c r="FD34" s="129">
        <f>ROUND(COUNTIF(FD2:FD31,"B")*100/FD32,0)</f>
        <v>67</v>
      </c>
      <c r="FE34" s="129">
        <f>ROUND(COUNTIF(FE2:FE31,"B")*100/FE32,0)</f>
        <v>23</v>
      </c>
      <c r="FF34" s="142">
        <f>ROUND(COUNTIF(FF2:FF31,"B")*100/FF32,0)</f>
        <v>40</v>
      </c>
      <c r="FG34" s="129">
        <f>ROUND(COUNTIF(FG2:FG31,"B")*100/FG32,0)</f>
        <v>27</v>
      </c>
      <c r="FH34" s="142">
        <f>ROUND(COUNTIF(FH2:FH31,"B")*100/FH32,0)</f>
        <v>53</v>
      </c>
      <c r="FI34" s="129">
        <f>ROUND(COUNTIF(FI2:FI31,"B")*100/FI32,0)</f>
        <v>23</v>
      </c>
      <c r="FJ34" s="129">
        <f>ROUND(COUNTIF(FJ2:FJ31,"B")*100/FJ32,0)</f>
        <v>13</v>
      </c>
      <c r="FK34" s="129">
        <f>ROUND(COUNTIF(FK2:FK31,"B")*100/FK32,0)</f>
        <v>7</v>
      </c>
      <c r="FL34" s="142">
        <f>ROUND(COUNTIF(FL2:FL31,"B")*100/FL32,0)</f>
        <v>17</v>
      </c>
      <c r="FM34" s="142">
        <f>ROUND(COUNTIF(FM2:FM31,"B")*100/FM32,0)</f>
        <v>43</v>
      </c>
      <c r="FN34" s="129">
        <f>ROUND(COUNTIF(FN2:FN31,"B")*100/FN32,0)</f>
        <v>23</v>
      </c>
      <c r="FO34" s="129">
        <f>ROUND(COUNTIF(FO2:FO31,"B")*100/FO32,0)</f>
        <v>17</v>
      </c>
      <c r="FP34" s="129">
        <f>ROUND(COUNTIF(FP2:FP31,"B")*100/FP32,0)</f>
        <v>37</v>
      </c>
      <c r="FQ34" s="129">
        <f>ROUND(COUNTIF(FQ2:FQ31,"B")*100/FQ32,0)</f>
        <v>13</v>
      </c>
      <c r="FR34" s="142">
        <f>ROUND(COUNTIF(FR2:FR31,"B")*100/FR32,0)</f>
        <v>47</v>
      </c>
      <c r="FS34" s="129">
        <f>ROUND(COUNTIF(FS2:FS31,"B")*100/FS32,0)</f>
        <v>10</v>
      </c>
      <c r="FT34" s="142">
        <f>ROUND(COUNTIF(FT2:FT31,"B")*100/FT32,0)</f>
        <v>23</v>
      </c>
      <c r="FU34" s="142">
        <f>ROUND(COUNTIF(FU2:FU31,"B")*100/FU32,0)</f>
        <v>27</v>
      </c>
      <c r="FV34" s="129">
        <f>ROUND(COUNTIF(FV2:FV31,"B")*100/FV32,0)</f>
        <v>27</v>
      </c>
      <c r="FW34" s="129">
        <f>ROUND(COUNTIF(FW2:FW31,"B")*100/FW32,0)</f>
        <v>30</v>
      </c>
      <c r="FX34" s="129">
        <f>ROUND(COUNTIF(FX2:FX31,"B")*100/FX32,0)</f>
        <v>27</v>
      </c>
      <c r="FY34" s="129">
        <f>ROUND(COUNTIF(FY2:FY31,"B")*100/FY32,0)</f>
        <v>53</v>
      </c>
      <c r="FZ34" s="129">
        <f>ROUND(COUNTIF(FZ2:FZ31,"B")*100/FZ32,0)</f>
        <v>10</v>
      </c>
      <c r="GA34" s="142">
        <f>ROUND(COUNTIF(GA2:GA31,"B")*100/GA32,0)</f>
        <v>20</v>
      </c>
      <c r="GB34" s="129">
        <f>ROUND(COUNTIF(GB2:GB31,"B")*100/GB32,0)</f>
        <v>0</v>
      </c>
      <c r="GC34" s="129">
        <f>ROUND(COUNTIF(GC2:GC31,"B")*100/GC32,0)</f>
        <v>3</v>
      </c>
      <c r="GD34" s="129">
        <f>ROUND(COUNTIF(GD2:GD31,"B")*100/GD32,0)</f>
        <v>33</v>
      </c>
      <c r="GE34" s="142">
        <f>ROUND(COUNTIF(GE2:GE31,"B")*100/GE32,0)</f>
        <v>7</v>
      </c>
      <c r="GF34" s="129">
        <f>ROUND(COUNTIF(GF2:GF31,"B")*100/GF32,0)</f>
        <v>37</v>
      </c>
      <c r="GG34" s="129">
        <f>ROUND(COUNTIF(GG2:GG31,"B")*100/GG32,0)</f>
        <v>33</v>
      </c>
      <c r="GH34" s="129">
        <f>ROUND(COUNTIF(GH2:GH31,"B")*100/GH32,0)</f>
        <v>47</v>
      </c>
      <c r="GI34" s="129">
        <f>ROUND(COUNTIF(GI2:GI31,"B")*100/GI32,0)</f>
        <v>20</v>
      </c>
      <c r="GJ34" s="142">
        <f>ROUND(COUNTIF(GJ2:GJ31,"B")*100/GJ32,0)</f>
        <v>27</v>
      </c>
      <c r="GK34" s="129">
        <f>ROUND(COUNTIF(GK2:GK31,"B")*100/GK32,0)</f>
        <v>37</v>
      </c>
      <c r="GL34" s="129">
        <f>ROUND(COUNTIF(GL2:GL31,"B")*100/GL32,0)</f>
        <v>27</v>
      </c>
      <c r="GM34" s="129">
        <f>ROUND(COUNTIF(GM2:GM31,"B")*100/GM32,0)</f>
        <v>20</v>
      </c>
      <c r="GN34" s="142">
        <f>ROUND(COUNTIF(GN2:GN31,"B")*100/GN32,0)</f>
        <v>30</v>
      </c>
      <c r="GO34" s="142">
        <f>ROUND(COUNTIF(GO2:GO31,"B")*100/GO32,0)</f>
        <v>27</v>
      </c>
      <c r="GP34" s="129">
        <f>ROUND(COUNTIF(GP2:GP31,"B")*100/GP32,0)</f>
        <v>37</v>
      </c>
      <c r="GQ34" s="129">
        <f>ROUND(COUNTIF(GQ2:GQ31,"B")*100/GQ32,0)</f>
        <v>37</v>
      </c>
      <c r="GR34" s="142">
        <f>ROUND(COUNTIF(GR2:GR31,"B")*100/GR32,0)</f>
        <v>37</v>
      </c>
      <c r="GS34" s="142">
        <f>ROUND(COUNTIF(GS2:GS31,"B")*100/GS32,0)</f>
        <v>57</v>
      </c>
      <c r="GT34" s="129">
        <f>ROUND(COUNTIF(GT2:GT31,"B")*100/GT32,0)</f>
        <v>27</v>
      </c>
      <c r="GU34" s="142">
        <f>ROUND(COUNTIF(GU2:GU31,"B")*100/GU32,0)</f>
        <v>53</v>
      </c>
      <c r="GV34" s="142">
        <f>ROUND(COUNTIF(GV2:GV31,"B")*100/GV32,0)</f>
        <v>47</v>
      </c>
      <c r="GW34" s="129">
        <f>ROUND(COUNTIF(GW2:GW31,"B")*100/GW32,0)</f>
        <v>33</v>
      </c>
      <c r="GX34" s="129">
        <f>ROUND(COUNTIF(GX2:GX31,"B")*100/GX32,0)</f>
        <v>30</v>
      </c>
      <c r="GY34" s="129">
        <f>ROUND(COUNTIF(GY2:GY31,"B")*100/GY32,0)</f>
        <v>43</v>
      </c>
      <c r="GZ34" s="129">
        <f>ROUND(COUNTIF(GZ2:GZ31,"B")*100/GZ32,0)</f>
        <v>27</v>
      </c>
      <c r="HA34" s="129">
        <f>ROUND(COUNTIF(HA2:HA31,"B")*100/HA32,0)</f>
        <v>47</v>
      </c>
      <c r="HB34" s="129">
        <f>ROUND(COUNTIF(HB2:HB31,"B")*100/HB32,0)</f>
        <v>20</v>
      </c>
      <c r="HC34" s="129">
        <f>ROUND(COUNTIF(HC2:HC31,"B")*100/HC32,0)</f>
        <v>30</v>
      </c>
      <c r="HD34" s="129">
        <f>ROUND(COUNTIF(HD2:HD31,"B")*100/HD32,0)</f>
        <v>23</v>
      </c>
      <c r="HE34" s="129">
        <f>ROUND(COUNTIF(HE2:HE31,"B")*100/HE32,0)</f>
        <v>27</v>
      </c>
      <c r="HF34" s="129">
        <f>ROUND(COUNTIF(HF2:HF31,"B")*100/HF32,0)</f>
        <v>23</v>
      </c>
      <c r="HG34" s="142">
        <f>ROUND(COUNTIF(HG2:HG31,"B")*100/HG32,0)</f>
        <v>50</v>
      </c>
      <c r="HH34" s="142">
        <f>ROUND(COUNTIF(HH2:HH31,"B")*100/HH32,0)</f>
        <v>60</v>
      </c>
      <c r="HI34" s="129">
        <f>ROUND(COUNTIF(HI2:HI31,"B")*100/HI32,0)</f>
        <v>33</v>
      </c>
      <c r="HJ34" s="142">
        <f>ROUND(COUNTIF(HJ2:HJ31,"B")*100/HJ32,0)</f>
        <v>40</v>
      </c>
      <c r="HK34" s="142">
        <f>ROUND(COUNTIF(HK2:HK31,"B")*100/HK32,0)</f>
        <v>37</v>
      </c>
      <c r="HL34" s="129">
        <f>ROUND(COUNTIF(HL2:HL31,"B")*100/HL32,0)</f>
        <v>27</v>
      </c>
      <c r="HM34" s="129">
        <f>ROUND(COUNTIF(HM2:HM31,"B")*100/HM32,0)</f>
        <v>50</v>
      </c>
      <c r="HN34" s="129">
        <f>ROUND(COUNTIF(HN2:HN31,"B")*100/HN32,0)</f>
        <v>30</v>
      </c>
      <c r="HO34" s="129">
        <f>ROUND(COUNTIF(HO2:HO31,"B")*100/HO32,0)</f>
        <v>20</v>
      </c>
      <c r="HP34" s="129">
        <f>ROUND(COUNTIF(HP2:HP31,"B")*100/HP32,0)</f>
        <v>20</v>
      </c>
      <c r="HQ34" s="142">
        <f>ROUND(COUNTIF(HQ2:HQ31,"B")*100/HQ32,0)</f>
        <v>33</v>
      </c>
      <c r="HR34" s="142">
        <f>ROUND(COUNTIF(HR2:HR31,"B")*100/HR32,0)</f>
        <v>47</v>
      </c>
      <c r="HS34" s="129">
        <f>ROUND(COUNTIF(HS2:HS31,"B")*100/HS32,0)</f>
        <v>10</v>
      </c>
      <c r="HT34" s="129">
        <f>ROUND(COUNTIF(HT2:HT31,"B")*100/HT32,0)</f>
        <v>0</v>
      </c>
      <c r="HU34" s="129">
        <f>ROUND(COUNTIF(HU2:HU31,"B")*100/HU32,0)</f>
        <v>20</v>
      </c>
      <c r="HV34" s="129">
        <f>ROUND(COUNTIF(HV2:HV31,"B")*100/HV32,0)</f>
        <v>3</v>
      </c>
      <c r="HW34" s="142">
        <f>ROUND(COUNTIF(HW2:HW31,"B")*100/HW32,0)</f>
        <v>83</v>
      </c>
      <c r="HX34" s="129">
        <f>ROUND(COUNTIF(HX2:HX31,"B")*100/HX32,0)</f>
        <v>30</v>
      </c>
      <c r="HY34" s="142">
        <f>ROUND(COUNTIF(HY2:HY31,"B")*100/HY32,0)</f>
        <v>27</v>
      </c>
      <c r="HZ34" s="129">
        <f>ROUND(COUNTIF(HZ2:HZ31,"B")*100/HZ32,0)</f>
        <v>70</v>
      </c>
      <c r="IA34" s="142">
        <f>ROUND(COUNTIF(IA2:IA31,"B")*100/IA32,0)</f>
        <v>87</v>
      </c>
      <c r="IB34" s="129">
        <f>ROUND(COUNTIF(IB2:IB31,"B")*100/IB32,0)</f>
        <v>17</v>
      </c>
      <c r="IC34" s="142">
        <f>ROUND(COUNTIF(IC2:IC31,"B")*100/IC32,0)</f>
        <v>27</v>
      </c>
      <c r="ID34" s="129">
        <f>ROUND(COUNTIF(ID2:ID31,"B")*100/ID32,0)</f>
        <v>37</v>
      </c>
      <c r="IE34" s="129">
        <f>ROUND(COUNTIF(IE2:IE31,"B")*100/IE32,0)</f>
        <v>83</v>
      </c>
      <c r="IF34" s="142">
        <f>ROUND(COUNTIF(IF2:IF31,"B")*100/IF32,0)</f>
        <v>30</v>
      </c>
      <c r="IG34" s="129">
        <f>ROUND(COUNTIF(IG2:IG31,"B")*100/IG32,0)</f>
        <v>30</v>
      </c>
      <c r="IH34" s="129">
        <f>ROUND(COUNTIF(IH2:IH31,"B")*100/IH32,0)</f>
        <v>40</v>
      </c>
      <c r="II34" s="142">
        <f>ROUND(COUNTIF(II2:II31,"B")*100/II32,0)</f>
        <v>60</v>
      </c>
      <c r="IJ34" s="129">
        <f>ROUND(COUNTIF(IJ2:IJ31,"B")*100/IJ32,0)</f>
        <v>27</v>
      </c>
      <c r="IK34" s="129">
        <f>ROUND(COUNTIF(IK2:IK31,"B")*100/IK32,0)</f>
        <v>40</v>
      </c>
      <c r="IL34" s="129">
        <f>ROUND(COUNTIF(IL2:IL31,"B")*100/IL32,0)</f>
        <v>43</v>
      </c>
      <c r="IM34" s="142">
        <f>ROUND(COUNTIF(IM2:IM31,"B")*100/IM32,0)</f>
        <v>40</v>
      </c>
      <c r="IN34" s="129">
        <f>ROUND(COUNTIF(IN2:IN31,"B")*100/IN32,0)</f>
        <v>23</v>
      </c>
      <c r="IO34" s="142">
        <f>ROUND(COUNTIF(IO2:IO31,"B")*100/IO32,0)</f>
        <v>40</v>
      </c>
      <c r="IP34" s="129">
        <f>ROUND(COUNTIF(IP2:IP31,"B")*100/IP32,0)</f>
        <v>40</v>
      </c>
      <c r="IQ34" s="129">
        <f>ROUND(COUNTIF(IQ2:IQ31,"B")*100/IQ32,0)</f>
        <v>23</v>
      </c>
      <c r="IR34" s="129">
        <f>ROUND(COUNTIF(IR2:IR31,"B")*100/IR32,0)</f>
        <v>30</v>
      </c>
      <c r="IS34" s="142">
        <f>ROUND(COUNTIF(IS2:IS31,"B")*100/IS32,0)</f>
        <v>30</v>
      </c>
      <c r="IT34" s="142">
        <f>ROUND(COUNTIF(IT2:IT31,"B")*100/IT32,0)</f>
        <v>50</v>
      </c>
      <c r="IU34" s="129">
        <f>ROUND(COUNTIF(IU2:IU31,"B")*100/IU32,0)</f>
        <v>30</v>
      </c>
      <c r="IV34" s="129">
        <f>ROUND(COUNTIF(IV2:IV31,"B")*100/IV32,0)</f>
        <v>43</v>
      </c>
      <c r="IW34" s="142">
        <f>ROUND(COUNTIF(IW2:IW31,"B")*100/IW32,0)</f>
        <v>37</v>
      </c>
      <c r="IX34" s="129">
        <f>ROUND(COUNTIF(IX2:IX31,"B")*100/IX32,0)</f>
        <v>23</v>
      </c>
      <c r="IY34" s="129">
        <f>ROUND(COUNTIF(IY2:IY31,"B")*100/IY32,0)</f>
        <v>20</v>
      </c>
      <c r="IZ34" s="129">
        <f>ROUND(COUNTIF(IZ2:IZ31,"B")*100/IZ32,0)</f>
        <v>17</v>
      </c>
      <c r="JA34" s="129">
        <f>ROUND(COUNTIF(JA2:JA31,"B")*100/JA32,0)</f>
        <v>17</v>
      </c>
      <c r="JB34" s="129">
        <f>ROUND(COUNTIF(JB2:JB31,"B")*100/JB32,0)</f>
        <v>17</v>
      </c>
      <c r="JC34" s="142">
        <f>ROUND(COUNTIF(JC2:JC31,"B")*100/JC32,0)</f>
        <v>60</v>
      </c>
      <c r="JD34" s="129">
        <f>ROUND(COUNTIF(JD2:JD31,"B")*100/JD32,0)</f>
        <v>70</v>
      </c>
      <c r="JE34" s="142">
        <f>ROUND(COUNTIF(JE2:JE31,"B")*100/JE32,0)</f>
        <v>17</v>
      </c>
      <c r="JF34" s="142">
        <f>ROUND(COUNTIF(JF2:JF31,"B")*100/JF32,0)</f>
        <v>33</v>
      </c>
      <c r="JG34" s="129">
        <f>ROUND(COUNTIF(JG2:JG31,"B")*100/JG32,0)</f>
        <v>30</v>
      </c>
      <c r="JH34" s="129">
        <f>ROUND(COUNTIF(JH2:JH31,"B")*100/JH32,0)</f>
        <v>27</v>
      </c>
      <c r="JI34" s="129">
        <f>ROUND(COUNTIF(JI2:JI31,"B")*100/JI32,0)</f>
        <v>30</v>
      </c>
      <c r="JJ34" s="129">
        <f>ROUND(COUNTIF(JJ2:JJ31,"B")*100/JJ32,0)</f>
        <v>20</v>
      </c>
      <c r="JK34" s="142">
        <f>ROUND(COUNTIF(JK2:JK31,"B")*100/JK32,0)</f>
        <v>23</v>
      </c>
      <c r="JL34" s="142">
        <f>ROUND(COUNTIF(JL2:JL31,"B")*100/JL32,0)</f>
        <v>23</v>
      </c>
      <c r="JM34" s="129">
        <f>ROUND(COUNTIF(JM2:JM31,"B")*100/JM32,0)</f>
        <v>30</v>
      </c>
      <c r="JN34" s="129">
        <f>ROUND(COUNTIF(JN2:JN31,"B")*100/JN32,0)</f>
        <v>43</v>
      </c>
      <c r="JO34" s="142">
        <f>ROUND(COUNTIF(JO2:JO31,"B")*100/JO32,0)</f>
        <v>47</v>
      </c>
      <c r="JP34" s="129">
        <f>ROUND(COUNTIF(JP2:JP31,"B")*100/JP32,0)</f>
        <v>50</v>
      </c>
      <c r="JQ34" s="129">
        <f>ROUND(COUNTIF(JQ2:JQ31,"B")*100/JQ32,0)</f>
        <v>37</v>
      </c>
      <c r="JR34" s="129">
        <f>ROUND(COUNTIF(JR2:JR31,"B")*100/JR32,0)</f>
        <v>30</v>
      </c>
      <c r="JS34" s="142">
        <f>ROUND(COUNTIF(JS2:JS31,"B")*100/JS32,0)</f>
        <v>43</v>
      </c>
      <c r="JT34" s="129">
        <f>ROUND(COUNTIF(JT2:JT31,"B")*100/JT32,0)</f>
        <v>27</v>
      </c>
    </row>
    <row r="35" spans="4:280" s="65" customFormat="1" x14ac:dyDescent="0.35">
      <c r="D35" s="139" t="s">
        <v>340</v>
      </c>
      <c r="L35" s="138"/>
      <c r="EQ35" s="129">
        <f>ROUND(COUNTIF(EQ2:EQ31,"C")*100/EQ32,0)</f>
        <v>10</v>
      </c>
      <c r="ER35" s="142">
        <f>ROUND(COUNTIF(ER2:ER31,"C")*100/ER32,0)</f>
        <v>13</v>
      </c>
      <c r="ES35" s="129">
        <f>ROUND(COUNTIF(ES2:ES31,"C")*100/ES32,0)</f>
        <v>20</v>
      </c>
      <c r="ET35" s="142">
        <f>ROUND(COUNTIF(ET2:ET31,"C")*100/ET32,0)</f>
        <v>43</v>
      </c>
      <c r="EU35" s="129">
        <f>ROUND(COUNTIF(EU2:EU31,"C")*100/EU32,0)</f>
        <v>43</v>
      </c>
      <c r="EV35" s="129">
        <f>ROUND(COUNTIF(EV2:EV31,"C")*100/EV32,0)</f>
        <v>20</v>
      </c>
      <c r="EW35" s="129">
        <f>ROUND(COUNTIF(EW2:EW31,"C")*100/EW32,0)</f>
        <v>30</v>
      </c>
      <c r="EX35" s="142">
        <f>ROUND(COUNTIF(EX2:EX31,"C")*100/EX32,0)</f>
        <v>43</v>
      </c>
      <c r="EY35" s="142">
        <f>ROUND(COUNTIF(EY2:EY31,"C")*100/EY32,0)</f>
        <v>40</v>
      </c>
      <c r="EZ35" s="129">
        <f>ROUND(COUNTIF(EZ2:EZ31,"C")*100/EZ32,0)</f>
        <v>30</v>
      </c>
      <c r="FA35" s="129">
        <f>ROUND(COUNTIF(FA2:FA31,"C")*100/FA32,0)</f>
        <v>13</v>
      </c>
      <c r="FB35" s="129">
        <f>ROUND(COUNTIF(FB2:FB31,"C")*100/FB32,0)</f>
        <v>10</v>
      </c>
      <c r="FC35" s="129">
        <f>ROUND(COUNTIF(FC2:FC31,"C")*100/FC32,0)</f>
        <v>13</v>
      </c>
      <c r="FD35" s="129">
        <f>ROUND(COUNTIF(FD2:FD31,"C")*100/FD32,0)</f>
        <v>13</v>
      </c>
      <c r="FE35" s="142">
        <f>ROUND(COUNTIF(FE2:FE31,"C")*100/FE32,0)</f>
        <v>43</v>
      </c>
      <c r="FF35" s="129">
        <f>ROUND(COUNTIF(FF2:FF31,"C")*100/FF32,0)</f>
        <v>20</v>
      </c>
      <c r="FG35" s="142">
        <f>ROUND(COUNTIF(FG2:FG31,"C")*100/FG32,0)</f>
        <v>23</v>
      </c>
      <c r="FH35" s="129">
        <f>ROUND(COUNTIF(FH2:FH31,"C")*100/FH32,0)</f>
        <v>10</v>
      </c>
      <c r="FI35" s="129">
        <f>ROUND(COUNTIF(FI2:FI31,"C")*100/FI32,0)</f>
        <v>10</v>
      </c>
      <c r="FJ35" s="129">
        <f>ROUND(COUNTIF(FJ2:FJ31,"C")*100/FJ32,0)</f>
        <v>13</v>
      </c>
      <c r="FK35" s="142">
        <f>ROUND(COUNTIF(FK2:FK31,"C")*100/FK32,0)</f>
        <v>73</v>
      </c>
      <c r="FL35" s="129">
        <f>ROUND(COUNTIF(FL2:FL31,"C")*100/FL32,0)</f>
        <v>30</v>
      </c>
      <c r="FM35" s="129">
        <f>ROUND(COUNTIF(FM2:FM31,"C")*100/FM32,0)</f>
        <v>23</v>
      </c>
      <c r="FN35" s="129">
        <f>ROUND(COUNTIF(FN2:FN31,"C")*100/FN32,0)</f>
        <v>37</v>
      </c>
      <c r="FO35" s="142">
        <f>ROUND(COUNTIF(FO2:FO31,"C")*100/FO32,0)</f>
        <v>37</v>
      </c>
      <c r="FP35" s="129">
        <f>ROUND(COUNTIF(FP2:FP31,"C")*100/FP32,0)</f>
        <v>27</v>
      </c>
      <c r="FQ35" s="129">
        <f>ROUND(COUNTIF(FQ2:FQ31,"C")*100/FQ32,0)</f>
        <v>20</v>
      </c>
      <c r="FR35" s="129">
        <f>ROUND(COUNTIF(FR2:FR31,"C")*100/FR32,0)</f>
        <v>30</v>
      </c>
      <c r="FS35" s="142">
        <f>ROUND(COUNTIF(FS2:FS31,"C")*100/FS32,0)</f>
        <v>73</v>
      </c>
      <c r="FT35" s="129">
        <f>ROUND(COUNTIF(FT2:FT31,"C")*100/FT32,0)</f>
        <v>7</v>
      </c>
      <c r="FU35" s="129">
        <f>ROUND(COUNTIF(FU2:FU31,"C")*100/FU32,0)</f>
        <v>33</v>
      </c>
      <c r="FV35" s="142">
        <f>ROUND(COUNTIF(FV2:FV31,"C")*100/FV32,0)</f>
        <v>50</v>
      </c>
      <c r="FW35" s="142">
        <f>ROUND(COUNTIF(FW2:FW31,"C")*100/FW32,0)</f>
        <v>20</v>
      </c>
      <c r="FX35" s="142">
        <f>ROUND(COUNTIF(FX2:FX31,"C")*100/FX32,0)</f>
        <v>23</v>
      </c>
      <c r="FY35" s="142">
        <f>ROUND(COUNTIF(FY2:FY31,"C")*100/FY32,0)</f>
        <v>7</v>
      </c>
      <c r="FZ35" s="142">
        <f>ROUND(COUNTIF(FZ2:FZ31,"C")*100/FZ32,0)</f>
        <v>43</v>
      </c>
      <c r="GA35" s="129">
        <f>ROUND(COUNTIF(GA2:GA31,"C")*100/GA32,0)</f>
        <v>27</v>
      </c>
      <c r="GB35" s="142">
        <f>ROUND(COUNTIF(GB2:GB31,"C")*100/GB32,0)</f>
        <v>60</v>
      </c>
      <c r="GC35" s="142">
        <f>ROUND(COUNTIF(GC2:GC31,"C")*100/GC32,0)</f>
        <v>47</v>
      </c>
      <c r="GD35" s="129">
        <f>ROUND(COUNTIF(GD2:GD31,"C")*100/GD32,0)</f>
        <v>20</v>
      </c>
      <c r="GE35" s="129">
        <f>ROUND(COUNTIF(GE2:GE31,"C")*100/GE32,0)</f>
        <v>23</v>
      </c>
      <c r="GF35" s="142">
        <f>ROUND(COUNTIF(GF2:GF31,"C")*100/GF32,0)</f>
        <v>20</v>
      </c>
      <c r="GG35" s="129">
        <f>ROUND(COUNTIF(GG2:GG31,"C")*100/GG32,0)</f>
        <v>27</v>
      </c>
      <c r="GH35" s="129">
        <f>ROUND(COUNTIF(GH2:GH31,"C")*100/GH32,0)</f>
        <v>13</v>
      </c>
      <c r="GI35" s="142">
        <f>ROUND(COUNTIF(GI2:GI31,"C")*100/GI32,0)</f>
        <v>20</v>
      </c>
      <c r="GJ35" s="129">
        <f>ROUND(COUNTIF(GJ2:GJ31,"C")*100/GJ32,0)</f>
        <v>17</v>
      </c>
      <c r="GK35" s="129">
        <f>ROUND(COUNTIF(GK2:GK31,"C")*100/GK32,0)</f>
        <v>37</v>
      </c>
      <c r="GL35" s="142">
        <f>ROUND(COUNTIF(GL2:GL31,"C")*100/GL32,0)</f>
        <v>23</v>
      </c>
      <c r="GM35" s="142">
        <f>ROUND(COUNTIF(GM2:GM31,"C")*100/GM32,0)</f>
        <v>27</v>
      </c>
      <c r="GN35" s="129">
        <f>ROUND(COUNTIF(GN2:GN31,"C")*100/GN32,0)</f>
        <v>7</v>
      </c>
      <c r="GO35" s="129">
        <f>ROUND(COUNTIF(GO2:GO31,"C")*100/GO32,0)</f>
        <v>30</v>
      </c>
      <c r="GP35" s="129">
        <f>ROUND(COUNTIF(GP2:GP31,"C")*100/GP32,0)</f>
        <v>27</v>
      </c>
      <c r="GQ35" s="142">
        <f>ROUND(COUNTIF(GQ2:GQ31,"C")*100/GQ32,0)</f>
        <v>23</v>
      </c>
      <c r="GR35" s="129">
        <f>ROUND(COUNTIF(GR2:GR31,"C")*100/GR32,0)</f>
        <v>30</v>
      </c>
      <c r="GS35" s="129">
        <f>ROUND(COUNTIF(GS2:GS31,"C")*100/GS32,0)</f>
        <v>23</v>
      </c>
      <c r="GT35" s="142">
        <f>ROUND(COUNTIF(GT2:GT31,"C")*100/GT32,0)</f>
        <v>27</v>
      </c>
      <c r="GU35" s="129">
        <f>ROUND(COUNTIF(GU2:GU31,"C")*100/GU32,0)</f>
        <v>17</v>
      </c>
      <c r="GV35" s="129">
        <f>ROUND(COUNTIF(GV2:GV31,"C")*100/GV32,0)</f>
        <v>27</v>
      </c>
      <c r="GW35" s="142">
        <f>ROUND(COUNTIF(GW2:GW31,"C")*100/GW32,0)</f>
        <v>30</v>
      </c>
      <c r="GX35" s="142">
        <f>ROUND(COUNTIF(GX2:GX31,"C")*100/GX32,0)</f>
        <v>47</v>
      </c>
      <c r="GY35" s="129">
        <f>ROUND(COUNTIF(GY2:GY31,"C")*100/GY32,0)</f>
        <v>13</v>
      </c>
      <c r="GZ35" s="142">
        <f>ROUND(COUNTIF(GZ2:GZ31,"C")*100/GZ32,0)</f>
        <v>40</v>
      </c>
      <c r="HA35" s="129">
        <f>ROUND(COUNTIF(HA2:HA31,"C")*100/HA32,0)</f>
        <v>23</v>
      </c>
      <c r="HB35" s="142">
        <f>ROUND(COUNTIF(HB2:HB31,"C")*100/HB32,0)</f>
        <v>20</v>
      </c>
      <c r="HC35" s="129">
        <f>ROUND(COUNTIF(HC2:HC31,"C")*100/HC32,0)</f>
        <v>20</v>
      </c>
      <c r="HD35" s="129">
        <f>ROUND(COUNTIF(HD2:HD31,"C")*100/HD32,0)</f>
        <v>0</v>
      </c>
      <c r="HE35" s="129">
        <f>ROUND(COUNTIF(HE2:HE31,"C")*100/HE32,0)</f>
        <v>43</v>
      </c>
      <c r="HF35" s="142">
        <f>ROUND(COUNTIF(HF2:HF31,"C")*100/HF32,0)</f>
        <v>30</v>
      </c>
      <c r="HG35" s="129">
        <f>ROUND(COUNTIF(HG2:HG31,"C")*100/HG32,0)</f>
        <v>20</v>
      </c>
      <c r="HH35" s="129">
        <f>ROUND(COUNTIF(HH2:HH31,"C")*100/HH32,0)</f>
        <v>7</v>
      </c>
      <c r="HI35" s="129">
        <f>ROUND(COUNTIF(HI2:HI31,"C")*100/HI32,0)</f>
        <v>20</v>
      </c>
      <c r="HJ35" s="129">
        <f>ROUND(COUNTIF(HJ2:HJ31,"C")*100/HJ32,0)</f>
        <v>17</v>
      </c>
      <c r="HK35" s="129">
        <f>ROUND(COUNTIF(HK2:HK31,"C")*100/HK32,0)</f>
        <v>33</v>
      </c>
      <c r="HL35" s="129">
        <f>ROUND(COUNTIF(HL2:HL31,"C")*100/HL32,0)</f>
        <v>3</v>
      </c>
      <c r="HM35" s="129">
        <f>ROUND(COUNTIF(HM2:HM31,"C")*100/HM32,0)</f>
        <v>13</v>
      </c>
      <c r="HN35" s="129">
        <f>ROUND(COUNTIF(HN2:HN31,"C")*100/HN32,0)</f>
        <v>30</v>
      </c>
      <c r="HO35" s="142">
        <f>ROUND(COUNTIF(HO2:HO31,"C")*100/HO32,0)</f>
        <v>33</v>
      </c>
      <c r="HP35" s="142">
        <f>ROUND(COUNTIF(HP2:HP31,"C")*100/HP32,0)</f>
        <v>33</v>
      </c>
      <c r="HQ35" s="129">
        <f>ROUND(COUNTIF(HQ2:HQ31,"C")*100/HQ32,0)</f>
        <v>33</v>
      </c>
      <c r="HR35" s="129">
        <f>ROUND(COUNTIF(HR2:HR31,"C")*100/HR32,0)</f>
        <v>17</v>
      </c>
      <c r="HS35" s="129">
        <f>ROUND(COUNTIF(HS2:HS31,"C")*100/HS32,0)</f>
        <v>3</v>
      </c>
      <c r="HT35" s="142">
        <f>ROUND(COUNTIF(HT2:HT31,"C")*100/HT32,0)</f>
        <v>50</v>
      </c>
      <c r="HU35" s="129">
        <f>ROUND(COUNTIF(HU2:HU31,"C")*100/HU32,0)</f>
        <v>13</v>
      </c>
      <c r="HV35" s="129">
        <f>ROUND(COUNTIF(HV2:HV31,"C")*100/HV32,0)</f>
        <v>3</v>
      </c>
      <c r="HW35" s="129">
        <f>ROUND(COUNTIF(HW2:HW31,"C")*100/HW32,0)</f>
        <v>10</v>
      </c>
      <c r="HX35" s="129">
        <f>ROUND(COUNTIF(HX2:HX31,"C")*100/HX32,0)</f>
        <v>30</v>
      </c>
      <c r="HY35" s="129">
        <f>ROUND(COUNTIF(HY2:HY31,"C")*100/HY32,0)</f>
        <v>60</v>
      </c>
      <c r="HZ35" s="129">
        <f>ROUND(COUNTIF(HZ2:HZ31,"C")*100/HZ32,0)</f>
        <v>7</v>
      </c>
      <c r="IA35" s="129">
        <f>ROUND(COUNTIF(IA2:IA31,"C")*100/IA32,0)</f>
        <v>7</v>
      </c>
      <c r="IB35" s="142">
        <f>ROUND(COUNTIF(IB2:IB31,"C")*100/IB32,0)</f>
        <v>30</v>
      </c>
      <c r="IC35" s="129">
        <f>ROUND(COUNTIF(IC2:IC31,"C")*100/IC32,0)</f>
        <v>37</v>
      </c>
      <c r="ID35" s="129">
        <f>ROUND(COUNTIF(ID2:ID31,"C")*100/ID32,0)</f>
        <v>50</v>
      </c>
      <c r="IE35" s="142">
        <f>ROUND(COUNTIF(IE2:IE31,"C")*100/IE32,0)</f>
        <v>3</v>
      </c>
      <c r="IF35" s="129">
        <f>ROUND(COUNTIF(IF2:IF31,"C")*100/IF32,0)</f>
        <v>27</v>
      </c>
      <c r="IG35" s="129">
        <f>ROUND(COUNTIF(IG2:IG31,"C")*100/IG32,0)</f>
        <v>30</v>
      </c>
      <c r="IH35" s="129">
        <f>ROUND(COUNTIF(IH2:IH31,"C")*100/IH32,0)</f>
        <v>13</v>
      </c>
      <c r="II35" s="129">
        <f>ROUND(COUNTIF(II2:II31,"C")*100/II32,0)</f>
        <v>27</v>
      </c>
      <c r="IJ35" s="142">
        <f>ROUND(COUNTIF(IJ2:IJ31,"C")*100/IJ32,0)</f>
        <v>33</v>
      </c>
      <c r="IK35" s="142">
        <f>ROUND(COUNTIF(IK2:IK31,"C")*100/IK32,0)</f>
        <v>20</v>
      </c>
      <c r="IL35" s="142">
        <f>ROUND(COUNTIF(IL2:IL31,"C")*100/IL32,0)</f>
        <v>43</v>
      </c>
      <c r="IM35" s="129">
        <f>ROUND(COUNTIF(IM2:IM31,"C")*100/IM32,0)</f>
        <v>33</v>
      </c>
      <c r="IN35" s="142">
        <f>ROUND(COUNTIF(IN2:IN31,"C")*100/IN32,0)</f>
        <v>20</v>
      </c>
      <c r="IO35" s="129">
        <f>ROUND(COUNTIF(IO2:IO31,"C")*100/IO32,0)</f>
        <v>13</v>
      </c>
      <c r="IP35" s="129">
        <f>ROUND(COUNTIF(IP2:IP31,"C")*100/IP32,0)</f>
        <v>17</v>
      </c>
      <c r="IQ35" s="142">
        <f>ROUND(COUNTIF(IQ2:IQ31,"C")*100/IQ32,0)</f>
        <v>50</v>
      </c>
      <c r="IR35" s="142">
        <f>ROUND(COUNTIF(IR2:IR31,"C")*100/IR32,0)</f>
        <v>23</v>
      </c>
      <c r="IS35" s="129">
        <f>ROUND(COUNTIF(IS2:IS31,"C")*100/IS32,0)</f>
        <v>40</v>
      </c>
      <c r="IT35" s="129">
        <f>ROUND(COUNTIF(IT2:IT31,"C")*100/IT32,0)</f>
        <v>3</v>
      </c>
      <c r="IU35" s="129">
        <f>ROUND(COUNTIF(IU2:IU31,"C")*100/IU32,0)</f>
        <v>30</v>
      </c>
      <c r="IV35" s="142">
        <f>ROUND(COUNTIF(IV2:IV31,"C")*100/IV32,0)</f>
        <v>43</v>
      </c>
      <c r="IW35" s="129">
        <f>ROUND(COUNTIF(IW2:IW31,"C")*100/IW32,0)</f>
        <v>50</v>
      </c>
      <c r="IX35" s="142">
        <f>ROUND(COUNTIF(IX2:IX31,"C")*100/IX32,0)</f>
        <v>23</v>
      </c>
      <c r="IY35" s="142">
        <f>ROUND(COUNTIF(IY2:IY31,"C")*100/IY32,0)</f>
        <v>67</v>
      </c>
      <c r="IZ35" s="129">
        <f>ROUND(COUNTIF(IZ2:IZ31,"C")*100/IZ32,0)</f>
        <v>20</v>
      </c>
      <c r="JA35" s="142">
        <f>ROUND(COUNTIF(JA2:JA31,"C")*100/JA32,0)</f>
        <v>13</v>
      </c>
      <c r="JB35" s="129">
        <f>ROUND(COUNTIF(JB2:JB31,"C")*100/JB32,0)</f>
        <v>17</v>
      </c>
      <c r="JC35" s="129">
        <f>ROUND(COUNTIF(JC2:JC31,"C")*100/JC32,0)</f>
        <v>17</v>
      </c>
      <c r="JD35" s="129">
        <f>ROUND(COUNTIF(JD2:JD31,"C")*100/JD32,0)</f>
        <v>7</v>
      </c>
      <c r="JE35" s="129">
        <f>ROUND(COUNTIF(JE2:JE31,"C")*100/JE32,0)</f>
        <v>67</v>
      </c>
      <c r="JF35" s="129">
        <f>ROUND(COUNTIF(JF2:JF31,"C")*100/JF32,0)</f>
        <v>20</v>
      </c>
      <c r="JG35" s="129">
        <f>ROUND(COUNTIF(JG2:JG31,"C")*100/JG32,0)</f>
        <v>27</v>
      </c>
      <c r="JH35" s="142">
        <f>ROUND(COUNTIF(JH2:JH31,"C")*100/JH32,0)</f>
        <v>33</v>
      </c>
      <c r="JI35" s="142">
        <f>ROUND(COUNTIF(JI2:JI31,"C")*100/JI32,0)</f>
        <v>30</v>
      </c>
      <c r="JJ35" s="129">
        <f>ROUND(COUNTIF(JJ2:JJ31,"C")*100/JJ32,0)</f>
        <v>20</v>
      </c>
      <c r="JK35" s="129">
        <f>ROUND(COUNTIF(JK2:JK31,"C")*100/JK32,0)</f>
        <v>27</v>
      </c>
      <c r="JL35" s="129">
        <f>ROUND(COUNTIF(JL2:JL31,"C")*100/JL32,0)</f>
        <v>27</v>
      </c>
      <c r="JM35" s="129">
        <f>ROUND(COUNTIF(JM2:JM31,"C")*100/JM32,0)</f>
        <v>23</v>
      </c>
      <c r="JN35" s="129">
        <f>ROUND(COUNTIF(JN2:JN31,"C")*100/JN32,0)</f>
        <v>33</v>
      </c>
      <c r="JO35" s="129">
        <f>ROUND(COUNTIF(JO2:JO31,"C")*100/JO32,0)</f>
        <v>20</v>
      </c>
      <c r="JP35" s="142">
        <f>ROUND(COUNTIF(JP2:JP31,"C")*100/JP32,0)</f>
        <v>30</v>
      </c>
      <c r="JQ35" s="129">
        <f>ROUND(COUNTIF(JQ2:JQ31,"C")*100/JQ32,0)</f>
        <v>30</v>
      </c>
      <c r="JR35" s="129">
        <f>ROUND(COUNTIF(JR2:JR31,"C")*100/JR32,0)</f>
        <v>37</v>
      </c>
      <c r="JS35" s="129">
        <f>ROUND(COUNTIF(JS2:JS31,"C")*100/JS32,0)</f>
        <v>17</v>
      </c>
      <c r="JT35" s="129">
        <f>ROUND(COUNTIF(JT2:JT31,"C")*100/JT32,0)</f>
        <v>33</v>
      </c>
    </row>
    <row r="36" spans="4:280" s="65" customFormat="1" x14ac:dyDescent="0.35">
      <c r="D36" s="139" t="s">
        <v>341</v>
      </c>
      <c r="L36" s="138"/>
      <c r="EQ36" s="129">
        <f>ROUND(COUNTIF(EQ2:EQ31,"D")*100/EQ32,0)</f>
        <v>20</v>
      </c>
      <c r="ER36" s="129">
        <f>ROUND(COUNTIF(ER2:ER31,"D")*100/ER32,0)</f>
        <v>23</v>
      </c>
      <c r="ES36" s="129">
        <f>ROUND(COUNTIF(ES2:ES31,"D")*100/ES32,0)</f>
        <v>23</v>
      </c>
      <c r="ET36" s="129">
        <f>ROUND(COUNTIF(ET2:ET31,"D")*100/ET32,0)</f>
        <v>23</v>
      </c>
      <c r="EU36" s="142">
        <f>ROUND(COUNTIF(EU2:EU31,"D")*100/EU32,0)</f>
        <v>17</v>
      </c>
      <c r="EV36" s="129">
        <f>ROUND(COUNTIF(EV2:EV31,"D")*100/EV32,0)</f>
        <v>23</v>
      </c>
      <c r="EW36" s="142">
        <f>ROUND(COUNTIF(EW2:EW31,"D")*100/EW32,0)</f>
        <v>23</v>
      </c>
      <c r="EX36" s="129">
        <f>ROUND(COUNTIF(EX2:EX31,"D")*100/EX32,0)</f>
        <v>3</v>
      </c>
      <c r="EY36" s="129">
        <f>ROUND(COUNTIF(EY2:EY31,"D")*100/EY32,0)</f>
        <v>13</v>
      </c>
      <c r="EZ36" s="129">
        <f>ROUND(COUNTIF(EZ2:EZ31,"D")*100/EZ32,0)</f>
        <v>13</v>
      </c>
      <c r="FA36" s="142">
        <f>ROUND(COUNTIF(FA2:FA31,"D")*100/FA32,0)</f>
        <v>50</v>
      </c>
      <c r="FB36" s="129">
        <f>ROUND(COUNTIF(FB2:FB31,"D")*100/FB32,0)</f>
        <v>50</v>
      </c>
      <c r="FC36" s="142">
        <f>ROUND(COUNTIF(FC2:FC31,"D")*100/FC32,0)</f>
        <v>33</v>
      </c>
      <c r="FD36" s="142">
        <f>ROUND(COUNTIF(FD2:FD31,"D")*100/FD32,0)</f>
        <v>10</v>
      </c>
      <c r="FE36" s="129">
        <f>ROUND(COUNTIF(FE2:FE31,"D")*100/FE32,0)</f>
        <v>17</v>
      </c>
      <c r="FF36" s="129">
        <f>ROUND(COUNTIF(FF2:FF31,"D")*100/FF32,0)</f>
        <v>3</v>
      </c>
      <c r="FG36" s="129">
        <f>ROUND(COUNTIF(FG2:FG31,"D")*100/FG32,0)</f>
        <v>40</v>
      </c>
      <c r="FH36" s="129">
        <f>ROUND(COUNTIF(FH2:FH31,"D")*100/FH32,0)</f>
        <v>13</v>
      </c>
      <c r="FI36" s="129">
        <f>ROUND(COUNTIF(FI2:FI31,"D")*100/FI32,0)</f>
        <v>0</v>
      </c>
      <c r="FJ36" s="129">
        <f>ROUND(COUNTIF(FJ2:FJ31,"D")*100/FJ32,0)</f>
        <v>7</v>
      </c>
      <c r="FK36" s="129">
        <f>ROUND(COUNTIF(FK2:FK31,"D")*100/FK32,0)</f>
        <v>10</v>
      </c>
      <c r="FL36" s="129">
        <f>ROUND(COUNTIF(FL2:FL31,"D")*100/FL32,0)</f>
        <v>40</v>
      </c>
      <c r="FM36" s="129">
        <f>ROUND(COUNTIF(FM2:FM31,"D")*100/FM32,0)</f>
        <v>10</v>
      </c>
      <c r="FN36" s="142">
        <f>ROUND(COUNTIF(FN2:FN31,"D")*100/FN32,0)</f>
        <v>10</v>
      </c>
      <c r="FO36" s="129">
        <f>ROUND(COUNTIF(FO2:FO31,"D")*100/FO32,0)</f>
        <v>13</v>
      </c>
      <c r="FP36" s="129">
        <f>ROUND(COUNTIF(FP2:FP31,"D")*100/FP32,0)</f>
        <v>3</v>
      </c>
      <c r="FQ36" s="129">
        <f>ROUND(COUNTIF(FQ2:FQ31,"D")*100/FQ32,0)</f>
        <v>3</v>
      </c>
      <c r="FR36" s="129">
        <f>ROUND(COUNTIF(FR2:FR31,"D")*100/FR32,0)</f>
        <v>17</v>
      </c>
      <c r="FS36" s="129">
        <f>ROUND(COUNTIF(FS2:FS31,"D")*100/FS32,0)</f>
        <v>10</v>
      </c>
      <c r="FT36" s="129">
        <f>ROUND(COUNTIF(FT2:FT31,"D")*100/FT32,0)</f>
        <v>33</v>
      </c>
      <c r="FU36" s="129">
        <f>ROUND(COUNTIF(FU2:FU31,"D")*100/FU32,0)</f>
        <v>37</v>
      </c>
      <c r="FV36" s="129">
        <f>ROUND(COUNTIF(FV2:FV31,"D")*100/FV32,0)</f>
        <v>20</v>
      </c>
      <c r="FW36" s="129">
        <f>ROUND(COUNTIF(FW2:FW31,"D")*100/FW32,0)</f>
        <v>13</v>
      </c>
      <c r="FX36" s="129">
        <f>ROUND(COUNTIF(FX2:FX31,"D")*100/FX32,0)</f>
        <v>37</v>
      </c>
      <c r="FY36" s="129">
        <f>ROUND(COUNTIF(FY2:FY31,"D")*100/FY32,0)</f>
        <v>20</v>
      </c>
      <c r="FZ36" s="129">
        <f>ROUND(COUNTIF(FZ2:FZ31,"D")*100/FZ32,0)</f>
        <v>20</v>
      </c>
      <c r="GA36" s="129">
        <f>ROUND(COUNTIF(GA2:GA31,"D")*100/GA32,0)</f>
        <v>33</v>
      </c>
      <c r="GB36" s="129">
        <f>ROUND(COUNTIF(GB2:GB31,"D")*100/GB32,0)</f>
        <v>30</v>
      </c>
      <c r="GC36" s="129">
        <f>ROUND(COUNTIF(GC2:GC31,"D")*100/GC32,0)</f>
        <v>0</v>
      </c>
      <c r="GD36" s="142">
        <f>ROUND(COUNTIF(GD2:GD31,"D")*100/GD32,0)</f>
        <v>13</v>
      </c>
      <c r="GE36" s="129">
        <f>ROUND(COUNTIF(GE2:GE31,"D")*100/GE32,0)</f>
        <v>13</v>
      </c>
      <c r="GF36" s="129">
        <f>ROUND(COUNTIF(GF2:GF31,"D")*100/GF32,0)</f>
        <v>30</v>
      </c>
      <c r="GG36" s="129">
        <f>ROUND(COUNTIF(GG2:GG31,"D")*100/GG32,0)</f>
        <v>23</v>
      </c>
      <c r="GH36" s="129">
        <f>ROUND(COUNTIF(GH2:GH31,"D")*100/GH32,0)</f>
        <v>10</v>
      </c>
      <c r="GI36" s="129">
        <f>ROUND(COUNTIF(GI2:GI31,"D")*100/GI32,0)</f>
        <v>23</v>
      </c>
      <c r="GJ36" s="129">
        <f>ROUND(COUNTIF(GJ2:GJ31,"D")*100/GJ32,0)</f>
        <v>13</v>
      </c>
      <c r="GK36" s="142">
        <f>ROUND(COUNTIF(GK2:GK31,"D")*100/GK32,0)</f>
        <v>3</v>
      </c>
      <c r="GL36" s="129">
        <f>ROUND(COUNTIF(GL2:GL31,"D")*100/GL32,0)</f>
        <v>20</v>
      </c>
      <c r="GM36" s="129">
        <f>ROUND(COUNTIF(GM2:GM31,"D")*100/GM32,0)</f>
        <v>23</v>
      </c>
      <c r="GN36" s="129">
        <f>ROUND(COUNTIF(GN2:GN31,"D")*100/GN32,0)</f>
        <v>13</v>
      </c>
      <c r="GO36" s="129">
        <f>ROUND(COUNTIF(GO2:GO31,"D")*100/GO32,0)</f>
        <v>20</v>
      </c>
      <c r="GP36" s="142">
        <f>ROUND(COUNTIF(GP2:GP31,"D")*100/GP32,0)</f>
        <v>27</v>
      </c>
      <c r="GQ36" s="129">
        <f>ROUND(COUNTIF(GQ2:GQ31,"D")*100/GQ32,0)</f>
        <v>7</v>
      </c>
      <c r="GR36" s="129">
        <f>ROUND(COUNTIF(GR2:GR31,"D")*100/GR32,0)</f>
        <v>7</v>
      </c>
      <c r="GS36" s="129">
        <f>ROUND(COUNTIF(GS2:GS31,"D")*100/GS32,0)</f>
        <v>13</v>
      </c>
      <c r="GT36" s="129">
        <f>ROUND(COUNTIF(GT2:GT31,"D")*100/GT32,0)</f>
        <v>13</v>
      </c>
      <c r="GU36" s="129">
        <f>ROUND(COUNTIF(GU2:GU31,"D")*100/GU32,0)</f>
        <v>3</v>
      </c>
      <c r="GV36" s="129">
        <f>ROUND(COUNTIF(GV2:GV31,"D")*100/GV32,0)</f>
        <v>13</v>
      </c>
      <c r="GW36" s="129">
        <f>ROUND(COUNTIF(GW2:GW31,"D")*100/GW32,0)</f>
        <v>13</v>
      </c>
      <c r="GX36" s="129">
        <f>ROUND(COUNTIF(GX2:GX31,"D")*100/GX32,0)</f>
        <v>10</v>
      </c>
      <c r="GY36" s="129">
        <f>ROUND(COUNTIF(GY2:GY31,"D")*100/GY32,0)</f>
        <v>10</v>
      </c>
      <c r="GZ36" s="129">
        <f>ROUND(COUNTIF(GZ2:GZ31,"D")*100/GZ32,0)</f>
        <v>17</v>
      </c>
      <c r="HA36" s="129">
        <f>ROUND(COUNTIF(HA2:HA31,"D")*100/HA32,0)</f>
        <v>10</v>
      </c>
      <c r="HB36" s="129">
        <f>ROUND(COUNTIF(HB2:HB31,"D")*100/HB32,0)</f>
        <v>17</v>
      </c>
      <c r="HC36" s="129">
        <f>ROUND(COUNTIF(HC2:HC31,"D")*100/HC32,0)</f>
        <v>0</v>
      </c>
      <c r="HD36" s="142">
        <f>ROUND(COUNTIF(HD2:HD31,"D")*100/HD32,0)</f>
        <v>33</v>
      </c>
      <c r="HE36" s="142">
        <f>ROUND(COUNTIF(HE2:HE31,"D")*100/HE32,0)</f>
        <v>13</v>
      </c>
      <c r="HF36" s="129">
        <f>ROUND(COUNTIF(HF2:HF31,"D")*100/HF32,0)</f>
        <v>7</v>
      </c>
      <c r="HG36" s="129">
        <f>ROUND(COUNTIF(HG2:HG31,"D")*100/HG32,0)</f>
        <v>10</v>
      </c>
      <c r="HH36" s="129">
        <f>ROUND(COUNTIF(HH2:HH31,"D")*100/HH32,0)</f>
        <v>0</v>
      </c>
      <c r="HI36" s="129">
        <f>ROUND(COUNTIF(HI2:HI31,"D")*100/HI32,0)</f>
        <v>37</v>
      </c>
      <c r="HJ36" s="129">
        <f>ROUND(COUNTIF(HJ2:HJ31,"D")*100/HJ32,0)</f>
        <v>20</v>
      </c>
      <c r="HK36" s="129">
        <f>ROUND(COUNTIF(HK2:HK31,"D")*100/HK32,0)</f>
        <v>0</v>
      </c>
      <c r="HL36" s="129">
        <f>ROUND(COUNTIF(HL2:HL31,"D")*100/HL32,0)</f>
        <v>37</v>
      </c>
      <c r="HM36" s="129">
        <f>ROUND(COUNTIF(HM2:HM31,"D")*100/HM32,0)</f>
        <v>20</v>
      </c>
      <c r="HN36" s="129">
        <f>ROUND(COUNTIF(HN2:HN31,"D")*100/HN32,0)</f>
        <v>7</v>
      </c>
      <c r="HO36" s="129">
        <f>ROUND(COUNTIF(HO2:HO31,"D")*100/HO32,0)</f>
        <v>17</v>
      </c>
      <c r="HP36" s="129">
        <f>ROUND(COUNTIF(HP2:HP31,"D")*100/HP32,0)</f>
        <v>27</v>
      </c>
      <c r="HQ36" s="129">
        <f>ROUND(COUNTIF(HQ2:HQ31,"D")*100/HQ32,0)</f>
        <v>7</v>
      </c>
      <c r="HR36" s="129">
        <f>ROUND(COUNTIF(HR2:HR31,"D")*100/HR32,0)</f>
        <v>3</v>
      </c>
      <c r="HS36" s="129">
        <f>ROUND(COUNTIF(HS2:HS31,"D")*100/HS32,0)</f>
        <v>0</v>
      </c>
      <c r="HT36" s="129">
        <f>ROUND(COUNTIF(HT2:HT31,"D")*100/HT32,0)</f>
        <v>23</v>
      </c>
      <c r="HU36" s="129">
        <f>ROUND(COUNTIF(HU2:HU31,"D")*100/HU32,0)</f>
        <v>47</v>
      </c>
      <c r="HV36" s="129">
        <f>ROUND(COUNTIF(HV2:HV31,"D")*100/HV32,0)</f>
        <v>7</v>
      </c>
      <c r="HW36" s="129">
        <f>ROUND(COUNTIF(HW2:HW31,"D")*100/HW32,0)</f>
        <v>0</v>
      </c>
      <c r="HX36" s="129">
        <f>ROUND(COUNTIF(HX2:HX31,"D")*100/HX32,0)</f>
        <v>0</v>
      </c>
      <c r="HY36" s="129">
        <f>ROUND(COUNTIF(HY2:HY31,"D")*100/HY32,0)</f>
        <v>0</v>
      </c>
      <c r="HZ36" s="129">
        <f>ROUND(COUNTIF(HZ2:HZ31,"D")*100/HZ32,0)</f>
        <v>0</v>
      </c>
      <c r="IA36" s="129">
        <f>ROUND(COUNTIF(IA2:IA31,"D")*100/IA32,0)</f>
        <v>0</v>
      </c>
      <c r="IB36" s="129">
        <f>ROUND(COUNTIF(IB2:IB31,"D")*100/IB32,0)</f>
        <v>0</v>
      </c>
      <c r="IC36" s="129">
        <f>ROUND(COUNTIF(IC2:IC31,"D")*100/IC32,0)</f>
        <v>0</v>
      </c>
      <c r="ID36" s="129">
        <f>ROUND(COUNTIF(ID2:ID31,"D")*100/ID32,0)</f>
        <v>0</v>
      </c>
      <c r="IE36" s="129">
        <f>ROUND(COUNTIF(IE2:IE31,"D")*100/IE32,0)</f>
        <v>0</v>
      </c>
      <c r="IF36" s="129">
        <f>ROUND(COUNTIF(IF2:IF31,"D")*100/IF32,0)</f>
        <v>0</v>
      </c>
      <c r="IG36" s="129">
        <f>ROUND(COUNTIF(IG2:IG31,"D")*100/IG32,0)</f>
        <v>0</v>
      </c>
      <c r="IH36" s="129">
        <f>ROUND(COUNTIF(IH2:IH31,"D")*100/IH32,0)</f>
        <v>0</v>
      </c>
      <c r="II36" s="129">
        <f>ROUND(COUNTIF(II2:II31,"D")*100/II32,0)</f>
        <v>0</v>
      </c>
      <c r="IJ36" s="129">
        <f>ROUND(COUNTIF(IJ2:IJ31,"D")*100/IJ32,0)</f>
        <v>0</v>
      </c>
      <c r="IK36" s="129">
        <f>ROUND(COUNTIF(IK2:IK31,"D")*100/IK32,0)</f>
        <v>0</v>
      </c>
      <c r="IL36" s="129">
        <f>ROUND(COUNTIF(IL2:IL31,"D")*100/IL32,0)</f>
        <v>0</v>
      </c>
      <c r="IM36" s="129">
        <f>ROUND(COUNTIF(IM2:IM31,"D")*100/IM32,0)</f>
        <v>0</v>
      </c>
      <c r="IN36" s="129">
        <f>ROUND(COUNTIF(IN2:IN31,"D")*100/IN32,0)</f>
        <v>0</v>
      </c>
      <c r="IO36" s="129">
        <f>ROUND(COUNTIF(IO2:IO31,"D")*100/IO32,0)</f>
        <v>0</v>
      </c>
      <c r="IP36" s="129">
        <f>ROUND(COUNTIF(IP2:IP31,"D")*100/IP32,0)</f>
        <v>0</v>
      </c>
      <c r="IQ36" s="129">
        <f>ROUND(COUNTIF(IQ2:IQ31,"D")*100/IQ32,0)</f>
        <v>0</v>
      </c>
      <c r="IR36" s="129">
        <f>ROUND(COUNTIF(IR2:IR31,"D")*100/IR32,0)</f>
        <v>0</v>
      </c>
      <c r="IS36" s="129">
        <f>ROUND(COUNTIF(IS2:IS31,"D")*100/IS32,0)</f>
        <v>0</v>
      </c>
      <c r="IT36" s="129">
        <f>ROUND(COUNTIF(IT2:IT31,"D")*100/IT32,0)</f>
        <v>0</v>
      </c>
      <c r="IU36" s="129">
        <f>ROUND(COUNTIF(IU2:IU31,"D")*100/IU32,0)</f>
        <v>0</v>
      </c>
      <c r="IV36" s="129">
        <f>ROUND(COUNTIF(IV2:IV31,"D")*100/IV32,0)</f>
        <v>0</v>
      </c>
      <c r="IW36" s="129">
        <f>ROUND(COUNTIF(IW2:IW31,"D")*100/IW32,0)</f>
        <v>0</v>
      </c>
      <c r="IX36" s="129">
        <f>ROUND(COUNTIF(IX2:IX31,"D")*100/IX32,0)</f>
        <v>0</v>
      </c>
      <c r="IY36" s="129">
        <f>ROUND(COUNTIF(IY2:IY31,"D")*100/IY32,0)</f>
        <v>0</v>
      </c>
      <c r="IZ36" s="129">
        <f>ROUND(COUNTIF(IZ2:IZ31,"D")*100/IZ32,0)</f>
        <v>0</v>
      </c>
      <c r="JA36" s="129">
        <f>ROUND(COUNTIF(JA2:JA31,"D")*100/JA32,0)</f>
        <v>0</v>
      </c>
      <c r="JB36" s="129">
        <f>ROUND(COUNTIF(JB2:JB31,"D")*100/JB32,0)</f>
        <v>0</v>
      </c>
      <c r="JC36" s="129">
        <f>ROUND(COUNTIF(JC2:JC31,"D")*100/JC32,0)</f>
        <v>0</v>
      </c>
      <c r="JD36" s="129">
        <f>ROUND(COUNTIF(JD2:JD31,"D")*100/JD32,0)</f>
        <v>0</v>
      </c>
      <c r="JE36" s="129">
        <f>ROUND(COUNTIF(JE2:JE31,"D")*100/JE32,0)</f>
        <v>0</v>
      </c>
      <c r="JF36" s="129">
        <f>ROUND(COUNTIF(JF2:JF31,"D")*100/JF32,0)</f>
        <v>23</v>
      </c>
      <c r="JG36" s="142">
        <f>ROUND(COUNTIF(JG2:JG31,"D")*100/JG32,0)</f>
        <v>10</v>
      </c>
      <c r="JH36" s="129">
        <f>ROUND(COUNTIF(JH2:JH31,"D")*100/JH32,0)</f>
        <v>27</v>
      </c>
      <c r="JI36" s="129">
        <f>ROUND(COUNTIF(JI2:JI31,"D")*100/JI32,0)</f>
        <v>7</v>
      </c>
      <c r="JJ36" s="129">
        <f>ROUND(COUNTIF(JJ2:JJ31,"D")*100/JJ32,0)</f>
        <v>37</v>
      </c>
      <c r="JK36" s="129">
        <f>ROUND(COUNTIF(JK2:JK31,"D")*100/JK32,0)</f>
        <v>20</v>
      </c>
      <c r="JL36" s="129">
        <f>ROUND(COUNTIF(JL2:JL31,"D")*100/JL32,0)</f>
        <v>20</v>
      </c>
      <c r="JM36" s="129">
        <f>ROUND(COUNTIF(JM2:JM31,"D")*100/JM32,0)</f>
        <v>30</v>
      </c>
      <c r="JN36" s="142">
        <f>ROUND(COUNTIF(JN2:JN31,"D")*100/JN32,0)</f>
        <v>10</v>
      </c>
      <c r="JO36" s="129">
        <f>ROUND(COUNTIF(JO2:JO31,"D")*100/JO32,0)</f>
        <v>17</v>
      </c>
      <c r="JP36" s="129">
        <f>ROUND(COUNTIF(JP2:JP31,"D")*100/JP32,0)</f>
        <v>7</v>
      </c>
      <c r="JQ36" s="142">
        <f>ROUND(COUNTIF(JQ2:JQ31,"D")*100/JQ32,0)</f>
        <v>3</v>
      </c>
      <c r="JR36" s="129">
        <f>ROUND(COUNTIF(JR2:JR31,"D")*100/JR32,0)</f>
        <v>10</v>
      </c>
      <c r="JS36" s="129">
        <f>ROUND(COUNTIF(JS2:JS31,"D")*100/JS32,0)</f>
        <v>20</v>
      </c>
      <c r="JT36" s="142">
        <f>ROUND(COUNTIF(JT2:JT31,"D")*100/JT32,0)</f>
        <v>27</v>
      </c>
    </row>
    <row r="37" spans="4:280" s="65" customFormat="1" x14ac:dyDescent="0.35">
      <c r="D37" s="139" t="s">
        <v>342</v>
      </c>
      <c r="L37" s="138"/>
      <c r="EQ37" s="129">
        <f>ROUND(COUNTIF(EQ2:EQ31,"E")*100/EQ32,0)</f>
        <v>0</v>
      </c>
      <c r="ER37" s="129">
        <f>ROUND(COUNTIF(ER2:ER31,"E")*100/ER32,0)</f>
        <v>0</v>
      </c>
      <c r="ES37" s="129">
        <f>ROUND(COUNTIF(ES2:ES31,"E")*100/ES32,0)</f>
        <v>0</v>
      </c>
      <c r="ET37" s="129">
        <f>ROUND(COUNTIF(ET2:ET31,"E")*100/ET32,0)</f>
        <v>0</v>
      </c>
      <c r="EU37" s="129">
        <f>ROUND(COUNTIF(EU2:EU31,"E")*100/EU32,0)</f>
        <v>0</v>
      </c>
      <c r="EV37" s="129">
        <f>ROUND(COUNTIF(EV2:EV31,"E")*100/EV32,0)</f>
        <v>0</v>
      </c>
      <c r="EW37" s="129">
        <f>ROUND(COUNTIF(EW2:EW31,"E")*100/EW32,0)</f>
        <v>0</v>
      </c>
      <c r="EX37" s="129">
        <f>ROUND(COUNTIF(EX2:EX31,"E")*100/EX32,0)</f>
        <v>0</v>
      </c>
      <c r="EY37" s="129">
        <f>ROUND(COUNTIF(EY2:EY31,"E")*100/EY32,0)</f>
        <v>0</v>
      </c>
      <c r="EZ37" s="129">
        <f>ROUND(COUNTIF(EZ2:EZ31,"E")*100/EZ32,0)</f>
        <v>0</v>
      </c>
      <c r="FA37" s="129">
        <f>ROUND(COUNTIF(FA2:FA31,"E")*100/FA32,0)</f>
        <v>0</v>
      </c>
      <c r="FB37" s="129">
        <f>ROUND(COUNTIF(FB2:FB31,"E")*100/FB32,0)</f>
        <v>0</v>
      </c>
      <c r="FC37" s="129">
        <f>ROUND(COUNTIF(FC2:FC31,"E")*100/FC32,0)</f>
        <v>0</v>
      </c>
      <c r="FD37" s="129">
        <f>ROUND(COUNTIF(FD2:FD31,"E")*100/FD32,0)</f>
        <v>0</v>
      </c>
      <c r="FE37" s="129">
        <f>ROUND(COUNTIF(FE2:FE31,"E")*100/FE32,0)</f>
        <v>0</v>
      </c>
      <c r="FF37" s="129">
        <f>ROUND(COUNTIF(FF2:FF31,"E")*100/FF32,0)</f>
        <v>0</v>
      </c>
      <c r="FG37" s="129">
        <f>ROUND(COUNTIF(FG2:FG31,"E")*100/FG32,0)</f>
        <v>0</v>
      </c>
      <c r="FH37" s="129">
        <f>ROUND(COUNTIF(FH2:FH31,"E")*100/FH32,0)</f>
        <v>0</v>
      </c>
      <c r="FI37" s="129">
        <f>ROUND(COUNTIF(FI2:FI31,"E")*100/FI32,0)</f>
        <v>0</v>
      </c>
      <c r="FJ37" s="129">
        <f>ROUND(COUNTIF(FJ2:FJ31,"E")*100/FJ32,0)</f>
        <v>0</v>
      </c>
      <c r="FK37" s="129">
        <f>ROUND(COUNTIF(FK2:FK31,"E")*100/FK32,0)</f>
        <v>0</v>
      </c>
      <c r="FL37" s="129">
        <f>ROUND(COUNTIF(FL2:FL31,"E")*100/FL32,0)</f>
        <v>0</v>
      </c>
      <c r="FM37" s="129">
        <f>ROUND(COUNTIF(FM2:FM31,"E")*100/FM32,0)</f>
        <v>0</v>
      </c>
      <c r="FN37" s="129">
        <f>ROUND(COUNTIF(FN2:FN31,"E")*100/FN32,0)</f>
        <v>0</v>
      </c>
      <c r="FO37" s="129">
        <f>ROUND(COUNTIF(FO2:FO31,"E")*100/FO32,0)</f>
        <v>0</v>
      </c>
      <c r="FP37" s="129">
        <f>ROUND(COUNTIF(FP2:FP31,"E")*100/FP32,0)</f>
        <v>0</v>
      </c>
      <c r="FQ37" s="129">
        <f>ROUND(COUNTIF(FQ2:FQ31,"E")*100/FQ32,0)</f>
        <v>0</v>
      </c>
      <c r="FR37" s="129">
        <f>ROUND(COUNTIF(FR2:FR31,"E")*100/FR32,0)</f>
        <v>0</v>
      </c>
      <c r="FS37" s="129">
        <f>ROUND(COUNTIF(FS2:FS31,"E")*100/FS32,0)</f>
        <v>0</v>
      </c>
      <c r="FT37" s="129">
        <f>ROUND(COUNTIF(FT2:FT31,"E")*100/FT32,0)</f>
        <v>0</v>
      </c>
      <c r="FU37" s="129">
        <f>ROUND(COUNTIF(FU2:FU31,"E")*100/FU32,0)</f>
        <v>0</v>
      </c>
      <c r="FV37" s="129">
        <f>ROUND(COUNTIF(FV2:FV31,"E")*100/FV32,0)</f>
        <v>0</v>
      </c>
      <c r="FW37" s="129">
        <f>ROUND(COUNTIF(FW2:FW31,"E")*100/FW32,0)</f>
        <v>0</v>
      </c>
      <c r="FX37" s="129">
        <f>ROUND(COUNTIF(FX2:FX31,"E")*100/FX32,0)</f>
        <v>0</v>
      </c>
      <c r="FY37" s="129">
        <f>ROUND(COUNTIF(FY2:FY31,"E")*100/FY32,0)</f>
        <v>0</v>
      </c>
      <c r="FZ37" s="129">
        <f>ROUND(COUNTIF(FZ2:FZ31,"E")*100/FZ32,0)</f>
        <v>0</v>
      </c>
      <c r="GA37" s="129">
        <f>ROUND(COUNTIF(GA2:GA31,"E")*100/GA32,0)</f>
        <v>0</v>
      </c>
      <c r="GB37" s="129">
        <f>ROUND(COUNTIF(GB2:GB31,"E")*100/GB32,0)</f>
        <v>0</v>
      </c>
      <c r="GC37" s="129">
        <f>ROUND(COUNTIF(GC2:GC31,"E")*100/GC32,0)</f>
        <v>0</v>
      </c>
      <c r="GD37" s="129">
        <f>ROUND(COUNTIF(GD2:GD31,"E")*100/GD32,0)</f>
        <v>0</v>
      </c>
      <c r="GE37" s="129">
        <f>ROUND(COUNTIF(GE2:GE31,"E")*100/GE32,0)</f>
        <v>0</v>
      </c>
      <c r="GF37" s="129">
        <f>ROUND(COUNTIF(GF2:GF31,"E")*100/GF32,0)</f>
        <v>0</v>
      </c>
      <c r="GG37" s="129">
        <f>ROUND(COUNTIF(GG2:GG31,"E")*100/GG32,0)</f>
        <v>0</v>
      </c>
      <c r="GH37" s="129">
        <f>ROUND(COUNTIF(GH2:GH31,"E")*100/GH32,0)</f>
        <v>0</v>
      </c>
      <c r="GI37" s="129">
        <f>ROUND(COUNTIF(GI2:GI31,"E")*100/GI32,0)</f>
        <v>0</v>
      </c>
      <c r="GJ37" s="129">
        <f>ROUND(COUNTIF(GJ2:GJ31,"E")*100/GJ32,0)</f>
        <v>0</v>
      </c>
      <c r="GK37" s="129">
        <f>ROUND(COUNTIF(GK2:GK31,"E")*100/GK32,0)</f>
        <v>0</v>
      </c>
      <c r="GL37" s="129">
        <f>ROUND(COUNTIF(GL2:GL31,"E")*100/GL32,0)</f>
        <v>0</v>
      </c>
      <c r="GM37" s="129">
        <f>ROUND(COUNTIF(GM2:GM31,"E")*100/GM32,0)</f>
        <v>0</v>
      </c>
      <c r="GN37" s="129">
        <f>ROUND(COUNTIF(GN2:GN31,"E")*100/GN32,0)</f>
        <v>0</v>
      </c>
      <c r="GO37" s="129">
        <f>ROUND(COUNTIF(GO2:GO31,"E")*100/GO32,0)</f>
        <v>0</v>
      </c>
      <c r="GP37" s="129">
        <f>ROUND(COUNTIF(GP2:GP31,"E")*100/GP32,0)</f>
        <v>0</v>
      </c>
      <c r="GQ37" s="129">
        <f>ROUND(COUNTIF(GQ2:GQ31,"E")*100/GQ32,0)</f>
        <v>0</v>
      </c>
      <c r="GR37" s="129">
        <f>ROUND(COUNTIF(GR2:GR31,"E")*100/GR32,0)</f>
        <v>0</v>
      </c>
      <c r="GS37" s="129">
        <f>ROUND(COUNTIF(GS2:GS31,"E")*100/GS32,0)</f>
        <v>0</v>
      </c>
      <c r="GT37" s="129">
        <f>ROUND(COUNTIF(GT2:GT31,"E")*100/GT32,0)</f>
        <v>0</v>
      </c>
      <c r="GU37" s="129">
        <f>ROUND(COUNTIF(GU2:GU31,"E")*100/GU32,0)</f>
        <v>0</v>
      </c>
      <c r="GV37" s="129">
        <f>ROUND(COUNTIF(GV2:GV31,"E")*100/GV32,0)</f>
        <v>0</v>
      </c>
      <c r="GW37" s="129">
        <f>ROUND(COUNTIF(GW2:GW31,"E")*100/GW32,0)</f>
        <v>0</v>
      </c>
      <c r="GX37" s="129">
        <f>ROUND(COUNTIF(GX2:GX31,"E")*100/GX32,0)</f>
        <v>0</v>
      </c>
      <c r="GY37" s="129">
        <f>ROUND(COUNTIF(GY2:GY31,"E")*100/GY32,0)</f>
        <v>0</v>
      </c>
      <c r="GZ37" s="129">
        <f>ROUND(COUNTIF(GZ2:GZ31,"E")*100/GZ32,0)</f>
        <v>0</v>
      </c>
      <c r="HA37" s="129">
        <f>ROUND(COUNTIF(HA2:HA31,"E")*100/HA32,0)</f>
        <v>0</v>
      </c>
      <c r="HB37" s="129">
        <f>ROUND(COUNTIF(HB2:HB31,"E")*100/HB32,0)</f>
        <v>0</v>
      </c>
      <c r="HC37" s="129">
        <f>ROUND(COUNTIF(HC2:HC31,"E")*100/HC32,0)</f>
        <v>0</v>
      </c>
      <c r="HD37" s="129">
        <f>ROUND(COUNTIF(HD2:HD31,"E")*100/HD32,0)</f>
        <v>0</v>
      </c>
      <c r="HE37" s="129">
        <f>ROUND(COUNTIF(HE2:HE31,"E")*100/HE32,0)</f>
        <v>0</v>
      </c>
      <c r="HF37" s="129">
        <f>ROUND(COUNTIF(HF2:HF31,"E")*100/HF32,0)</f>
        <v>0</v>
      </c>
      <c r="HG37" s="129">
        <f>ROUND(COUNTIF(HG2:HG31,"E")*100/HG32,0)</f>
        <v>0</v>
      </c>
      <c r="HH37" s="129">
        <f>ROUND(COUNTIF(HH2:HH31,"E")*100/HH32,0)</f>
        <v>0</v>
      </c>
      <c r="HI37" s="129">
        <f>ROUND(COUNTIF(HI2:HI31,"E")*100/HI32,0)</f>
        <v>0</v>
      </c>
      <c r="HJ37" s="129">
        <f>ROUND(COUNTIF(HJ2:HJ31,"E")*100/HJ32,0)</f>
        <v>0</v>
      </c>
      <c r="HK37" s="129">
        <f>ROUND(COUNTIF(HK2:HK31,"E")*100/HK32,0)</f>
        <v>0</v>
      </c>
      <c r="HL37" s="129">
        <f>ROUND(COUNTIF(HL2:HL31,"E")*100/HL32,0)</f>
        <v>0</v>
      </c>
      <c r="HM37" s="129">
        <f>ROUND(COUNTIF(HM2:HM31,"E")*100/HM32,0)</f>
        <v>0</v>
      </c>
      <c r="HN37" s="129">
        <f>ROUND(COUNTIF(HN2:HN31,"E")*100/HN32,0)</f>
        <v>0</v>
      </c>
      <c r="HO37" s="129">
        <f>ROUND(COUNTIF(HO2:HO31,"E")*100/HO32,0)</f>
        <v>0</v>
      </c>
      <c r="HP37" s="129">
        <f>ROUND(COUNTIF(HP2:HP31,"E")*100/HP32,0)</f>
        <v>0</v>
      </c>
      <c r="HQ37" s="129">
        <f>ROUND(COUNTIF(HQ2:HQ31,"E")*100/HQ32,0)</f>
        <v>0</v>
      </c>
      <c r="HR37" s="129">
        <f>ROUND(COUNTIF(HR2:HR31,"E")*100/HR32,0)</f>
        <v>3</v>
      </c>
      <c r="HS37" s="129">
        <f>ROUND(COUNTIF(HS2:HS31,"E")*100/HS32,0)</f>
        <v>3</v>
      </c>
      <c r="HT37" s="129">
        <f>ROUND(COUNTIF(HT2:HT31,"E")*100/HT32,0)</f>
        <v>10</v>
      </c>
      <c r="HU37" s="129">
        <f>ROUND(COUNTIF(HU2:HU31,"E")*100/HU32,0)</f>
        <v>0</v>
      </c>
      <c r="HV37" s="129">
        <f>ROUND(COUNTIF(HV2:HV31,"E")*100/HV32,0)</f>
        <v>47</v>
      </c>
      <c r="HW37" s="129">
        <f>ROUND(COUNTIF(HW2:HW31,"E")*100/HW32,0)</f>
        <v>0</v>
      </c>
      <c r="HX37" s="129">
        <f>ROUND(COUNTIF(HX2:HX31,"E")*100/HX32,0)</f>
        <v>0</v>
      </c>
      <c r="HY37" s="129">
        <f>ROUND(COUNTIF(HY2:HY31,"E")*100/HY32,0)</f>
        <v>0</v>
      </c>
      <c r="HZ37" s="129">
        <f>ROUND(COUNTIF(HZ2:HZ31,"E")*100/HZ32,0)</f>
        <v>0</v>
      </c>
      <c r="IA37" s="129">
        <f>ROUND(COUNTIF(IA2:IA31,"E")*100/IA32,0)</f>
        <v>0</v>
      </c>
      <c r="IB37" s="129">
        <f>ROUND(COUNTIF(IB2:IB31,"E")*100/IB32,0)</f>
        <v>0</v>
      </c>
      <c r="IC37" s="129">
        <f>ROUND(COUNTIF(IC2:IC31,"E")*100/IC32,0)</f>
        <v>0</v>
      </c>
      <c r="ID37" s="129">
        <f>ROUND(COUNTIF(ID2:ID31,"E")*100/ID32,0)</f>
        <v>0</v>
      </c>
      <c r="IE37" s="129">
        <f>ROUND(COUNTIF(IE2:IE31,"E")*100/IE32,0)</f>
        <v>0</v>
      </c>
      <c r="IF37" s="129">
        <f>ROUND(COUNTIF(IF2:IF31,"E")*100/IF32,0)</f>
        <v>0</v>
      </c>
      <c r="IG37" s="129">
        <f>ROUND(COUNTIF(IG2:IG31,"E")*100/IG32,0)</f>
        <v>0</v>
      </c>
      <c r="IH37" s="129">
        <f>ROUND(COUNTIF(IH2:IH31,"E")*100/IH32,0)</f>
        <v>0</v>
      </c>
      <c r="II37" s="129">
        <f>ROUND(COUNTIF(II2:II31,"E")*100/II32,0)</f>
        <v>0</v>
      </c>
      <c r="IJ37" s="129">
        <f>ROUND(COUNTIF(IJ2:IJ31,"E")*100/IJ32,0)</f>
        <v>0</v>
      </c>
      <c r="IK37" s="129">
        <f>ROUND(COUNTIF(IK2:IK31,"E")*100/IK32,0)</f>
        <v>0</v>
      </c>
      <c r="IL37" s="129">
        <f>ROUND(COUNTIF(IL2:IL31,"E")*100/IL32,0)</f>
        <v>0</v>
      </c>
      <c r="IM37" s="129">
        <f>ROUND(COUNTIF(IM2:IM31,"E")*100/IM32,0)</f>
        <v>0</v>
      </c>
      <c r="IN37" s="129">
        <f>ROUND(COUNTIF(IN2:IN31,"E")*100/IN32,0)</f>
        <v>0</v>
      </c>
      <c r="IO37" s="129">
        <f>ROUND(COUNTIF(IO2:IO31,"E")*100/IO32,0)</f>
        <v>0</v>
      </c>
      <c r="IP37" s="129">
        <f>ROUND(COUNTIF(IP2:IP31,"E")*100/IP32,0)</f>
        <v>0</v>
      </c>
      <c r="IQ37" s="129">
        <f>ROUND(COUNTIF(IQ2:IQ31,"E")*100/IQ32,0)</f>
        <v>0</v>
      </c>
      <c r="IR37" s="129">
        <f>ROUND(COUNTIF(IR2:IR31,"E")*100/IR32,0)</f>
        <v>0</v>
      </c>
      <c r="IS37" s="129">
        <f>ROUND(COUNTIF(IS2:IS31,"E")*100/IS32,0)</f>
        <v>0</v>
      </c>
      <c r="IT37" s="129">
        <f>ROUND(COUNTIF(IT2:IT31,"E")*100/IT32,0)</f>
        <v>0</v>
      </c>
      <c r="IU37" s="129">
        <f>ROUND(COUNTIF(IU2:IU31,"E")*100/IU32,0)</f>
        <v>0</v>
      </c>
      <c r="IV37" s="129">
        <f>ROUND(COUNTIF(IV2:IV31,"E")*100/IV32,0)</f>
        <v>0</v>
      </c>
      <c r="IW37" s="129">
        <f>ROUND(COUNTIF(IW2:IW31,"E")*100/IW32,0)</f>
        <v>0</v>
      </c>
      <c r="IX37" s="129">
        <f>ROUND(COUNTIF(IX2:IX31,"E")*100/IX32,0)</f>
        <v>0</v>
      </c>
      <c r="IY37" s="129">
        <f>ROUND(COUNTIF(IY2:IY31,"E")*100/IY32,0)</f>
        <v>0</v>
      </c>
      <c r="IZ37" s="129">
        <f>ROUND(COUNTIF(IZ2:IZ31,"E")*100/IZ32,0)</f>
        <v>0</v>
      </c>
      <c r="JA37" s="129">
        <f>ROUND(COUNTIF(JA2:JA31,"E")*100/JA32,0)</f>
        <v>0</v>
      </c>
      <c r="JB37" s="129">
        <f>ROUND(COUNTIF(JB2:JB31,"E")*100/JB32,0)</f>
        <v>0</v>
      </c>
      <c r="JC37" s="129">
        <f>ROUND(COUNTIF(JC2:JC31,"E")*100/JC32,0)</f>
        <v>0</v>
      </c>
      <c r="JD37" s="129">
        <f>ROUND(COUNTIF(JD2:JD31,"E")*100/JD32,0)</f>
        <v>0</v>
      </c>
      <c r="JE37" s="129">
        <f>ROUND(COUNTIF(JE2:JE31,"E")*100/JE32,0)</f>
        <v>0</v>
      </c>
      <c r="JF37" s="129">
        <f>ROUND(COUNTIF(JF2:JF31,"E")*100/JF32,0)</f>
        <v>0</v>
      </c>
      <c r="JG37" s="129">
        <f>ROUND(COUNTIF(JG2:JG31,"E")*100/JG32,0)</f>
        <v>0</v>
      </c>
      <c r="JH37" s="129">
        <f>ROUND(COUNTIF(JH2:JH31,"E")*100/JH32,0)</f>
        <v>0</v>
      </c>
      <c r="JI37" s="129">
        <f>ROUND(COUNTIF(JI2:JI31,"E")*100/JI32,0)</f>
        <v>0</v>
      </c>
      <c r="JJ37" s="129">
        <f>ROUND(COUNTIF(JJ2:JJ31,"E")*100/JJ32,0)</f>
        <v>0</v>
      </c>
      <c r="JK37" s="129">
        <f>ROUND(COUNTIF(JK2:JK31,"E")*100/JK32,0)</f>
        <v>0</v>
      </c>
      <c r="JL37" s="129">
        <f>ROUND(COUNTIF(JL2:JL31,"E")*100/JL32,0)</f>
        <v>0</v>
      </c>
      <c r="JM37" s="129">
        <f>ROUND(COUNTIF(JM2:JM31,"E")*100/JM32,0)</f>
        <v>0</v>
      </c>
      <c r="JN37" s="129">
        <f>ROUND(COUNTIF(JN2:JN31,"E")*100/JN32,0)</f>
        <v>0</v>
      </c>
      <c r="JO37" s="129">
        <f>ROUND(COUNTIF(JO2:JO31,"E")*100/JO32,0)</f>
        <v>0</v>
      </c>
      <c r="JP37" s="129">
        <f>ROUND(COUNTIF(JP2:JP31,"E")*100/JP32,0)</f>
        <v>0</v>
      </c>
      <c r="JQ37" s="129">
        <f>ROUND(COUNTIF(JQ2:JQ31,"E")*100/JQ32,0)</f>
        <v>0</v>
      </c>
      <c r="JR37" s="129">
        <f>ROUND(COUNTIF(JR2:JR31,"E")*100/JR32,0)</f>
        <v>0</v>
      </c>
      <c r="JS37" s="129">
        <f>ROUND(COUNTIF(JS2:JS31,"E")*100/JS32,0)</f>
        <v>0</v>
      </c>
      <c r="JT37" s="129">
        <f>ROUND(COUNTIF(JT2:JT31,"E")*100/JT32,0)</f>
        <v>0</v>
      </c>
    </row>
    <row r="38" spans="4:280" s="65" customFormat="1" x14ac:dyDescent="0.35">
      <c r="D38" s="139" t="s">
        <v>343</v>
      </c>
      <c r="L38" s="138"/>
      <c r="EQ38" s="129">
        <f>ROUND(COUNTIF(EQ2:EQ31,"F")*100/EQ32,0)</f>
        <v>0</v>
      </c>
      <c r="ER38" s="129">
        <f>ROUND(COUNTIF(ER2:ER31,"F")*100/ER32,0)</f>
        <v>0</v>
      </c>
      <c r="ES38" s="129">
        <f>ROUND(COUNTIF(ES2:ES31,"F")*100/ES32,0)</f>
        <v>0</v>
      </c>
      <c r="ET38" s="129">
        <f>ROUND(COUNTIF(ET2:ET31,"F")*100/ET32,0)</f>
        <v>0</v>
      </c>
      <c r="EU38" s="129">
        <f>ROUND(COUNTIF(EU2:EU31,"F")*100/EU32,0)</f>
        <v>0</v>
      </c>
      <c r="EV38" s="129">
        <f>ROUND(COUNTIF(EV2:EV31,"F")*100/EV32,0)</f>
        <v>0</v>
      </c>
      <c r="EW38" s="129">
        <f>ROUND(COUNTIF(EW2:EW31,"F")*100/EW32,0)</f>
        <v>0</v>
      </c>
      <c r="EX38" s="129">
        <f>ROUND(COUNTIF(EX2:EX31,"F")*100/EX32,0)</f>
        <v>0</v>
      </c>
      <c r="EY38" s="129">
        <f>ROUND(COUNTIF(EY2:EY31,"F")*100/EY32,0)</f>
        <v>0</v>
      </c>
      <c r="EZ38" s="129">
        <f>ROUND(COUNTIF(EZ2:EZ31,"F")*100/EZ32,0)</f>
        <v>0</v>
      </c>
      <c r="FA38" s="129">
        <f>ROUND(COUNTIF(FA2:FA31,"F")*100/FA32,0)</f>
        <v>0</v>
      </c>
      <c r="FB38" s="129">
        <f>ROUND(COUNTIF(FB2:FB31,"F")*100/FB32,0)</f>
        <v>0</v>
      </c>
      <c r="FC38" s="129">
        <f>ROUND(COUNTIF(FC2:FC31,"F")*100/FC32,0)</f>
        <v>0</v>
      </c>
      <c r="FD38" s="129">
        <f>ROUND(COUNTIF(FD2:FD31,"F")*100/FD32,0)</f>
        <v>0</v>
      </c>
      <c r="FE38" s="129">
        <f>ROUND(COUNTIF(FE2:FE31,"F")*100/FE32,0)</f>
        <v>0</v>
      </c>
      <c r="FF38" s="129">
        <f>ROUND(COUNTIF(FF2:FF31,"F")*100/FF32,0)</f>
        <v>0</v>
      </c>
      <c r="FG38" s="129">
        <f>ROUND(COUNTIF(FG2:FG31,"F")*100/FG32,0)</f>
        <v>0</v>
      </c>
      <c r="FH38" s="129">
        <f>ROUND(COUNTIF(FH2:FH31,"F")*100/FH32,0)</f>
        <v>0</v>
      </c>
      <c r="FI38" s="129">
        <f>ROUND(COUNTIF(FI2:FI31,"F")*100/FI32,0)</f>
        <v>0</v>
      </c>
      <c r="FJ38" s="129">
        <f>ROUND(COUNTIF(FJ2:FJ31,"F")*100/FJ32,0)</f>
        <v>0</v>
      </c>
      <c r="FK38" s="129">
        <f>ROUND(COUNTIF(FK2:FK31,"F")*100/FK32,0)</f>
        <v>0</v>
      </c>
      <c r="FL38" s="129">
        <f>ROUND(COUNTIF(FL2:FL31,"F")*100/FL32,0)</f>
        <v>0</v>
      </c>
      <c r="FM38" s="129">
        <f>ROUND(COUNTIF(FM2:FM31,"F")*100/FM32,0)</f>
        <v>0</v>
      </c>
      <c r="FN38" s="129">
        <f>ROUND(COUNTIF(FN2:FN31,"F")*100/FN32,0)</f>
        <v>0</v>
      </c>
      <c r="FO38" s="129">
        <f>ROUND(COUNTIF(FO2:FO31,"F")*100/FO32,0)</f>
        <v>0</v>
      </c>
      <c r="FP38" s="129">
        <f>ROUND(COUNTIF(FP2:FP31,"F")*100/FP32,0)</f>
        <v>0</v>
      </c>
      <c r="FQ38" s="129">
        <f>ROUND(COUNTIF(FQ2:FQ31,"F")*100/FQ32,0)</f>
        <v>0</v>
      </c>
      <c r="FR38" s="129">
        <f>ROUND(COUNTIF(FR2:FR31,"F")*100/FR32,0)</f>
        <v>0</v>
      </c>
      <c r="FS38" s="129">
        <f>ROUND(COUNTIF(FS2:FS31,"F")*100/FS32,0)</f>
        <v>0</v>
      </c>
      <c r="FT38" s="129">
        <f>ROUND(COUNTIF(FT2:FT31,"F")*100/FT32,0)</f>
        <v>0</v>
      </c>
      <c r="FU38" s="129">
        <f>ROUND(COUNTIF(FU2:FU31,"F")*100/FU32,0)</f>
        <v>0</v>
      </c>
      <c r="FV38" s="129">
        <f>ROUND(COUNTIF(FV2:FV31,"F")*100/FV32,0)</f>
        <v>0</v>
      </c>
      <c r="FW38" s="129">
        <f>ROUND(COUNTIF(FW2:FW31,"F")*100/FW32,0)</f>
        <v>0</v>
      </c>
      <c r="FX38" s="129">
        <f>ROUND(COUNTIF(FX2:FX31,"F")*100/FX32,0)</f>
        <v>0</v>
      </c>
      <c r="FY38" s="129">
        <f>ROUND(COUNTIF(FY2:FY31,"F")*100/FY32,0)</f>
        <v>0</v>
      </c>
      <c r="FZ38" s="129">
        <f>ROUND(COUNTIF(FZ2:FZ31,"F")*100/FZ32,0)</f>
        <v>0</v>
      </c>
      <c r="GA38" s="129">
        <f>ROUND(COUNTIF(GA2:GA31,"F")*100/GA32,0)</f>
        <v>0</v>
      </c>
      <c r="GB38" s="129">
        <f>ROUND(COUNTIF(GB2:GB31,"F")*100/GB32,0)</f>
        <v>0</v>
      </c>
      <c r="GC38" s="129">
        <f>ROUND(COUNTIF(GC2:GC31,"F")*100/GC32,0)</f>
        <v>0</v>
      </c>
      <c r="GD38" s="129">
        <f>ROUND(COUNTIF(GD2:GD31,"F")*100/GD32,0)</f>
        <v>0</v>
      </c>
      <c r="GE38" s="129">
        <f>ROUND(COUNTIF(GE2:GE31,"F")*100/GE32,0)</f>
        <v>0</v>
      </c>
      <c r="GF38" s="129">
        <f>ROUND(COUNTIF(GF2:GF31,"F")*100/GF32,0)</f>
        <v>0</v>
      </c>
      <c r="GG38" s="129">
        <f>ROUND(COUNTIF(GG2:GG31,"F")*100/GG32,0)</f>
        <v>0</v>
      </c>
      <c r="GH38" s="129">
        <f>ROUND(COUNTIF(GH2:GH31,"F")*100/GH32,0)</f>
        <v>0</v>
      </c>
      <c r="GI38" s="129">
        <f>ROUND(COUNTIF(GI2:GI31,"F")*100/GI32,0)</f>
        <v>0</v>
      </c>
      <c r="GJ38" s="129">
        <f>ROUND(COUNTIF(GJ2:GJ31,"F")*100/GJ32,0)</f>
        <v>0</v>
      </c>
      <c r="GK38" s="129">
        <f>ROUND(COUNTIF(GK2:GK31,"F")*100/GK32,0)</f>
        <v>0</v>
      </c>
      <c r="GL38" s="129">
        <f>ROUND(COUNTIF(GL2:GL31,"F")*100/GL32,0)</f>
        <v>0</v>
      </c>
      <c r="GM38" s="129">
        <f>ROUND(COUNTIF(GM2:GM31,"F")*100/GM32,0)</f>
        <v>0</v>
      </c>
      <c r="GN38" s="129">
        <f>ROUND(COUNTIF(GN2:GN31,"F")*100/GN32,0)</f>
        <v>0</v>
      </c>
      <c r="GO38" s="129">
        <f>ROUND(COUNTIF(GO2:GO31,"F")*100/GO32,0)</f>
        <v>0</v>
      </c>
      <c r="GP38" s="129">
        <f>ROUND(COUNTIF(GP2:GP31,"F")*100/GP32,0)</f>
        <v>0</v>
      </c>
      <c r="GQ38" s="129">
        <f>ROUND(COUNTIF(GQ2:GQ31,"F")*100/GQ32,0)</f>
        <v>0</v>
      </c>
      <c r="GR38" s="129">
        <f>ROUND(COUNTIF(GR2:GR31,"F")*100/GR32,0)</f>
        <v>0</v>
      </c>
      <c r="GS38" s="129">
        <f>ROUND(COUNTIF(GS2:GS31,"F")*100/GS32,0)</f>
        <v>0</v>
      </c>
      <c r="GT38" s="129">
        <f>ROUND(COUNTIF(GT2:GT31,"F")*100/GT32,0)</f>
        <v>0</v>
      </c>
      <c r="GU38" s="129">
        <f>ROUND(COUNTIF(GU2:GU31,"F")*100/GU32,0)</f>
        <v>0</v>
      </c>
      <c r="GV38" s="129">
        <f>ROUND(COUNTIF(GV2:GV31,"F")*100/GV32,0)</f>
        <v>0</v>
      </c>
      <c r="GW38" s="129">
        <f>ROUND(COUNTIF(GW2:GW31,"F")*100/GW32,0)</f>
        <v>0</v>
      </c>
      <c r="GX38" s="129">
        <f>ROUND(COUNTIF(GX2:GX31,"F")*100/GX32,0)</f>
        <v>0</v>
      </c>
      <c r="GY38" s="129">
        <f>ROUND(COUNTIF(GY2:GY31,"F")*100/GY32,0)</f>
        <v>0</v>
      </c>
      <c r="GZ38" s="129">
        <f>ROUND(COUNTIF(GZ2:GZ31,"F")*100/GZ32,0)</f>
        <v>0</v>
      </c>
      <c r="HA38" s="129">
        <f>ROUND(COUNTIF(HA2:HA31,"F")*100/HA32,0)</f>
        <v>0</v>
      </c>
      <c r="HB38" s="129">
        <f>ROUND(COUNTIF(HB2:HB31,"F")*100/HB32,0)</f>
        <v>0</v>
      </c>
      <c r="HC38" s="129">
        <f>ROUND(COUNTIF(HC2:HC31,"F")*100/HC32,0)</f>
        <v>0</v>
      </c>
      <c r="HD38" s="129">
        <f>ROUND(COUNTIF(HD2:HD31,"F")*100/HD32,0)</f>
        <v>0</v>
      </c>
      <c r="HE38" s="129">
        <f>ROUND(COUNTIF(HE2:HE31,"F")*100/HE32,0)</f>
        <v>0</v>
      </c>
      <c r="HF38" s="129">
        <f>ROUND(COUNTIF(HF2:HF31,"F")*100/HF32,0)</f>
        <v>0</v>
      </c>
      <c r="HG38" s="129">
        <f>ROUND(COUNTIF(HG2:HG31,"F")*100/HG32,0)</f>
        <v>0</v>
      </c>
      <c r="HH38" s="129">
        <f>ROUND(COUNTIF(HH2:HH31,"F")*100/HH32,0)</f>
        <v>0</v>
      </c>
      <c r="HI38" s="129">
        <f>ROUND(COUNTIF(HI2:HI31,"F")*100/HI32,0)</f>
        <v>0</v>
      </c>
      <c r="HJ38" s="129">
        <f>ROUND(COUNTIF(HJ2:HJ31,"F")*100/HJ32,0)</f>
        <v>0</v>
      </c>
      <c r="HK38" s="129">
        <f>ROUND(COUNTIF(HK2:HK31,"F")*100/HK32,0)</f>
        <v>0</v>
      </c>
      <c r="HL38" s="129">
        <f>ROUND(COUNTIF(HL2:HL31,"F")*100/HL32,0)</f>
        <v>0</v>
      </c>
      <c r="HM38" s="129">
        <f>ROUND(COUNTIF(HM2:HM31,"F")*100/HM32,0)</f>
        <v>0</v>
      </c>
      <c r="HN38" s="129">
        <f>ROUND(COUNTIF(HN2:HN31,"F")*100/HN32,0)</f>
        <v>0</v>
      </c>
      <c r="HO38" s="129">
        <f>ROUND(COUNTIF(HO2:HO31,"F")*100/HO32,0)</f>
        <v>0</v>
      </c>
      <c r="HP38" s="129">
        <f>ROUND(COUNTIF(HP2:HP31,"F")*100/HP32,0)</f>
        <v>0</v>
      </c>
      <c r="HQ38" s="129">
        <f>ROUND(COUNTIF(HQ2:HQ31,"F")*100/HQ32,0)</f>
        <v>0</v>
      </c>
      <c r="HR38" s="129">
        <f>ROUND(COUNTIF(HR2:HR31,"F")*100/HR32,0)</f>
        <v>7</v>
      </c>
      <c r="HS38" s="129">
        <f>ROUND(COUNTIF(HS2:HS31,"F")*100/HS32,0)</f>
        <v>7</v>
      </c>
      <c r="HT38" s="129">
        <f>ROUND(COUNTIF(HT2:HT31,"F")*100/HT32,0)</f>
        <v>13</v>
      </c>
      <c r="HU38" s="142">
        <f>ROUND(COUNTIF(HU2:HU31,"F")*100/HU32,0)</f>
        <v>10</v>
      </c>
      <c r="HV38" s="129">
        <f>ROUND(COUNTIF(HV2:HV31,"F")*100/HV32,0)</f>
        <v>3</v>
      </c>
      <c r="HW38" s="129">
        <f>ROUND(COUNTIF(HW2:HW31,"F")*100/HW32,0)</f>
        <v>0</v>
      </c>
      <c r="HX38" s="129">
        <f>ROUND(COUNTIF(HX2:HX31,"F")*100/HX32,0)</f>
        <v>0</v>
      </c>
      <c r="HY38" s="129">
        <f>ROUND(COUNTIF(HY2:HY31,"F")*100/HY32,0)</f>
        <v>0</v>
      </c>
      <c r="HZ38" s="129">
        <f>ROUND(COUNTIF(HZ2:HZ31,"F")*100/HZ32,0)</f>
        <v>0</v>
      </c>
      <c r="IA38" s="129">
        <f>ROUND(COUNTIF(IA2:IA31,"F")*100/IA32,0)</f>
        <v>0</v>
      </c>
      <c r="IB38" s="129">
        <f>ROUND(COUNTIF(IB2:IB31,"F")*100/IB32,0)</f>
        <v>0</v>
      </c>
      <c r="IC38" s="129">
        <f>ROUND(COUNTIF(IC2:IC31,"F")*100/IC32,0)</f>
        <v>0</v>
      </c>
      <c r="ID38" s="129">
        <f>ROUND(COUNTIF(ID2:ID31,"F")*100/ID32,0)</f>
        <v>0</v>
      </c>
      <c r="IE38" s="129">
        <f>ROUND(COUNTIF(IE2:IE31,"F")*100/IE32,0)</f>
        <v>0</v>
      </c>
      <c r="IF38" s="129">
        <f>ROUND(COUNTIF(IF2:IF31,"F")*100/IF32,0)</f>
        <v>0</v>
      </c>
      <c r="IG38" s="129">
        <f>ROUND(COUNTIF(IG2:IG31,"F")*100/IG32,0)</f>
        <v>0</v>
      </c>
      <c r="IH38" s="129">
        <f>ROUND(COUNTIF(IH2:IH31,"F")*100/IH32,0)</f>
        <v>0</v>
      </c>
      <c r="II38" s="129">
        <f>ROUND(COUNTIF(II2:II31,"F")*100/II32,0)</f>
        <v>0</v>
      </c>
      <c r="IJ38" s="129">
        <f>ROUND(COUNTIF(IJ2:IJ31,"F")*100/IJ32,0)</f>
        <v>0</v>
      </c>
      <c r="IK38" s="129">
        <f>ROUND(COUNTIF(IK2:IK31,"F")*100/IK32,0)</f>
        <v>0</v>
      </c>
      <c r="IL38" s="129">
        <f>ROUND(COUNTIF(IL2:IL31,"F")*100/IL32,0)</f>
        <v>0</v>
      </c>
      <c r="IM38" s="129">
        <f>ROUND(COUNTIF(IM2:IM31,"F")*100/IM32,0)</f>
        <v>0</v>
      </c>
      <c r="IN38" s="129">
        <f>ROUND(COUNTIF(IN2:IN31,"F")*100/IN32,0)</f>
        <v>0</v>
      </c>
      <c r="IO38" s="129">
        <f>ROUND(COUNTIF(IO2:IO31,"F")*100/IO32,0)</f>
        <v>0</v>
      </c>
      <c r="IP38" s="129">
        <f>ROUND(COUNTIF(IP2:IP31,"F")*100/IP32,0)</f>
        <v>0</v>
      </c>
      <c r="IQ38" s="129">
        <f>ROUND(COUNTIF(IQ2:IQ31,"F")*100/IQ32,0)</f>
        <v>0</v>
      </c>
      <c r="IR38" s="129">
        <f>ROUND(COUNTIF(IR2:IR31,"F")*100/IR32,0)</f>
        <v>0</v>
      </c>
      <c r="IS38" s="129">
        <f>ROUND(COUNTIF(IS2:IS31,"F")*100/IS32,0)</f>
        <v>0</v>
      </c>
      <c r="IT38" s="129">
        <f>ROUND(COUNTIF(IT2:IT31,"F")*100/IT32,0)</f>
        <v>0</v>
      </c>
      <c r="IU38" s="129">
        <f>ROUND(COUNTIF(IU2:IU31,"F")*100/IU32,0)</f>
        <v>0</v>
      </c>
      <c r="IV38" s="129">
        <f>ROUND(COUNTIF(IV2:IV31,"F")*100/IV32,0)</f>
        <v>0</v>
      </c>
      <c r="IW38" s="129">
        <f>ROUND(COUNTIF(IW2:IW31,"F")*100/IW32,0)</f>
        <v>0</v>
      </c>
      <c r="IX38" s="129">
        <f>ROUND(COUNTIF(IX2:IX31,"F")*100/IX32,0)</f>
        <v>0</v>
      </c>
      <c r="IY38" s="129">
        <f>ROUND(COUNTIF(IY2:IY31,"F")*100/IY32,0)</f>
        <v>0</v>
      </c>
      <c r="IZ38" s="129">
        <f>ROUND(COUNTIF(IZ2:IZ31,"F")*100/IZ32,0)</f>
        <v>0</v>
      </c>
      <c r="JA38" s="129">
        <f>ROUND(COUNTIF(JA2:JA31,"F")*100/JA32,0)</f>
        <v>0</v>
      </c>
      <c r="JB38" s="129">
        <f>ROUND(COUNTIF(JB2:JB31,"F")*100/JB32,0)</f>
        <v>0</v>
      </c>
      <c r="JC38" s="129">
        <f>ROUND(COUNTIF(JC2:JC31,"F")*100/JC32,0)</f>
        <v>0</v>
      </c>
      <c r="JD38" s="129">
        <f>ROUND(COUNTIF(JD2:JD31,"F")*100/JD32,0)</f>
        <v>0</v>
      </c>
      <c r="JE38" s="129">
        <f>ROUND(COUNTIF(JE2:JE31,"F")*100/JE32,0)</f>
        <v>0</v>
      </c>
      <c r="JF38" s="129">
        <f>ROUND(COUNTIF(JF2:JF31,"F")*100/JF32,0)</f>
        <v>0</v>
      </c>
      <c r="JG38" s="129">
        <f>ROUND(COUNTIF(JG2:JG31,"F")*100/JG32,0)</f>
        <v>0</v>
      </c>
      <c r="JH38" s="129">
        <f>ROUND(COUNTIF(JH2:JH31,"F")*100/JH32,0)</f>
        <v>0</v>
      </c>
      <c r="JI38" s="129">
        <f>ROUND(COUNTIF(JI2:JI31,"F")*100/JI32,0)</f>
        <v>0</v>
      </c>
      <c r="JJ38" s="129">
        <f>ROUND(COUNTIF(JJ2:JJ31,"F")*100/JJ32,0)</f>
        <v>0</v>
      </c>
      <c r="JK38" s="129">
        <f>ROUND(COUNTIF(JK2:JK31,"F")*100/JK32,0)</f>
        <v>0</v>
      </c>
      <c r="JL38" s="129">
        <f>ROUND(COUNTIF(JL2:JL31,"F")*100/JL32,0)</f>
        <v>0</v>
      </c>
      <c r="JM38" s="129">
        <f>ROUND(COUNTIF(JM2:JM31,"F")*100/JM32,0)</f>
        <v>0</v>
      </c>
      <c r="JN38" s="129">
        <f>ROUND(COUNTIF(JN2:JN31,"F")*100/JN32,0)</f>
        <v>0</v>
      </c>
      <c r="JO38" s="129">
        <f>ROUND(COUNTIF(JO2:JO31,"F")*100/JO32,0)</f>
        <v>0</v>
      </c>
      <c r="JP38" s="129">
        <f>ROUND(COUNTIF(JP2:JP31,"F")*100/JP32,0)</f>
        <v>0</v>
      </c>
      <c r="JQ38" s="129">
        <f>ROUND(COUNTIF(JQ2:JQ31,"F")*100/JQ32,0)</f>
        <v>0</v>
      </c>
      <c r="JR38" s="129">
        <f>ROUND(COUNTIF(JR2:JR31,"F")*100/JR32,0)</f>
        <v>0</v>
      </c>
      <c r="JS38" s="129">
        <f>ROUND(COUNTIF(JS2:JS31,"F")*100/JS32,0)</f>
        <v>0</v>
      </c>
      <c r="JT38" s="129">
        <f>ROUND(COUNTIF(JT2:JT31,"F")*100/JT32,0)</f>
        <v>0</v>
      </c>
    </row>
    <row r="39" spans="4:280" s="65" customFormat="1" x14ac:dyDescent="0.35">
      <c r="D39" s="139" t="s">
        <v>344</v>
      </c>
      <c r="L39" s="138"/>
      <c r="EQ39" s="129">
        <f>ROUND(COUNTIF(EQ2:EQ31,"G")*100/EQ32,0)</f>
        <v>0</v>
      </c>
      <c r="ER39" s="129">
        <f>ROUND(COUNTIF(ER2:ER31,"G")*100/ER32,0)</f>
        <v>0</v>
      </c>
      <c r="ES39" s="129">
        <f>ROUND(COUNTIF(ES2:ES31,"G")*100/ES32,0)</f>
        <v>0</v>
      </c>
      <c r="ET39" s="129">
        <f>ROUND(COUNTIF(ET2:ET31,"G")*100/ET32,0)</f>
        <v>0</v>
      </c>
      <c r="EU39" s="129">
        <f>ROUND(COUNTIF(EU2:EU31,"G")*100/EU32,0)</f>
        <v>0</v>
      </c>
      <c r="EV39" s="129">
        <f>ROUND(COUNTIF(EV2:EV31,"G")*100/EV32,0)</f>
        <v>0</v>
      </c>
      <c r="EW39" s="129">
        <f>ROUND(COUNTIF(EW2:EW31,"G")*100/EW32,0)</f>
        <v>0</v>
      </c>
      <c r="EX39" s="129">
        <f>ROUND(COUNTIF(EX2:EX31,"G")*100/EX32,0)</f>
        <v>0</v>
      </c>
      <c r="EY39" s="129">
        <f>ROUND(COUNTIF(EY2:EY31,"G")*100/EY32,0)</f>
        <v>0</v>
      </c>
      <c r="EZ39" s="129">
        <f>ROUND(COUNTIF(EZ2:EZ31,"G")*100/EZ32,0)</f>
        <v>0</v>
      </c>
      <c r="FA39" s="129">
        <f>ROUND(COUNTIF(FA2:FA31,"G")*100/FA32,0)</f>
        <v>0</v>
      </c>
      <c r="FB39" s="129">
        <f>ROUND(COUNTIF(FB2:FB31,"G")*100/FB32,0)</f>
        <v>0</v>
      </c>
      <c r="FC39" s="129">
        <f>ROUND(COUNTIF(FC2:FC31,"G")*100/FC32,0)</f>
        <v>0</v>
      </c>
      <c r="FD39" s="129">
        <f>ROUND(COUNTIF(FD2:FD31,"G")*100/FD32,0)</f>
        <v>0</v>
      </c>
      <c r="FE39" s="129">
        <f>ROUND(COUNTIF(FE2:FE31,"G")*100/FE32,0)</f>
        <v>0</v>
      </c>
      <c r="FF39" s="129">
        <f>ROUND(COUNTIF(FF2:FF31,"G")*100/FF32,0)</f>
        <v>0</v>
      </c>
      <c r="FG39" s="129">
        <f>ROUND(COUNTIF(FG2:FG31,"G")*100/FG32,0)</f>
        <v>0</v>
      </c>
      <c r="FH39" s="129">
        <f>ROUND(COUNTIF(FH2:FH31,"G")*100/FH32,0)</f>
        <v>0</v>
      </c>
      <c r="FI39" s="129">
        <f>ROUND(COUNTIF(FI2:FI31,"G")*100/FI32,0)</f>
        <v>0</v>
      </c>
      <c r="FJ39" s="129">
        <f>ROUND(COUNTIF(FJ2:FJ31,"G")*100/FJ32,0)</f>
        <v>0</v>
      </c>
      <c r="FK39" s="129">
        <f>ROUND(COUNTIF(FK2:FK31,"G")*100/FK32,0)</f>
        <v>0</v>
      </c>
      <c r="FL39" s="129">
        <f>ROUND(COUNTIF(FL2:FL31,"G")*100/FL32,0)</f>
        <v>0</v>
      </c>
      <c r="FM39" s="129">
        <f>ROUND(COUNTIF(FM2:FM31,"G")*100/FM32,0)</f>
        <v>0</v>
      </c>
      <c r="FN39" s="129">
        <f>ROUND(COUNTIF(FN2:FN31,"G")*100/FN32,0)</f>
        <v>0</v>
      </c>
      <c r="FO39" s="129">
        <f>ROUND(COUNTIF(FO2:FO31,"G")*100/FO32,0)</f>
        <v>0</v>
      </c>
      <c r="FP39" s="129">
        <f>ROUND(COUNTIF(FP2:FP31,"G")*100/FP32,0)</f>
        <v>0</v>
      </c>
      <c r="FQ39" s="129">
        <f>ROUND(COUNTIF(FQ2:FQ31,"G")*100/FQ32,0)</f>
        <v>0</v>
      </c>
      <c r="FR39" s="129">
        <f>ROUND(COUNTIF(FR2:FR31,"G")*100/FR32,0)</f>
        <v>0</v>
      </c>
      <c r="FS39" s="129">
        <f>ROUND(COUNTIF(FS2:FS31,"G")*100/FS32,0)</f>
        <v>0</v>
      </c>
      <c r="FT39" s="129">
        <f>ROUND(COUNTIF(FT2:FT31,"G")*100/FT32,0)</f>
        <v>0</v>
      </c>
      <c r="FU39" s="129">
        <f>ROUND(COUNTIF(FU2:FU31,"G")*100/FU32,0)</f>
        <v>0</v>
      </c>
      <c r="FV39" s="129">
        <f>ROUND(COUNTIF(FV2:FV31,"G")*100/FV32,0)</f>
        <v>0</v>
      </c>
      <c r="FW39" s="129">
        <f>ROUND(COUNTIF(FW2:FW31,"G")*100/FW32,0)</f>
        <v>0</v>
      </c>
      <c r="FX39" s="129">
        <f>ROUND(COUNTIF(FX2:FX31,"G")*100/FX32,0)</f>
        <v>0</v>
      </c>
      <c r="FY39" s="129">
        <f>ROUND(COUNTIF(FY2:FY31,"G")*100/FY32,0)</f>
        <v>0</v>
      </c>
      <c r="FZ39" s="129">
        <f>ROUND(COUNTIF(FZ2:FZ31,"G")*100/FZ32,0)</f>
        <v>0</v>
      </c>
      <c r="GA39" s="129">
        <f>ROUND(COUNTIF(GA2:GA31,"G")*100/GA32,0)</f>
        <v>0</v>
      </c>
      <c r="GB39" s="129">
        <f>ROUND(COUNTIF(GB2:GB31,"G")*100/GB32,0)</f>
        <v>0</v>
      </c>
      <c r="GC39" s="129">
        <f>ROUND(COUNTIF(GC2:GC31,"G")*100/GC32,0)</f>
        <v>0</v>
      </c>
      <c r="GD39" s="129">
        <f>ROUND(COUNTIF(GD2:GD31,"G")*100/GD32,0)</f>
        <v>0</v>
      </c>
      <c r="GE39" s="129">
        <f>ROUND(COUNTIF(GE2:GE31,"G")*100/GE32,0)</f>
        <v>0</v>
      </c>
      <c r="GF39" s="129">
        <f>ROUND(COUNTIF(GF2:GF31,"G")*100/GF32,0)</f>
        <v>0</v>
      </c>
      <c r="GG39" s="129">
        <f>ROUND(COUNTIF(GG2:GG31,"G")*100/GG32,0)</f>
        <v>0</v>
      </c>
      <c r="GH39" s="129">
        <f>ROUND(COUNTIF(GH2:GH31,"G")*100/GH32,0)</f>
        <v>0</v>
      </c>
      <c r="GI39" s="129">
        <f>ROUND(COUNTIF(GI2:GI31,"G")*100/GI32,0)</f>
        <v>0</v>
      </c>
      <c r="GJ39" s="129">
        <f>ROUND(COUNTIF(GJ2:GJ31,"G")*100/GJ32,0)</f>
        <v>0</v>
      </c>
      <c r="GK39" s="129">
        <f>ROUND(COUNTIF(GK2:GK31,"G")*100/GK32,0)</f>
        <v>0</v>
      </c>
      <c r="GL39" s="129">
        <f>ROUND(COUNTIF(GL2:GL31,"G")*100/GL32,0)</f>
        <v>0</v>
      </c>
      <c r="GM39" s="129">
        <f>ROUND(COUNTIF(GM2:GM31,"G")*100/GM32,0)</f>
        <v>0</v>
      </c>
      <c r="GN39" s="129">
        <f>ROUND(COUNTIF(GN2:GN31,"G")*100/GN32,0)</f>
        <v>0</v>
      </c>
      <c r="GO39" s="129">
        <f>ROUND(COUNTIF(GO2:GO31,"G")*100/GO32,0)</f>
        <v>0</v>
      </c>
      <c r="GP39" s="129">
        <f>ROUND(COUNTIF(GP2:GP31,"G")*100/GP32,0)</f>
        <v>0</v>
      </c>
      <c r="GQ39" s="129">
        <f>ROUND(COUNTIF(GQ2:GQ31,"G")*100/GQ32,0)</f>
        <v>0</v>
      </c>
      <c r="GR39" s="129">
        <f>ROUND(COUNTIF(GR2:GR31,"G")*100/GR32,0)</f>
        <v>0</v>
      </c>
      <c r="GS39" s="129">
        <f>ROUND(COUNTIF(GS2:GS31,"G")*100/GS32,0)</f>
        <v>0</v>
      </c>
      <c r="GT39" s="129">
        <f>ROUND(COUNTIF(GT2:GT31,"G")*100/GT32,0)</f>
        <v>0</v>
      </c>
      <c r="GU39" s="129">
        <f>ROUND(COUNTIF(GU2:GU31,"G")*100/GU32,0)</f>
        <v>0</v>
      </c>
      <c r="GV39" s="129">
        <f>ROUND(COUNTIF(GV2:GV31,"G")*100/GV32,0)</f>
        <v>0</v>
      </c>
      <c r="GW39" s="129">
        <f>ROUND(COUNTIF(GW2:GW31,"G")*100/GW32,0)</f>
        <v>0</v>
      </c>
      <c r="GX39" s="129">
        <f>ROUND(COUNTIF(GX2:GX31,"G")*100/GX32,0)</f>
        <v>0</v>
      </c>
      <c r="GY39" s="129">
        <f>ROUND(COUNTIF(GY2:GY31,"G")*100/GY32,0)</f>
        <v>0</v>
      </c>
      <c r="GZ39" s="129">
        <f>ROUND(COUNTIF(GZ2:GZ31,"G")*100/GZ32,0)</f>
        <v>0</v>
      </c>
      <c r="HA39" s="129">
        <f>ROUND(COUNTIF(HA2:HA31,"G")*100/HA32,0)</f>
        <v>0</v>
      </c>
      <c r="HB39" s="129">
        <f>ROUND(COUNTIF(HB2:HB31,"G")*100/HB32,0)</f>
        <v>0</v>
      </c>
      <c r="HC39" s="129">
        <f>ROUND(COUNTIF(HC2:HC31,"G")*100/HC32,0)</f>
        <v>0</v>
      </c>
      <c r="HD39" s="129">
        <f>ROUND(COUNTIF(HD2:HD31,"G")*100/HD32,0)</f>
        <v>0</v>
      </c>
      <c r="HE39" s="129">
        <f>ROUND(COUNTIF(HE2:HE31,"G")*100/HE32,0)</f>
        <v>0</v>
      </c>
      <c r="HF39" s="129">
        <f>ROUND(COUNTIF(HF2:HF31,"G")*100/HF32,0)</f>
        <v>0</v>
      </c>
      <c r="HG39" s="129">
        <f>ROUND(COUNTIF(HG2:HG31,"G")*100/HG32,0)</f>
        <v>0</v>
      </c>
      <c r="HH39" s="129">
        <f>ROUND(COUNTIF(HH2:HH31,"G")*100/HH32,0)</f>
        <v>0</v>
      </c>
      <c r="HI39" s="129">
        <f>ROUND(COUNTIF(HI2:HI31,"G")*100/HI32,0)</f>
        <v>0</v>
      </c>
      <c r="HJ39" s="129">
        <f>ROUND(COUNTIF(HJ2:HJ31,"G")*100/HJ32,0)</f>
        <v>0</v>
      </c>
      <c r="HK39" s="129">
        <f>ROUND(COUNTIF(HK2:HK31,"G")*100/HK32,0)</f>
        <v>0</v>
      </c>
      <c r="HL39" s="129">
        <f>ROUND(COUNTIF(HL2:HL31,"G")*100/HL32,0)</f>
        <v>0</v>
      </c>
      <c r="HM39" s="129">
        <f>ROUND(COUNTIF(HM2:HM31,"G")*100/HM32,0)</f>
        <v>0</v>
      </c>
      <c r="HN39" s="129">
        <f>ROUND(COUNTIF(HN2:HN31,"G")*100/HN32,0)</f>
        <v>0</v>
      </c>
      <c r="HO39" s="129">
        <f>ROUND(COUNTIF(HO2:HO31,"G")*100/HO32,0)</f>
        <v>0</v>
      </c>
      <c r="HP39" s="129">
        <f>ROUND(COUNTIF(HP2:HP31,"G")*100/HP32,0)</f>
        <v>0</v>
      </c>
      <c r="HQ39" s="129">
        <f>ROUND(COUNTIF(HQ2:HQ31,"G")*100/HQ32,0)</f>
        <v>0</v>
      </c>
      <c r="HR39" s="129">
        <f>ROUND(COUNTIF(HR2:HR31,"G")*100/HR32,0)</f>
        <v>17</v>
      </c>
      <c r="HS39" s="129">
        <f>ROUND(COUNTIF(HS2:HS31,"G")*100/HS32,0)</f>
        <v>0</v>
      </c>
      <c r="HT39" s="129">
        <f>ROUND(COUNTIF(HT2:HT31,"G")*100/HT32,0)</f>
        <v>0</v>
      </c>
      <c r="HU39" s="129">
        <f>ROUND(COUNTIF(HU2:HU31,"G")*100/HU32,0)</f>
        <v>3</v>
      </c>
      <c r="HV39" s="142">
        <f>ROUND(COUNTIF(HV2:HV31,"G")*100/HV32,0)</f>
        <v>27</v>
      </c>
      <c r="HW39" s="129">
        <f>ROUND(COUNTIF(HW2:HW31,"G")*100/HW32,0)</f>
        <v>0</v>
      </c>
      <c r="HX39" s="129">
        <f>ROUND(COUNTIF(HX2:HX31,"G")*100/HX32,0)</f>
        <v>0</v>
      </c>
      <c r="HY39" s="129">
        <f>ROUND(COUNTIF(HY2:HY31,"G")*100/HY32,0)</f>
        <v>0</v>
      </c>
      <c r="HZ39" s="129">
        <f>ROUND(COUNTIF(HZ2:HZ31,"G")*100/HZ32,0)</f>
        <v>0</v>
      </c>
      <c r="IA39" s="129">
        <f>ROUND(COUNTIF(IA2:IA31,"G")*100/IA32,0)</f>
        <v>0</v>
      </c>
      <c r="IB39" s="129">
        <f>ROUND(COUNTIF(IB2:IB31,"G")*100/IB32,0)</f>
        <v>0</v>
      </c>
      <c r="IC39" s="129">
        <f>ROUND(COUNTIF(IC2:IC31,"G")*100/IC32,0)</f>
        <v>0</v>
      </c>
      <c r="ID39" s="129">
        <f>ROUND(COUNTIF(ID2:ID31,"G")*100/ID32,0)</f>
        <v>0</v>
      </c>
      <c r="IE39" s="129">
        <f>ROUND(COUNTIF(IE2:IE31,"G")*100/IE32,0)</f>
        <v>0</v>
      </c>
      <c r="IF39" s="129">
        <f>ROUND(COUNTIF(IF2:IF31,"G")*100/IF32,0)</f>
        <v>0</v>
      </c>
      <c r="IG39" s="129">
        <f>ROUND(COUNTIF(IG2:IG31,"G")*100/IG32,0)</f>
        <v>0</v>
      </c>
      <c r="IH39" s="129">
        <f>ROUND(COUNTIF(IH2:IH31,"G")*100/IH32,0)</f>
        <v>0</v>
      </c>
      <c r="II39" s="129">
        <f>ROUND(COUNTIF(II2:II31,"G")*100/II32,0)</f>
        <v>0</v>
      </c>
      <c r="IJ39" s="129">
        <f>ROUND(COUNTIF(IJ2:IJ31,"G")*100/IJ32,0)</f>
        <v>0</v>
      </c>
      <c r="IK39" s="129">
        <f>ROUND(COUNTIF(IK2:IK31,"G")*100/IK32,0)</f>
        <v>0</v>
      </c>
      <c r="IL39" s="129">
        <f>ROUND(COUNTIF(IL2:IL31,"G")*100/IL32,0)</f>
        <v>0</v>
      </c>
      <c r="IM39" s="129">
        <f>ROUND(COUNTIF(IM2:IM31,"G")*100/IM32,0)</f>
        <v>0</v>
      </c>
      <c r="IN39" s="129">
        <f>ROUND(COUNTIF(IN2:IN31,"G")*100/IN32,0)</f>
        <v>0</v>
      </c>
      <c r="IO39" s="129">
        <f>ROUND(COUNTIF(IO2:IO31,"G")*100/IO32,0)</f>
        <v>0</v>
      </c>
      <c r="IP39" s="129">
        <f>ROUND(COUNTIF(IP2:IP31,"G")*100/IP32,0)</f>
        <v>0</v>
      </c>
      <c r="IQ39" s="129">
        <f>ROUND(COUNTIF(IQ2:IQ31,"G")*100/IQ32,0)</f>
        <v>0</v>
      </c>
      <c r="IR39" s="129">
        <f>ROUND(COUNTIF(IR2:IR31,"G")*100/IR32,0)</f>
        <v>0</v>
      </c>
      <c r="IS39" s="129">
        <f>ROUND(COUNTIF(IS2:IS31,"G")*100/IS32,0)</f>
        <v>0</v>
      </c>
      <c r="IT39" s="129">
        <f>ROUND(COUNTIF(IT2:IT31,"G")*100/IT32,0)</f>
        <v>0</v>
      </c>
      <c r="IU39" s="129">
        <f>ROUND(COUNTIF(IU2:IU31,"G")*100/IU32,0)</f>
        <v>0</v>
      </c>
      <c r="IV39" s="129">
        <f>ROUND(COUNTIF(IV2:IV31,"G")*100/IV32,0)</f>
        <v>0</v>
      </c>
      <c r="IW39" s="129">
        <f>ROUND(COUNTIF(IW2:IW31,"G")*100/IW32,0)</f>
        <v>0</v>
      </c>
      <c r="IX39" s="129">
        <f>ROUND(COUNTIF(IX2:IX31,"G")*100/IX32,0)</f>
        <v>0</v>
      </c>
      <c r="IY39" s="129">
        <f>ROUND(COUNTIF(IY2:IY31,"G")*100/IY32,0)</f>
        <v>0</v>
      </c>
      <c r="IZ39" s="129">
        <f>ROUND(COUNTIF(IZ2:IZ31,"G")*100/IZ32,0)</f>
        <v>0</v>
      </c>
      <c r="JA39" s="129">
        <f>ROUND(COUNTIF(JA2:JA31,"G")*100/JA32,0)</f>
        <v>0</v>
      </c>
      <c r="JB39" s="129">
        <f>ROUND(COUNTIF(JB2:JB31,"G")*100/JB32,0)</f>
        <v>0</v>
      </c>
      <c r="JC39" s="129">
        <f>ROUND(COUNTIF(JC2:JC31,"G")*100/JC32,0)</f>
        <v>0</v>
      </c>
      <c r="JD39" s="129">
        <f>ROUND(COUNTIF(JD2:JD31,"G")*100/JD32,0)</f>
        <v>0</v>
      </c>
      <c r="JE39" s="129">
        <f>ROUND(COUNTIF(JE2:JE31,"G")*100/JE32,0)</f>
        <v>0</v>
      </c>
      <c r="JF39" s="129">
        <f>ROUND(COUNTIF(JF2:JF31,"G")*100/JF32,0)</f>
        <v>0</v>
      </c>
      <c r="JG39" s="129">
        <f>ROUND(COUNTIF(JG2:JG31,"G")*100/JG32,0)</f>
        <v>0</v>
      </c>
      <c r="JH39" s="129">
        <f>ROUND(COUNTIF(JH2:JH31,"G")*100/JH32,0)</f>
        <v>0</v>
      </c>
      <c r="JI39" s="129">
        <f>ROUND(COUNTIF(JI2:JI31,"G")*100/JI32,0)</f>
        <v>0</v>
      </c>
      <c r="JJ39" s="129">
        <f>ROUND(COUNTIF(JJ2:JJ31,"G")*100/JJ32,0)</f>
        <v>0</v>
      </c>
      <c r="JK39" s="129">
        <f>ROUND(COUNTIF(JK2:JK31,"G")*100/JK32,0)</f>
        <v>0</v>
      </c>
      <c r="JL39" s="129">
        <f>ROUND(COUNTIF(JL2:JL31,"G")*100/JL32,0)</f>
        <v>0</v>
      </c>
      <c r="JM39" s="129">
        <f>ROUND(COUNTIF(JM2:JM31,"G")*100/JM32,0)</f>
        <v>0</v>
      </c>
      <c r="JN39" s="129">
        <f>ROUND(COUNTIF(JN2:JN31,"G")*100/JN32,0)</f>
        <v>0</v>
      </c>
      <c r="JO39" s="129">
        <f>ROUND(COUNTIF(JO2:JO31,"G")*100/JO32,0)</f>
        <v>0</v>
      </c>
      <c r="JP39" s="129">
        <f>ROUND(COUNTIF(JP2:JP31,"G")*100/JP32,0)</f>
        <v>0</v>
      </c>
      <c r="JQ39" s="129">
        <f>ROUND(COUNTIF(JQ2:JQ31,"G")*100/JQ32,0)</f>
        <v>0</v>
      </c>
      <c r="JR39" s="129">
        <f>ROUND(COUNTIF(JR2:JR31,"G")*100/JR32,0)</f>
        <v>0</v>
      </c>
      <c r="JS39" s="129">
        <f>ROUND(COUNTIF(JS2:JS31,"G")*100/JS32,0)</f>
        <v>0</v>
      </c>
      <c r="JT39" s="129">
        <f>ROUND(COUNTIF(JT2:JT31,"G")*100/JT32,0)</f>
        <v>0</v>
      </c>
    </row>
    <row r="40" spans="4:280" s="65" customFormat="1" x14ac:dyDescent="0.35">
      <c r="D40" s="139" t="s">
        <v>345</v>
      </c>
      <c r="L40" s="138"/>
      <c r="EQ40" s="129">
        <f>COUNTBLANK(EQ2:EQ31)</f>
        <v>0</v>
      </c>
      <c r="ER40" s="129">
        <f>COUNTBLANK(ER2:ER31)</f>
        <v>0</v>
      </c>
      <c r="ES40" s="129">
        <f>COUNTBLANK(ES2:ES31)</f>
        <v>0</v>
      </c>
      <c r="ET40" s="129">
        <f>COUNTBLANK(ET2:ET31)</f>
        <v>0</v>
      </c>
      <c r="EU40" s="129">
        <f>COUNTBLANK(EU2:EU31)</f>
        <v>0</v>
      </c>
      <c r="EV40" s="129">
        <f>COUNTBLANK(EV2:EV31)</f>
        <v>0</v>
      </c>
      <c r="EW40" s="129">
        <f>COUNTBLANK(EW2:EW31)</f>
        <v>0</v>
      </c>
      <c r="EX40" s="129">
        <f>COUNTBLANK(EX2:EX31)</f>
        <v>0</v>
      </c>
      <c r="EY40" s="129">
        <f>COUNTBLANK(EY2:EY31)</f>
        <v>0</v>
      </c>
      <c r="EZ40" s="129">
        <f>COUNTBLANK(EZ2:EZ31)</f>
        <v>0</v>
      </c>
      <c r="FA40" s="129">
        <f>COUNTBLANK(FA2:FA31)</f>
        <v>1</v>
      </c>
      <c r="FB40" s="129">
        <f>COUNTBLANK(FB2:FB31)</f>
        <v>0</v>
      </c>
      <c r="FC40" s="129">
        <f>COUNTBLANK(FC2:FC31)</f>
        <v>0</v>
      </c>
      <c r="FD40" s="129">
        <f>COUNTBLANK(FD2:FD31)</f>
        <v>0</v>
      </c>
      <c r="FE40" s="129">
        <f>COUNTBLANK(FE2:FE31)</f>
        <v>0</v>
      </c>
      <c r="FF40" s="129">
        <f>COUNTBLANK(FF2:FF31)</f>
        <v>0</v>
      </c>
      <c r="FG40" s="129">
        <f>COUNTBLANK(FG2:FG31)</f>
        <v>0</v>
      </c>
      <c r="FH40" s="129">
        <f>COUNTBLANK(FH2:FH31)</f>
        <v>0</v>
      </c>
      <c r="FI40" s="129">
        <f>COUNTBLANK(FI2:FI31)</f>
        <v>0</v>
      </c>
      <c r="FJ40" s="129">
        <f>COUNTBLANK(FJ2:FJ31)</f>
        <v>0</v>
      </c>
      <c r="FK40" s="129">
        <f>COUNTBLANK(FK2:FK31)</f>
        <v>0</v>
      </c>
      <c r="FL40" s="129">
        <f>COUNTBLANK(FL2:FL31)</f>
        <v>0</v>
      </c>
      <c r="FM40" s="129">
        <f>COUNTBLANK(FM2:FM31)</f>
        <v>0</v>
      </c>
      <c r="FN40" s="129">
        <f>COUNTBLANK(FN2:FN31)</f>
        <v>0</v>
      </c>
      <c r="FO40" s="129">
        <f>COUNTBLANK(FO2:FO31)</f>
        <v>0</v>
      </c>
      <c r="FP40" s="129">
        <f>COUNTBLANK(FP2:FP31)</f>
        <v>0</v>
      </c>
      <c r="FQ40" s="129">
        <f>COUNTBLANK(FQ2:FQ31)</f>
        <v>0</v>
      </c>
      <c r="FR40" s="129">
        <f>COUNTBLANK(FR2:FR31)</f>
        <v>0</v>
      </c>
      <c r="FS40" s="129">
        <f>COUNTBLANK(FS2:FS31)</f>
        <v>0</v>
      </c>
      <c r="FT40" s="129">
        <f>COUNTBLANK(FT2:FT31)</f>
        <v>0</v>
      </c>
      <c r="FU40" s="129">
        <f>COUNTBLANK(FU2:FU31)</f>
        <v>0</v>
      </c>
      <c r="FV40" s="129">
        <f>COUNTBLANK(FV2:FV31)</f>
        <v>0</v>
      </c>
      <c r="FW40" s="129">
        <f>COUNTBLANK(FW2:FW31)</f>
        <v>0</v>
      </c>
      <c r="FX40" s="129">
        <f>COUNTBLANK(FX2:FX31)</f>
        <v>0</v>
      </c>
      <c r="FY40" s="129">
        <f>COUNTBLANK(FY2:FY31)</f>
        <v>0</v>
      </c>
      <c r="FZ40" s="129">
        <f>COUNTBLANK(FZ2:FZ31)</f>
        <v>0</v>
      </c>
      <c r="GA40" s="129">
        <f>COUNTBLANK(GA2:GA31)</f>
        <v>1</v>
      </c>
      <c r="GB40" s="129">
        <f>COUNTBLANK(GB2:GB31)</f>
        <v>0</v>
      </c>
      <c r="GC40" s="129">
        <f>COUNTBLANK(GC2:GC31)</f>
        <v>0</v>
      </c>
      <c r="GD40" s="129">
        <f>COUNTBLANK(GD2:GD31)</f>
        <v>0</v>
      </c>
      <c r="GE40" s="129">
        <f>COUNTBLANK(GE2:GE31)</f>
        <v>0</v>
      </c>
      <c r="GF40" s="129">
        <f>COUNTBLANK(GF2:GF31)</f>
        <v>0</v>
      </c>
      <c r="GG40" s="129">
        <f>COUNTBLANK(GG2:GG31)</f>
        <v>0</v>
      </c>
      <c r="GH40" s="129">
        <f>COUNTBLANK(GH2:GH31)</f>
        <v>0</v>
      </c>
      <c r="GI40" s="129">
        <f>COUNTBLANK(GI2:GI31)</f>
        <v>0</v>
      </c>
      <c r="GJ40" s="129">
        <f>COUNTBLANK(GJ2:GJ31)</f>
        <v>0</v>
      </c>
      <c r="GK40" s="129">
        <f>COUNTBLANK(GK2:GK31)</f>
        <v>0</v>
      </c>
      <c r="GL40" s="129">
        <f>COUNTBLANK(GL2:GL31)</f>
        <v>1</v>
      </c>
      <c r="GM40" s="129">
        <f>COUNTBLANK(GM2:GM31)</f>
        <v>0</v>
      </c>
      <c r="GN40" s="129">
        <f>COUNTBLANK(GN2:GN31)</f>
        <v>0</v>
      </c>
      <c r="GO40" s="129">
        <f>COUNTBLANK(GO2:GO31)</f>
        <v>0</v>
      </c>
      <c r="GP40" s="129">
        <f>COUNTBLANK(GP2:GP31)</f>
        <v>0</v>
      </c>
      <c r="GQ40" s="129">
        <f>COUNTBLANK(GQ2:GQ31)</f>
        <v>0</v>
      </c>
      <c r="GR40" s="129">
        <f>COUNTBLANK(GR2:GR31)</f>
        <v>0</v>
      </c>
      <c r="GS40" s="129">
        <f>COUNTBLANK(GS2:GS31)</f>
        <v>0</v>
      </c>
      <c r="GT40" s="129">
        <f>COUNTBLANK(GT2:GT31)</f>
        <v>0</v>
      </c>
      <c r="GU40" s="129">
        <f>COUNTBLANK(GU2:GU31)</f>
        <v>0</v>
      </c>
      <c r="GV40" s="129">
        <f>COUNTBLANK(GV2:GV31)</f>
        <v>0</v>
      </c>
      <c r="GW40" s="129">
        <f>COUNTBLANK(GW2:GW31)</f>
        <v>0</v>
      </c>
      <c r="GX40" s="129">
        <f>COUNTBLANK(GX2:GX31)</f>
        <v>0</v>
      </c>
      <c r="GY40" s="129">
        <f>COUNTBLANK(GY2:GY31)</f>
        <v>0</v>
      </c>
      <c r="GZ40" s="129">
        <f>COUNTBLANK(GZ2:GZ31)</f>
        <v>0</v>
      </c>
      <c r="HA40" s="129">
        <f>COUNTBLANK(HA2:HA31)</f>
        <v>0</v>
      </c>
      <c r="HB40" s="129">
        <f>COUNTBLANK(HB2:HB31)</f>
        <v>0</v>
      </c>
      <c r="HC40" s="129">
        <f>COUNTBLANK(HC2:HC31)</f>
        <v>0</v>
      </c>
      <c r="HD40" s="129">
        <f>COUNTBLANK(HD2:HD31)</f>
        <v>0</v>
      </c>
      <c r="HE40" s="129">
        <f>COUNTBLANK(HE2:HE31)</f>
        <v>0</v>
      </c>
      <c r="HF40" s="129">
        <f>COUNTBLANK(HF2:HF31)</f>
        <v>0</v>
      </c>
      <c r="HG40" s="129">
        <f>COUNTBLANK(HG2:HG31)</f>
        <v>0</v>
      </c>
      <c r="HH40" s="129">
        <f>COUNTBLANK(HH2:HH31)</f>
        <v>0</v>
      </c>
      <c r="HI40" s="129">
        <f>COUNTBLANK(HI2:HI31)</f>
        <v>1</v>
      </c>
      <c r="HJ40" s="129">
        <f>COUNTBLANK(HJ2:HJ31)</f>
        <v>0</v>
      </c>
      <c r="HK40" s="129">
        <f>COUNTBLANK(HK2:HK31)</f>
        <v>0</v>
      </c>
      <c r="HL40" s="129">
        <f>COUNTBLANK(HL2:HL31)</f>
        <v>0</v>
      </c>
      <c r="HM40" s="129">
        <f>COUNTBLANK(HM2:HM31)</f>
        <v>0</v>
      </c>
      <c r="HN40" s="129">
        <f>COUNTBLANK(HN2:HN31)</f>
        <v>0</v>
      </c>
      <c r="HO40" s="129">
        <f>COUNTBLANK(HO2:HO31)</f>
        <v>0</v>
      </c>
      <c r="HP40" s="129">
        <f>COUNTBLANK(HP2:HP31)</f>
        <v>0</v>
      </c>
      <c r="HQ40" s="129">
        <f>COUNTBLANK(HQ2:HQ31)</f>
        <v>0</v>
      </c>
      <c r="HR40" s="129">
        <f>COUNTBLANK(HR2:HR31)</f>
        <v>0</v>
      </c>
      <c r="HS40" s="129">
        <f>COUNTBLANK(HS2:HS31)</f>
        <v>0</v>
      </c>
      <c r="HT40" s="129">
        <f>COUNTBLANK(HT2:HT31)</f>
        <v>0</v>
      </c>
      <c r="HU40" s="129">
        <f>COUNTBLANK(HU2:HU31)</f>
        <v>0</v>
      </c>
      <c r="HV40" s="129">
        <f>COUNTBLANK(HV2:HV31)</f>
        <v>0</v>
      </c>
      <c r="HW40" s="129">
        <f>COUNTBLANK(HW2:HW31)</f>
        <v>0</v>
      </c>
      <c r="HX40" s="129">
        <f>COUNTBLANK(HX2:HX31)</f>
        <v>0</v>
      </c>
      <c r="HY40" s="129">
        <f>COUNTBLANK(HY2:HY31)</f>
        <v>0</v>
      </c>
      <c r="HZ40" s="129">
        <f>COUNTBLANK(HZ2:HZ31)</f>
        <v>0</v>
      </c>
      <c r="IA40" s="129">
        <f>COUNTBLANK(IA2:IA31)</f>
        <v>0</v>
      </c>
      <c r="IB40" s="129">
        <f>COUNTBLANK(IB2:IB31)</f>
        <v>0</v>
      </c>
      <c r="IC40" s="129">
        <f>COUNTBLANK(IC2:IC31)</f>
        <v>0</v>
      </c>
      <c r="ID40" s="129">
        <f>COUNTBLANK(ID2:ID31)</f>
        <v>0</v>
      </c>
      <c r="IE40" s="129">
        <f>COUNTBLANK(IE2:IE31)</f>
        <v>0</v>
      </c>
      <c r="IF40" s="129">
        <f>COUNTBLANK(IF2:IF31)</f>
        <v>0</v>
      </c>
      <c r="IG40" s="129">
        <f>COUNTBLANK(IG2:IG31)</f>
        <v>1</v>
      </c>
      <c r="IH40" s="129">
        <f>COUNTBLANK(IH2:IH31)</f>
        <v>0</v>
      </c>
      <c r="II40" s="129">
        <f>COUNTBLANK(II2:II31)</f>
        <v>0</v>
      </c>
      <c r="IJ40" s="129">
        <f>COUNTBLANK(IJ2:IJ31)</f>
        <v>0</v>
      </c>
      <c r="IK40" s="129">
        <f>COUNTBLANK(IK2:IK31)</f>
        <v>0</v>
      </c>
      <c r="IL40" s="129">
        <f>COUNTBLANK(IL2:IL31)</f>
        <v>0</v>
      </c>
      <c r="IM40" s="129">
        <f>COUNTBLANK(IM2:IM31)</f>
        <v>0</v>
      </c>
      <c r="IN40" s="129">
        <f>COUNTBLANK(IN2:IN31)</f>
        <v>0</v>
      </c>
      <c r="IO40" s="129">
        <f>COUNTBLANK(IO2:IO31)</f>
        <v>0</v>
      </c>
      <c r="IP40" s="129">
        <f>COUNTBLANK(IP2:IP31)</f>
        <v>0</v>
      </c>
      <c r="IQ40" s="129">
        <f>COUNTBLANK(IQ2:IQ31)</f>
        <v>0</v>
      </c>
      <c r="IR40" s="129">
        <f>COUNTBLANK(IR2:IR31)</f>
        <v>0</v>
      </c>
      <c r="IS40" s="129">
        <f>COUNTBLANK(IS2:IS31)</f>
        <v>0</v>
      </c>
      <c r="IT40" s="129">
        <f>COUNTBLANK(IT2:IT31)</f>
        <v>0</v>
      </c>
      <c r="IU40" s="129">
        <f>COUNTBLANK(IU2:IU31)</f>
        <v>0</v>
      </c>
      <c r="IV40" s="129">
        <f>COUNTBLANK(IV2:IV31)</f>
        <v>0</v>
      </c>
      <c r="IW40" s="129">
        <f>COUNTBLANK(IW2:IW31)</f>
        <v>0</v>
      </c>
      <c r="IX40" s="129">
        <f>COUNTBLANK(IX2:IX31)</f>
        <v>0</v>
      </c>
      <c r="IY40" s="129">
        <f>COUNTBLANK(IY2:IY31)</f>
        <v>0</v>
      </c>
      <c r="IZ40" s="129">
        <f>COUNTBLANK(IZ2:IZ31)</f>
        <v>0</v>
      </c>
      <c r="JA40" s="129">
        <f>COUNTBLANK(JA2:JA31)</f>
        <v>0</v>
      </c>
      <c r="JB40" s="129">
        <f>COUNTBLANK(JB2:JB31)</f>
        <v>0</v>
      </c>
      <c r="JC40" s="129">
        <f>COUNTBLANK(JC2:JC31)</f>
        <v>0</v>
      </c>
      <c r="JD40" s="129">
        <f>COUNTBLANK(JD2:JD31)</f>
        <v>0</v>
      </c>
      <c r="JE40" s="129">
        <f>COUNTBLANK(JE2:JE31)</f>
        <v>0</v>
      </c>
      <c r="JF40" s="129">
        <f>COUNTBLANK(JF2:JF31)</f>
        <v>1</v>
      </c>
      <c r="JG40" s="129">
        <f>COUNTBLANK(JG2:JG31)</f>
        <v>0</v>
      </c>
      <c r="JH40" s="129">
        <f>COUNTBLANK(JH2:JH31)</f>
        <v>0</v>
      </c>
      <c r="JI40" s="129">
        <f>COUNTBLANK(JI2:JI31)</f>
        <v>0</v>
      </c>
      <c r="JJ40" s="129">
        <f>COUNTBLANK(JJ2:JJ31)</f>
        <v>0</v>
      </c>
      <c r="JK40" s="129">
        <f>COUNTBLANK(JK2:JK31)</f>
        <v>0</v>
      </c>
      <c r="JL40" s="129">
        <f>COUNTBLANK(JL2:JL31)</f>
        <v>0</v>
      </c>
      <c r="JM40" s="129">
        <f>COUNTBLANK(JM2:JM31)</f>
        <v>0</v>
      </c>
      <c r="JN40" s="129">
        <f>COUNTBLANK(JN2:JN31)</f>
        <v>0</v>
      </c>
      <c r="JO40" s="129">
        <f>COUNTBLANK(JO2:JO31)</f>
        <v>0</v>
      </c>
      <c r="JP40" s="129">
        <f>COUNTBLANK(JP2:JP31)</f>
        <v>0</v>
      </c>
      <c r="JQ40" s="129">
        <f>COUNTBLANK(JQ2:JQ31)</f>
        <v>2</v>
      </c>
      <c r="JR40" s="129">
        <f>COUNTBLANK(JR2:JR31)</f>
        <v>2</v>
      </c>
      <c r="JS40" s="129">
        <f>COUNTBLANK(JS2:JS31)</f>
        <v>1</v>
      </c>
      <c r="JT40" s="129">
        <f>COUNTBLANK(JT2:JT31)</f>
        <v>1</v>
      </c>
    </row>
    <row r="41" spans="4:280" s="65" customFormat="1" x14ac:dyDescent="0.35">
      <c r="D41" s="139" t="s">
        <v>346</v>
      </c>
      <c r="L41" s="138"/>
      <c r="EQ41" s="129">
        <f>EQ32-(COUNTIF(EQ2:EQ31,"A")+COUNTIF(EQ2:EQ31,"B")+COUNTIF(EQ2:EQ31,"C")+COUNTIF(EQ2:EQ31,"D")+COUNTIF(EQ2:EQ31,"E")+COUNTIF(EQ2:EQ31,"F")+COUNTIF(EQ2:EQ31,"G")+EQ40)</f>
        <v>0</v>
      </c>
      <c r="ER41" s="129">
        <f>ER32-(COUNTIF(ER2:ER31,"A")+COUNTIF(ER2:ER31,"B")+COUNTIF(ER2:ER31,"C")+COUNTIF(ER2:ER31,"D")+COUNTIF(ER2:ER31,"E")+COUNTIF(ER2:ER31,"F")+COUNTIF(ER2:ER31,"G")+ER40)</f>
        <v>0</v>
      </c>
      <c r="ES41" s="129">
        <f>ES32-(COUNTIF(ES2:ES31,"A")+COUNTIF(ES2:ES31,"B")+COUNTIF(ES2:ES31,"C")+COUNTIF(ES2:ES31,"D")+COUNTIF(ES2:ES31,"E")+COUNTIF(ES2:ES31,"F")+COUNTIF(ES2:ES31,"G")+ES40)</f>
        <v>0</v>
      </c>
      <c r="ET41" s="129">
        <f>ET32-(COUNTIF(ET2:ET31,"A")+COUNTIF(ET2:ET31,"B")+COUNTIF(ET2:ET31,"C")+COUNTIF(ET2:ET31,"D")+COUNTIF(ET2:ET31,"E")+COUNTIF(ET2:ET31,"F")+COUNTIF(ET2:ET31,"G")+ET40)</f>
        <v>0</v>
      </c>
      <c r="EU41" s="129">
        <f>EU32-(COUNTIF(EU2:EU31,"A")+COUNTIF(EU2:EU31,"B")+COUNTIF(EU2:EU31,"C")+COUNTIF(EU2:EU31,"D")+COUNTIF(EU2:EU31,"E")+COUNTIF(EU2:EU31,"F")+COUNTIF(EU2:EU31,"G")+EU40)</f>
        <v>0</v>
      </c>
      <c r="EV41" s="129">
        <f>EV32-(COUNTIF(EV2:EV31,"A")+COUNTIF(EV2:EV31,"B")+COUNTIF(EV2:EV31,"C")+COUNTIF(EV2:EV31,"D")+COUNTIF(EV2:EV31,"E")+COUNTIF(EV2:EV31,"F")+COUNTIF(EV2:EV31,"G")+EV40)</f>
        <v>0</v>
      </c>
      <c r="EW41" s="129">
        <f>EW32-(COUNTIF(EW2:EW31,"A")+COUNTIF(EW2:EW31,"B")+COUNTIF(EW2:EW31,"C")+COUNTIF(EW2:EW31,"D")+COUNTIF(EW2:EW31,"E")+COUNTIF(EW2:EW31,"F")+COUNTIF(EW2:EW31,"G")+EW40)</f>
        <v>0</v>
      </c>
      <c r="EX41" s="129">
        <f>EX32-(COUNTIF(EX2:EX31,"A")+COUNTIF(EX2:EX31,"B")+COUNTIF(EX2:EX31,"C")+COUNTIF(EX2:EX31,"D")+COUNTIF(EX2:EX31,"E")+COUNTIF(EX2:EX31,"F")+COUNTIF(EX2:EX31,"G")+EX40)</f>
        <v>0</v>
      </c>
      <c r="EY41" s="129">
        <f>EY32-(COUNTIF(EY2:EY31,"A")+COUNTIF(EY2:EY31,"B")+COUNTIF(EY2:EY31,"C")+COUNTIF(EY2:EY31,"D")+COUNTIF(EY2:EY31,"E")+COUNTIF(EY2:EY31,"F")+COUNTIF(EY2:EY31,"G")+EY40)</f>
        <v>0</v>
      </c>
      <c r="EZ41" s="129">
        <f>EZ32-(COUNTIF(EZ2:EZ31,"A")+COUNTIF(EZ2:EZ31,"B")+COUNTIF(EZ2:EZ31,"C")+COUNTIF(EZ2:EZ31,"D")+COUNTIF(EZ2:EZ31,"E")+COUNTIF(EZ2:EZ31,"F")+COUNTIF(EZ2:EZ31,"G")+EZ40)</f>
        <v>0</v>
      </c>
      <c r="FA41" s="129">
        <f>FA32-(COUNTIF(FA2:FA31,"A")+COUNTIF(FA2:FA31,"B")+COUNTIF(FA2:FA31,"C")+COUNTIF(FA2:FA31,"D")+COUNTIF(FA2:FA31,"E")+COUNTIF(FA2:FA31,"F")+COUNTIF(FA2:FA31,"G")+FA40)</f>
        <v>0</v>
      </c>
      <c r="FB41" s="129">
        <f>FB32-(COUNTIF(FB2:FB31,"A")+COUNTIF(FB2:FB31,"B")+COUNTIF(FB2:FB31,"C")+COUNTIF(FB2:FB31,"D")+COUNTIF(FB2:FB31,"E")+COUNTIF(FB2:FB31,"F")+COUNTIF(FB2:FB31,"G")+FB40)</f>
        <v>0</v>
      </c>
      <c r="FC41" s="129">
        <f>FC32-(COUNTIF(FC2:FC31,"A")+COUNTIF(FC2:FC31,"B")+COUNTIF(FC2:FC31,"C")+COUNTIF(FC2:FC31,"D")+COUNTIF(FC2:FC31,"E")+COUNTIF(FC2:FC31,"F")+COUNTIF(FC2:FC31,"G")+FC40)</f>
        <v>0</v>
      </c>
      <c r="FD41" s="129">
        <f>FD32-(COUNTIF(FD2:FD31,"A")+COUNTIF(FD2:FD31,"B")+COUNTIF(FD2:FD31,"C")+COUNTIF(FD2:FD31,"D")+COUNTIF(FD2:FD31,"E")+COUNTIF(FD2:FD31,"F")+COUNTIF(FD2:FD31,"G")+FD40)</f>
        <v>0</v>
      </c>
      <c r="FE41" s="129">
        <f>FE32-(COUNTIF(FE2:FE31,"A")+COUNTIF(FE2:FE31,"B")+COUNTIF(FE2:FE31,"C")+COUNTIF(FE2:FE31,"D")+COUNTIF(FE2:FE31,"E")+COUNTIF(FE2:FE31,"F")+COUNTIF(FE2:FE31,"G")+FE40)</f>
        <v>0</v>
      </c>
      <c r="FF41" s="129">
        <f>FF32-(COUNTIF(FF2:FF31,"A")+COUNTIF(FF2:FF31,"B")+COUNTIF(FF2:FF31,"C")+COUNTIF(FF2:FF31,"D")+COUNTIF(FF2:FF31,"E")+COUNTIF(FF2:FF31,"F")+COUNTIF(FF2:FF31,"G")+FF40)</f>
        <v>0</v>
      </c>
      <c r="FG41" s="129">
        <f>FG32-(COUNTIF(FG2:FG31,"A")+COUNTIF(FG2:FG31,"B")+COUNTIF(FG2:FG31,"C")+COUNTIF(FG2:FG31,"D")+COUNTIF(FG2:FG31,"E")+COUNTIF(FG2:FG31,"F")+COUNTIF(FG2:FG31,"G")+FG40)</f>
        <v>0</v>
      </c>
      <c r="FH41" s="129">
        <f>FH32-(COUNTIF(FH2:FH31,"A")+COUNTIF(FH2:FH31,"B")+COUNTIF(FH2:FH31,"C")+COUNTIF(FH2:FH31,"D")+COUNTIF(FH2:FH31,"E")+COUNTIF(FH2:FH31,"F")+COUNTIF(FH2:FH31,"G")+FH40)</f>
        <v>0</v>
      </c>
      <c r="FI41" s="129">
        <f>FI32-(COUNTIF(FI2:FI31,"A")+COUNTIF(FI2:FI31,"B")+COUNTIF(FI2:FI31,"C")+COUNTIF(FI2:FI31,"D")+COUNTIF(FI2:FI31,"E")+COUNTIF(FI2:FI31,"F")+COUNTIF(FI2:FI31,"G")+FI40)</f>
        <v>0</v>
      </c>
      <c r="FJ41" s="129">
        <f>FJ32-(COUNTIF(FJ2:FJ31,"A")+COUNTIF(FJ2:FJ31,"B")+COUNTIF(FJ2:FJ31,"C")+COUNTIF(FJ2:FJ31,"D")+COUNTIF(FJ2:FJ31,"E")+COUNTIF(FJ2:FJ31,"F")+COUNTIF(FJ2:FJ31,"G")+FJ40)</f>
        <v>0</v>
      </c>
      <c r="FK41" s="129">
        <f>FK32-(COUNTIF(FK2:FK31,"A")+COUNTIF(FK2:FK31,"B")+COUNTIF(FK2:FK31,"C")+COUNTIF(FK2:FK31,"D")+COUNTIF(FK2:FK31,"E")+COUNTIF(FK2:FK31,"F")+COUNTIF(FK2:FK31,"G")+FK40)</f>
        <v>0</v>
      </c>
      <c r="FL41" s="129">
        <f>FL32-(COUNTIF(FL2:FL31,"A")+COUNTIF(FL2:FL31,"B")+COUNTIF(FL2:FL31,"C")+COUNTIF(FL2:FL31,"D")+COUNTIF(FL2:FL31,"E")+COUNTIF(FL2:FL31,"F")+COUNTIF(FL2:FL31,"G")+FL40)</f>
        <v>0</v>
      </c>
      <c r="FM41" s="129">
        <f>FM32-(COUNTIF(FM2:FM31,"A")+COUNTIF(FM2:FM31,"B")+COUNTIF(FM2:FM31,"C")+COUNTIF(FM2:FM31,"D")+COUNTIF(FM2:FM31,"E")+COUNTIF(FM2:FM31,"F")+COUNTIF(FM2:FM31,"G")+FM40)</f>
        <v>0</v>
      </c>
      <c r="FN41" s="129">
        <f>FN32-(COUNTIF(FN2:FN31,"A")+COUNTIF(FN2:FN31,"B")+COUNTIF(FN2:FN31,"C")+COUNTIF(FN2:FN31,"D")+COUNTIF(FN2:FN31,"E")+COUNTIF(FN2:FN31,"F")+COUNTIF(FN2:FN31,"G")+FN40)</f>
        <v>0</v>
      </c>
      <c r="FO41" s="129">
        <f>FO32-(COUNTIF(FO2:FO31,"A")+COUNTIF(FO2:FO31,"B")+COUNTIF(FO2:FO31,"C")+COUNTIF(FO2:FO31,"D")+COUNTIF(FO2:FO31,"E")+COUNTIF(FO2:FO31,"F")+COUNTIF(FO2:FO31,"G")+FO40)</f>
        <v>0</v>
      </c>
      <c r="FP41" s="129">
        <f>FP32-(COUNTIF(FP2:FP31,"A")+COUNTIF(FP2:FP31,"B")+COUNTIF(FP2:FP31,"C")+COUNTIF(FP2:FP31,"D")+COUNTIF(FP2:FP31,"E")+COUNTIF(FP2:FP31,"F")+COUNTIF(FP2:FP31,"G")+FP40)</f>
        <v>0</v>
      </c>
      <c r="FQ41" s="129">
        <f>FQ32-(COUNTIF(FQ2:FQ31,"A")+COUNTIF(FQ2:FQ31,"B")+COUNTIF(FQ2:FQ31,"C")+COUNTIF(FQ2:FQ31,"D")+COUNTIF(FQ2:FQ31,"E")+COUNTIF(FQ2:FQ31,"F")+COUNTIF(FQ2:FQ31,"G")+FQ40)</f>
        <v>0</v>
      </c>
      <c r="FR41" s="129">
        <f>FR32-(COUNTIF(FR2:FR31,"A")+COUNTIF(FR2:FR31,"B")+COUNTIF(FR2:FR31,"C")+COUNTIF(FR2:FR31,"D")+COUNTIF(FR2:FR31,"E")+COUNTIF(FR2:FR31,"F")+COUNTIF(FR2:FR31,"G")+FR40)</f>
        <v>0</v>
      </c>
      <c r="FS41" s="129">
        <f>FS32-(COUNTIF(FS2:FS31,"A")+COUNTIF(FS2:FS31,"B")+COUNTIF(FS2:FS31,"C")+COUNTIF(FS2:FS31,"D")+COUNTIF(FS2:FS31,"E")+COUNTIF(FS2:FS31,"F")+COUNTIF(FS2:FS31,"G")+FS40)</f>
        <v>0</v>
      </c>
      <c r="FT41" s="129">
        <f>FT32-(COUNTIF(FT2:FT31,"A")+COUNTIF(FT2:FT31,"B")+COUNTIF(FT2:FT31,"C")+COUNTIF(FT2:FT31,"D")+COUNTIF(FT2:FT31,"E")+COUNTIF(FT2:FT31,"F")+COUNTIF(FT2:FT31,"G")+FT40)</f>
        <v>0</v>
      </c>
      <c r="FU41" s="129">
        <f>FU32-(COUNTIF(FU2:FU31,"A")+COUNTIF(FU2:FU31,"B")+COUNTIF(FU2:FU31,"C")+COUNTIF(FU2:FU31,"D")+COUNTIF(FU2:FU31,"E")+COUNTIF(FU2:FU31,"F")+COUNTIF(FU2:FU31,"G")+FU40)</f>
        <v>0</v>
      </c>
      <c r="FV41" s="129">
        <f>FV32-(COUNTIF(FV2:FV31,"A")+COUNTIF(FV2:FV31,"B")+COUNTIF(FV2:FV31,"C")+COUNTIF(FV2:FV31,"D")+COUNTIF(FV2:FV31,"E")+COUNTIF(FV2:FV31,"F")+COUNTIF(FV2:FV31,"G")+FV40)</f>
        <v>0</v>
      </c>
      <c r="FW41" s="129">
        <f>FW32-(COUNTIF(FW2:FW31,"A")+COUNTIF(FW2:FW31,"B")+COUNTIF(FW2:FW31,"C")+COUNTIF(FW2:FW31,"D")+COUNTIF(FW2:FW31,"E")+COUNTIF(FW2:FW31,"F")+COUNTIF(FW2:FW31,"G")+FW40)</f>
        <v>0</v>
      </c>
      <c r="FX41" s="129">
        <f>FX32-(COUNTIF(FX2:FX31,"A")+COUNTIF(FX2:FX31,"B")+COUNTIF(FX2:FX31,"C")+COUNTIF(FX2:FX31,"D")+COUNTIF(FX2:FX31,"E")+COUNTIF(FX2:FX31,"F")+COUNTIF(FX2:FX31,"G")+FX40)</f>
        <v>0</v>
      </c>
      <c r="FY41" s="129">
        <f>FY32-(COUNTIF(FY2:FY31,"A")+COUNTIF(FY2:FY31,"B")+COUNTIF(FY2:FY31,"C")+COUNTIF(FY2:FY31,"D")+COUNTIF(FY2:FY31,"E")+COUNTIF(FY2:FY31,"F")+COUNTIF(FY2:FY31,"G")+FY40)</f>
        <v>0</v>
      </c>
      <c r="FZ41" s="129">
        <f>FZ32-(COUNTIF(FZ2:FZ31,"A")+COUNTIF(FZ2:FZ31,"B")+COUNTIF(FZ2:FZ31,"C")+COUNTIF(FZ2:FZ31,"D")+COUNTIF(FZ2:FZ31,"E")+COUNTIF(FZ2:FZ31,"F")+COUNTIF(FZ2:FZ31,"G")+FZ40)</f>
        <v>0</v>
      </c>
      <c r="GA41" s="129">
        <f>GA32-(COUNTIF(GA2:GA31,"A")+COUNTIF(GA2:GA31,"B")+COUNTIF(GA2:GA31,"C")+COUNTIF(GA2:GA31,"D")+COUNTIF(GA2:GA31,"E")+COUNTIF(GA2:GA31,"F")+COUNTIF(GA2:GA31,"G")+GA40)</f>
        <v>0</v>
      </c>
      <c r="GB41" s="129">
        <f>GB32-(COUNTIF(GB2:GB31,"A")+COUNTIF(GB2:GB31,"B")+COUNTIF(GB2:GB31,"C")+COUNTIF(GB2:GB31,"D")+COUNTIF(GB2:GB31,"E")+COUNTIF(GB2:GB31,"F")+COUNTIF(GB2:GB31,"G")+GB40)</f>
        <v>0</v>
      </c>
      <c r="GC41" s="129">
        <f>GC32-(COUNTIF(GC2:GC31,"A")+COUNTIF(GC2:GC31,"B")+COUNTIF(GC2:GC31,"C")+COUNTIF(GC2:GC31,"D")+COUNTIF(GC2:GC31,"E")+COUNTIF(GC2:GC31,"F")+COUNTIF(GC2:GC31,"G")+GC40)</f>
        <v>0</v>
      </c>
      <c r="GD41" s="129">
        <f>GD32-(COUNTIF(GD2:GD31,"A")+COUNTIF(GD2:GD31,"B")+COUNTIF(GD2:GD31,"C")+COUNTIF(GD2:GD31,"D")+COUNTIF(GD2:GD31,"E")+COUNTIF(GD2:GD31,"F")+COUNTIF(GD2:GD31,"G")+GD40)</f>
        <v>0</v>
      </c>
      <c r="GE41" s="129">
        <f>GE32-(COUNTIF(GE2:GE31,"A")+COUNTIF(GE2:GE31,"B")+COUNTIF(GE2:GE31,"C")+COUNTIF(GE2:GE31,"D")+COUNTIF(GE2:GE31,"E")+COUNTIF(GE2:GE31,"F")+COUNTIF(GE2:GE31,"G")+GE40)</f>
        <v>0</v>
      </c>
      <c r="GF41" s="129">
        <f>GF32-(COUNTIF(GF2:GF31,"A")+COUNTIF(GF2:GF31,"B")+COUNTIF(GF2:GF31,"C")+COUNTIF(GF2:GF31,"D")+COUNTIF(GF2:GF31,"E")+COUNTIF(GF2:GF31,"F")+COUNTIF(GF2:GF31,"G")+GF40)</f>
        <v>0</v>
      </c>
      <c r="GG41" s="129">
        <f>GG32-(COUNTIF(GG2:GG31,"A")+COUNTIF(GG2:GG31,"B")+COUNTIF(GG2:GG31,"C")+COUNTIF(GG2:GG31,"D")+COUNTIF(GG2:GG31,"E")+COUNTIF(GG2:GG31,"F")+COUNTIF(GG2:GG31,"G")+GG40)</f>
        <v>0</v>
      </c>
      <c r="GH41" s="129">
        <f>GH32-(COUNTIF(GH2:GH31,"A")+COUNTIF(GH2:GH31,"B")+COUNTIF(GH2:GH31,"C")+COUNTIF(GH2:GH31,"D")+COUNTIF(GH2:GH31,"E")+COUNTIF(GH2:GH31,"F")+COUNTIF(GH2:GH31,"G")+GH40)</f>
        <v>0</v>
      </c>
      <c r="GI41" s="129">
        <f>GI32-(COUNTIF(GI2:GI31,"A")+COUNTIF(GI2:GI31,"B")+COUNTIF(GI2:GI31,"C")+COUNTIF(GI2:GI31,"D")+COUNTIF(GI2:GI31,"E")+COUNTIF(GI2:GI31,"F")+COUNTIF(GI2:GI31,"G")+GI40)</f>
        <v>0</v>
      </c>
      <c r="GJ41" s="129">
        <f>GJ32-(COUNTIF(GJ2:GJ31,"A")+COUNTIF(GJ2:GJ31,"B")+COUNTIF(GJ2:GJ31,"C")+COUNTIF(GJ2:GJ31,"D")+COUNTIF(GJ2:GJ31,"E")+COUNTIF(GJ2:GJ31,"F")+COUNTIF(GJ2:GJ31,"G")+GJ40)</f>
        <v>0</v>
      </c>
      <c r="GK41" s="129">
        <f>GK32-(COUNTIF(GK2:GK31,"A")+COUNTIF(GK2:GK31,"B")+COUNTIF(GK2:GK31,"C")+COUNTIF(GK2:GK31,"D")+COUNTIF(GK2:GK31,"E")+COUNTIF(GK2:GK31,"F")+COUNTIF(GK2:GK31,"G")+GK40)</f>
        <v>0</v>
      </c>
      <c r="GL41" s="129">
        <f>GL32-(COUNTIF(GL2:GL31,"A")+COUNTIF(GL2:GL31,"B")+COUNTIF(GL2:GL31,"C")+COUNTIF(GL2:GL31,"D")+COUNTIF(GL2:GL31,"E")+COUNTIF(GL2:GL31,"F")+COUNTIF(GL2:GL31,"G")+GL40)</f>
        <v>0</v>
      </c>
      <c r="GM41" s="129">
        <f>GM32-(COUNTIF(GM2:GM31,"A")+COUNTIF(GM2:GM31,"B")+COUNTIF(GM2:GM31,"C")+COUNTIF(GM2:GM31,"D")+COUNTIF(GM2:GM31,"E")+COUNTIF(GM2:GM31,"F")+COUNTIF(GM2:GM31,"G")+GM40)</f>
        <v>0</v>
      </c>
      <c r="GN41" s="129">
        <f>GN32-(COUNTIF(GN2:GN31,"A")+COUNTIF(GN2:GN31,"B")+COUNTIF(GN2:GN31,"C")+COUNTIF(GN2:GN31,"D")+COUNTIF(GN2:GN31,"E")+COUNTIF(GN2:GN31,"F")+COUNTIF(GN2:GN31,"G")+GN40)</f>
        <v>0</v>
      </c>
      <c r="GO41" s="129">
        <f>GO32-(COUNTIF(GO2:GO31,"A")+COUNTIF(GO2:GO31,"B")+COUNTIF(GO2:GO31,"C")+COUNTIF(GO2:GO31,"D")+COUNTIF(GO2:GO31,"E")+COUNTIF(GO2:GO31,"F")+COUNTIF(GO2:GO31,"G")+GO40)</f>
        <v>0</v>
      </c>
      <c r="GP41" s="129">
        <f>GP32-(COUNTIF(GP2:GP31,"A")+COUNTIF(GP2:GP31,"B")+COUNTIF(GP2:GP31,"C")+COUNTIF(GP2:GP31,"D")+COUNTIF(GP2:GP31,"E")+COUNTIF(GP2:GP31,"F")+COUNTIF(GP2:GP31,"G")+GP40)</f>
        <v>0</v>
      </c>
      <c r="GQ41" s="129">
        <f>GQ32-(COUNTIF(GQ2:GQ31,"A")+COUNTIF(GQ2:GQ31,"B")+COUNTIF(GQ2:GQ31,"C")+COUNTIF(GQ2:GQ31,"D")+COUNTIF(GQ2:GQ31,"E")+COUNTIF(GQ2:GQ31,"F")+COUNTIF(GQ2:GQ31,"G")+GQ40)</f>
        <v>0</v>
      </c>
      <c r="GR41" s="129">
        <f>GR32-(COUNTIF(GR2:GR31,"A")+COUNTIF(GR2:GR31,"B")+COUNTIF(GR2:GR31,"C")+COUNTIF(GR2:GR31,"D")+COUNTIF(GR2:GR31,"E")+COUNTIF(GR2:GR31,"F")+COUNTIF(GR2:GR31,"G")+GR40)</f>
        <v>0</v>
      </c>
      <c r="GS41" s="129">
        <f>GS32-(COUNTIF(GS2:GS31,"A")+COUNTIF(GS2:GS31,"B")+COUNTIF(GS2:GS31,"C")+COUNTIF(GS2:GS31,"D")+COUNTIF(GS2:GS31,"E")+COUNTIF(GS2:GS31,"F")+COUNTIF(GS2:GS31,"G")+GS40)</f>
        <v>0</v>
      </c>
      <c r="GT41" s="129">
        <f>GT32-(COUNTIF(GT2:GT31,"A")+COUNTIF(GT2:GT31,"B")+COUNTIF(GT2:GT31,"C")+COUNTIF(GT2:GT31,"D")+COUNTIF(GT2:GT31,"E")+COUNTIF(GT2:GT31,"F")+COUNTIF(GT2:GT31,"G")+GT40)</f>
        <v>0</v>
      </c>
      <c r="GU41" s="129">
        <f>GU32-(COUNTIF(GU2:GU31,"A")+COUNTIF(GU2:GU31,"B")+COUNTIF(GU2:GU31,"C")+COUNTIF(GU2:GU31,"D")+COUNTIF(GU2:GU31,"E")+COUNTIF(GU2:GU31,"F")+COUNTIF(GU2:GU31,"G")+GU40)</f>
        <v>0</v>
      </c>
      <c r="GV41" s="129">
        <f>GV32-(COUNTIF(GV2:GV31,"A")+COUNTIF(GV2:GV31,"B")+COUNTIF(GV2:GV31,"C")+COUNTIF(GV2:GV31,"D")+COUNTIF(GV2:GV31,"E")+COUNTIF(GV2:GV31,"F")+COUNTIF(GV2:GV31,"G")+GV40)</f>
        <v>0</v>
      </c>
      <c r="GW41" s="129">
        <f>GW32-(COUNTIF(GW2:GW31,"A")+COUNTIF(GW2:GW31,"B")+COUNTIF(GW2:GW31,"C")+COUNTIF(GW2:GW31,"D")+COUNTIF(GW2:GW31,"E")+COUNTIF(GW2:GW31,"F")+COUNTIF(GW2:GW31,"G")+GW40)</f>
        <v>0</v>
      </c>
      <c r="GX41" s="129">
        <f>GX32-(COUNTIF(GX2:GX31,"A")+COUNTIF(GX2:GX31,"B")+COUNTIF(GX2:GX31,"C")+COUNTIF(GX2:GX31,"D")+COUNTIF(GX2:GX31,"E")+COUNTIF(GX2:GX31,"F")+COUNTIF(GX2:GX31,"G")+GX40)</f>
        <v>0</v>
      </c>
      <c r="GY41" s="129">
        <f>GY32-(COUNTIF(GY2:GY31,"A")+COUNTIF(GY2:GY31,"B")+COUNTIF(GY2:GY31,"C")+COUNTIF(GY2:GY31,"D")+COUNTIF(GY2:GY31,"E")+COUNTIF(GY2:GY31,"F")+COUNTIF(GY2:GY31,"G")+GY40)</f>
        <v>0</v>
      </c>
      <c r="GZ41" s="129">
        <f>GZ32-(COUNTIF(GZ2:GZ31,"A")+COUNTIF(GZ2:GZ31,"B")+COUNTIF(GZ2:GZ31,"C")+COUNTIF(GZ2:GZ31,"D")+COUNTIF(GZ2:GZ31,"E")+COUNTIF(GZ2:GZ31,"F")+COUNTIF(GZ2:GZ31,"G")+GZ40)</f>
        <v>0</v>
      </c>
      <c r="HA41" s="129">
        <f>HA32-(COUNTIF(HA2:HA31,"A")+COUNTIF(HA2:HA31,"B")+COUNTIF(HA2:HA31,"C")+COUNTIF(HA2:HA31,"D")+COUNTIF(HA2:HA31,"E")+COUNTIF(HA2:HA31,"F")+COUNTIF(HA2:HA31,"G")+HA40)</f>
        <v>0</v>
      </c>
      <c r="HB41" s="129">
        <f>HB32-(COUNTIF(HB2:HB31,"A")+COUNTIF(HB2:HB31,"B")+COUNTIF(HB2:HB31,"C")+COUNTIF(HB2:HB31,"D")+COUNTIF(HB2:HB31,"E")+COUNTIF(HB2:HB31,"F")+COUNTIF(HB2:HB31,"G")+HB40)</f>
        <v>0</v>
      </c>
      <c r="HC41" s="129">
        <f>HC32-(COUNTIF(HC2:HC31,"A")+COUNTIF(HC2:HC31,"B")+COUNTIF(HC2:HC31,"C")+COUNTIF(HC2:HC31,"D")+COUNTIF(HC2:HC31,"E")+COUNTIF(HC2:HC31,"F")+COUNTIF(HC2:HC31,"G")+HC40)</f>
        <v>0</v>
      </c>
      <c r="HD41" s="129">
        <f>HD32-(COUNTIF(HD2:HD31,"A")+COUNTIF(HD2:HD31,"B")+COUNTIF(HD2:HD31,"C")+COUNTIF(HD2:HD31,"D")+COUNTIF(HD2:HD31,"E")+COUNTIF(HD2:HD31,"F")+COUNTIF(HD2:HD31,"G")+HD40)</f>
        <v>0</v>
      </c>
      <c r="HE41" s="129">
        <f>HE32-(COUNTIF(HE2:HE31,"A")+COUNTIF(HE2:HE31,"B")+COUNTIF(HE2:HE31,"C")+COUNTIF(HE2:HE31,"D")+COUNTIF(HE2:HE31,"E")+COUNTIF(HE2:HE31,"F")+COUNTIF(HE2:HE31,"G")+HE40)</f>
        <v>0</v>
      </c>
      <c r="HF41" s="129">
        <f>HF32-(COUNTIF(HF2:HF31,"A")+COUNTIF(HF2:HF31,"B")+COUNTIF(HF2:HF31,"C")+COUNTIF(HF2:HF31,"D")+COUNTIF(HF2:HF31,"E")+COUNTIF(HF2:HF31,"F")+COUNTIF(HF2:HF31,"G")+HF40)</f>
        <v>0</v>
      </c>
      <c r="HG41" s="129">
        <f>HG32-(COUNTIF(HG2:HG31,"A")+COUNTIF(HG2:HG31,"B")+COUNTIF(HG2:HG31,"C")+COUNTIF(HG2:HG31,"D")+COUNTIF(HG2:HG31,"E")+COUNTIF(HG2:HG31,"F")+COUNTIF(HG2:HG31,"G")+HG40)</f>
        <v>0</v>
      </c>
      <c r="HH41" s="129">
        <f>HH32-(COUNTIF(HH2:HH31,"A")+COUNTIF(HH2:HH31,"B")+COUNTIF(HH2:HH31,"C")+COUNTIF(HH2:HH31,"D")+COUNTIF(HH2:HH31,"E")+COUNTIF(HH2:HH31,"F")+COUNTIF(HH2:HH31,"G")+HH40)</f>
        <v>0</v>
      </c>
      <c r="HI41" s="129">
        <f>HI32-(COUNTIF(HI2:HI31,"A")+COUNTIF(HI2:HI31,"B")+COUNTIF(HI2:HI31,"C")+COUNTIF(HI2:HI31,"D")+COUNTIF(HI2:HI31,"E")+COUNTIF(HI2:HI31,"F")+COUNTIF(HI2:HI31,"G")+HI40)</f>
        <v>0</v>
      </c>
      <c r="HJ41" s="129">
        <f>HJ32-(COUNTIF(HJ2:HJ31,"A")+COUNTIF(HJ2:HJ31,"B")+COUNTIF(HJ2:HJ31,"C")+COUNTIF(HJ2:HJ31,"D")+COUNTIF(HJ2:HJ31,"E")+COUNTIF(HJ2:HJ31,"F")+COUNTIF(HJ2:HJ31,"G")+HJ40)</f>
        <v>0</v>
      </c>
      <c r="HK41" s="129">
        <f>HK32-(COUNTIF(HK2:HK31,"A")+COUNTIF(HK2:HK31,"B")+COUNTIF(HK2:HK31,"C")+COUNTIF(HK2:HK31,"D")+COUNTIF(HK2:HK31,"E")+COUNTIF(HK2:HK31,"F")+COUNTIF(HK2:HK31,"G")+HK40)</f>
        <v>0</v>
      </c>
      <c r="HL41" s="129">
        <f>HL32-(COUNTIF(HL2:HL31,"A")+COUNTIF(HL2:HL31,"B")+COUNTIF(HL2:HL31,"C")+COUNTIF(HL2:HL31,"D")+COUNTIF(HL2:HL31,"E")+COUNTIF(HL2:HL31,"F")+COUNTIF(HL2:HL31,"G")+HL40)</f>
        <v>0</v>
      </c>
      <c r="HM41" s="129">
        <f>HM32-(COUNTIF(HM2:HM31,"A")+COUNTIF(HM2:HM31,"B")+COUNTIF(HM2:HM31,"C")+COUNTIF(HM2:HM31,"D")+COUNTIF(HM2:HM31,"E")+COUNTIF(HM2:HM31,"F")+COUNTIF(HM2:HM31,"G")+HM40)</f>
        <v>0</v>
      </c>
      <c r="HN41" s="129">
        <f>HN32-(COUNTIF(HN2:HN31,"A")+COUNTIF(HN2:HN31,"B")+COUNTIF(HN2:HN31,"C")+COUNTIF(HN2:HN31,"D")+COUNTIF(HN2:HN31,"E")+COUNTIF(HN2:HN31,"F")+COUNTIF(HN2:HN31,"G")+HN40)</f>
        <v>0</v>
      </c>
      <c r="HO41" s="129">
        <f>HO32-(COUNTIF(HO2:HO31,"A")+COUNTIF(HO2:HO31,"B")+COUNTIF(HO2:HO31,"C")+COUNTIF(HO2:HO31,"D")+COUNTIF(HO2:HO31,"E")+COUNTIF(HO2:HO31,"F")+COUNTIF(HO2:HO31,"G")+HO40)</f>
        <v>0</v>
      </c>
      <c r="HP41" s="129">
        <f>HP32-(COUNTIF(HP2:HP31,"A")+COUNTIF(HP2:HP31,"B")+COUNTIF(HP2:HP31,"C")+COUNTIF(HP2:HP31,"D")+COUNTIF(HP2:HP31,"E")+COUNTIF(HP2:HP31,"F")+COUNTIF(HP2:HP31,"G")+HP40)</f>
        <v>0</v>
      </c>
      <c r="HQ41" s="129">
        <f>HQ32-(COUNTIF(HQ2:HQ31,"A")+COUNTIF(HQ2:HQ31,"B")+COUNTIF(HQ2:HQ31,"C")+COUNTIF(HQ2:HQ31,"D")+COUNTIF(HQ2:HQ31,"E")+COUNTIF(HQ2:HQ31,"F")+COUNTIF(HQ2:HQ31,"G")+HQ40)</f>
        <v>0</v>
      </c>
      <c r="HR41" s="129">
        <f>HR32-(COUNTIF(HR2:HR31,"A")+COUNTIF(HR2:HR31,"B")+COUNTIF(HR2:HR31,"C")+COUNTIF(HR2:HR31,"D")+COUNTIF(HR2:HR31,"E")+COUNTIF(HR2:HR31,"F")+COUNTIF(HR2:HR31,"G")+HR40)</f>
        <v>0</v>
      </c>
      <c r="HS41" s="129">
        <f>HS32-(COUNTIF(HS2:HS31,"A")+COUNTIF(HS2:HS31,"B")+COUNTIF(HS2:HS31,"C")+COUNTIF(HS2:HS31,"D")+COUNTIF(HS2:HS31,"E")+COUNTIF(HS2:HS31,"F")+COUNTIF(HS2:HS31,"G")+HS40)</f>
        <v>1</v>
      </c>
      <c r="HT41" s="129">
        <f>HT32-(COUNTIF(HT2:HT31,"A")+COUNTIF(HT2:HT31,"B")+COUNTIF(HT2:HT31,"C")+COUNTIF(HT2:HT31,"D")+COUNTIF(HT2:HT31,"E")+COUNTIF(HT2:HT31,"F")+COUNTIF(HT2:HT31,"G")+HT40)</f>
        <v>0</v>
      </c>
      <c r="HU41" s="129">
        <f>HU32-(COUNTIF(HU2:HU31,"A")+COUNTIF(HU2:HU31,"B")+COUNTIF(HU2:HU31,"C")+COUNTIF(HU2:HU31,"D")+COUNTIF(HU2:HU31,"E")+COUNTIF(HU2:HU31,"F")+COUNTIF(HU2:HU31,"G")+HU40)</f>
        <v>1</v>
      </c>
      <c r="HV41" s="129">
        <f>HV32-(COUNTIF(HV2:HV31,"A")+COUNTIF(HV2:HV31,"B")+COUNTIF(HV2:HV31,"C")+COUNTIF(HV2:HV31,"D")+COUNTIF(HV2:HV31,"E")+COUNTIF(HV2:HV31,"F")+COUNTIF(HV2:HV31,"G")+HV40)</f>
        <v>0</v>
      </c>
      <c r="HW41" s="129">
        <f>HW32-(COUNTIF(HW2:HW31,"A")+COUNTIF(HW2:HW31,"B")+COUNTIF(HW2:HW31,"C")+COUNTIF(HW2:HW31,"D")+COUNTIF(HW2:HW31,"E")+COUNTIF(HW2:HW31,"F")+COUNTIF(HW2:HW31,"G")+HW40)</f>
        <v>0</v>
      </c>
      <c r="HX41" s="129">
        <f>HX32-(COUNTIF(HX2:HX31,"A")+COUNTIF(HX2:HX31,"B")+COUNTIF(HX2:HX31,"C")+COUNTIF(HX2:HX31,"D")+COUNTIF(HX2:HX31,"E")+COUNTIF(HX2:HX31,"F")+COUNTIF(HX2:HX31,"G")+HX40)</f>
        <v>0</v>
      </c>
      <c r="HY41" s="129">
        <f>HY32-(COUNTIF(HY2:HY31,"A")+COUNTIF(HY2:HY31,"B")+COUNTIF(HY2:HY31,"C")+COUNTIF(HY2:HY31,"D")+COUNTIF(HY2:HY31,"E")+COUNTIF(HY2:HY31,"F")+COUNTIF(HY2:HY31,"G")+HY40)</f>
        <v>0</v>
      </c>
      <c r="HZ41" s="129">
        <f>HZ32-(COUNTIF(HZ2:HZ31,"A")+COUNTIF(HZ2:HZ31,"B")+COUNTIF(HZ2:HZ31,"C")+COUNTIF(HZ2:HZ31,"D")+COUNTIF(HZ2:HZ31,"E")+COUNTIF(HZ2:HZ31,"F")+COUNTIF(HZ2:HZ31,"G")+HZ40)</f>
        <v>0</v>
      </c>
      <c r="IA41" s="129">
        <f>IA32-(COUNTIF(IA2:IA31,"A")+COUNTIF(IA2:IA31,"B")+COUNTIF(IA2:IA31,"C")+COUNTIF(IA2:IA31,"D")+COUNTIF(IA2:IA31,"E")+COUNTIF(IA2:IA31,"F")+COUNTIF(IA2:IA31,"G")+IA40)</f>
        <v>0</v>
      </c>
      <c r="IB41" s="129">
        <f>IB32-(COUNTIF(IB2:IB31,"A")+COUNTIF(IB2:IB31,"B")+COUNTIF(IB2:IB31,"C")+COUNTIF(IB2:IB31,"D")+COUNTIF(IB2:IB31,"E")+COUNTIF(IB2:IB31,"F")+COUNTIF(IB2:IB31,"G")+IB40)</f>
        <v>0</v>
      </c>
      <c r="IC41" s="129">
        <f>IC32-(COUNTIF(IC2:IC31,"A")+COUNTIF(IC2:IC31,"B")+COUNTIF(IC2:IC31,"C")+COUNTIF(IC2:IC31,"D")+COUNTIF(IC2:IC31,"E")+COUNTIF(IC2:IC31,"F")+COUNTIF(IC2:IC31,"G")+IC40)</f>
        <v>0</v>
      </c>
      <c r="ID41" s="129">
        <f>ID32-(COUNTIF(ID2:ID31,"A")+COUNTIF(ID2:ID31,"B")+COUNTIF(ID2:ID31,"C")+COUNTIF(ID2:ID31,"D")+COUNTIF(ID2:ID31,"E")+COUNTIF(ID2:ID31,"F")+COUNTIF(ID2:ID31,"G")+ID40)</f>
        <v>0</v>
      </c>
      <c r="IE41" s="129">
        <f>IE32-(COUNTIF(IE2:IE31,"A")+COUNTIF(IE2:IE31,"B")+COUNTIF(IE2:IE31,"C")+COUNTIF(IE2:IE31,"D")+COUNTIF(IE2:IE31,"E")+COUNTIF(IE2:IE31,"F")+COUNTIF(IE2:IE31,"G")+IE40)</f>
        <v>0</v>
      </c>
      <c r="IF41" s="129">
        <f>IF32-(COUNTIF(IF2:IF31,"A")+COUNTIF(IF2:IF31,"B")+COUNTIF(IF2:IF31,"C")+COUNTIF(IF2:IF31,"D")+COUNTIF(IF2:IF31,"E")+COUNTIF(IF2:IF31,"F")+COUNTIF(IF2:IF31,"G")+IF40)</f>
        <v>0</v>
      </c>
      <c r="IG41" s="129">
        <f>IG32-(COUNTIF(IG2:IG31,"A")+COUNTIF(IG2:IG31,"B")+COUNTIF(IG2:IG31,"C")+COUNTIF(IG2:IG31,"D")+COUNTIF(IG2:IG31,"E")+COUNTIF(IG2:IG31,"F")+COUNTIF(IG2:IG31,"G")+IG40)</f>
        <v>0</v>
      </c>
      <c r="IH41" s="129">
        <f>IH32-(COUNTIF(IH2:IH31,"A")+COUNTIF(IH2:IH31,"B")+COUNTIF(IH2:IH31,"C")+COUNTIF(IH2:IH31,"D")+COUNTIF(IH2:IH31,"E")+COUNTIF(IH2:IH31,"F")+COUNTIF(IH2:IH31,"G")+IH40)</f>
        <v>0</v>
      </c>
      <c r="II41" s="129">
        <f>II32-(COUNTIF(II2:II31,"A")+COUNTIF(II2:II31,"B")+COUNTIF(II2:II31,"C")+COUNTIF(II2:II31,"D")+COUNTIF(II2:II31,"E")+COUNTIF(II2:II31,"F")+COUNTIF(II2:II31,"G")+II40)</f>
        <v>0</v>
      </c>
      <c r="IJ41" s="129">
        <f>IJ32-(COUNTIF(IJ2:IJ31,"A")+COUNTIF(IJ2:IJ31,"B")+COUNTIF(IJ2:IJ31,"C")+COUNTIF(IJ2:IJ31,"D")+COUNTIF(IJ2:IJ31,"E")+COUNTIF(IJ2:IJ31,"F")+COUNTIF(IJ2:IJ31,"G")+IJ40)</f>
        <v>0</v>
      </c>
      <c r="IK41" s="129">
        <f>IK32-(COUNTIF(IK2:IK31,"A")+COUNTIF(IK2:IK31,"B")+COUNTIF(IK2:IK31,"C")+COUNTIF(IK2:IK31,"D")+COUNTIF(IK2:IK31,"E")+COUNTIF(IK2:IK31,"F")+COUNTIF(IK2:IK31,"G")+IK40)</f>
        <v>0</v>
      </c>
      <c r="IL41" s="129">
        <f>IL32-(COUNTIF(IL2:IL31,"A")+COUNTIF(IL2:IL31,"B")+COUNTIF(IL2:IL31,"C")+COUNTIF(IL2:IL31,"D")+COUNTIF(IL2:IL31,"E")+COUNTIF(IL2:IL31,"F")+COUNTIF(IL2:IL31,"G")+IL40)</f>
        <v>0</v>
      </c>
      <c r="IM41" s="129">
        <f>IM32-(COUNTIF(IM2:IM31,"A")+COUNTIF(IM2:IM31,"B")+COUNTIF(IM2:IM31,"C")+COUNTIF(IM2:IM31,"D")+COUNTIF(IM2:IM31,"E")+COUNTIF(IM2:IM31,"F")+COUNTIF(IM2:IM31,"G")+IM40)</f>
        <v>0</v>
      </c>
      <c r="IN41" s="129">
        <f>IN32-(COUNTIF(IN2:IN31,"A")+COUNTIF(IN2:IN31,"B")+COUNTIF(IN2:IN31,"C")+COUNTIF(IN2:IN31,"D")+COUNTIF(IN2:IN31,"E")+COUNTIF(IN2:IN31,"F")+COUNTIF(IN2:IN31,"G")+IN40)</f>
        <v>0</v>
      </c>
      <c r="IO41" s="129">
        <f>IO32-(COUNTIF(IO2:IO31,"A")+COUNTIF(IO2:IO31,"B")+COUNTIF(IO2:IO31,"C")+COUNTIF(IO2:IO31,"D")+COUNTIF(IO2:IO31,"E")+COUNTIF(IO2:IO31,"F")+COUNTIF(IO2:IO31,"G")+IO40)</f>
        <v>0</v>
      </c>
      <c r="IP41" s="129">
        <f>IP32-(COUNTIF(IP2:IP31,"A")+COUNTIF(IP2:IP31,"B")+COUNTIF(IP2:IP31,"C")+COUNTIF(IP2:IP31,"D")+COUNTIF(IP2:IP31,"E")+COUNTIF(IP2:IP31,"F")+COUNTIF(IP2:IP31,"G")+IP40)</f>
        <v>0</v>
      </c>
      <c r="IQ41" s="129">
        <f>IQ32-(COUNTIF(IQ2:IQ31,"A")+COUNTIF(IQ2:IQ31,"B")+COUNTIF(IQ2:IQ31,"C")+COUNTIF(IQ2:IQ31,"D")+COUNTIF(IQ2:IQ31,"E")+COUNTIF(IQ2:IQ31,"F")+COUNTIF(IQ2:IQ31,"G")+IQ40)</f>
        <v>0</v>
      </c>
      <c r="IR41" s="129">
        <f>IR32-(COUNTIF(IR2:IR31,"A")+COUNTIF(IR2:IR31,"B")+COUNTIF(IR2:IR31,"C")+COUNTIF(IR2:IR31,"D")+COUNTIF(IR2:IR31,"E")+COUNTIF(IR2:IR31,"F")+COUNTIF(IR2:IR31,"G")+IR40)</f>
        <v>0</v>
      </c>
      <c r="IS41" s="129">
        <f>IS32-(COUNTIF(IS2:IS31,"A")+COUNTIF(IS2:IS31,"B")+COUNTIF(IS2:IS31,"C")+COUNTIF(IS2:IS31,"D")+COUNTIF(IS2:IS31,"E")+COUNTIF(IS2:IS31,"F")+COUNTIF(IS2:IS31,"G")+IS40)</f>
        <v>0</v>
      </c>
      <c r="IT41" s="129">
        <f>IT32-(COUNTIF(IT2:IT31,"A")+COUNTIF(IT2:IT31,"B")+COUNTIF(IT2:IT31,"C")+COUNTIF(IT2:IT31,"D")+COUNTIF(IT2:IT31,"E")+COUNTIF(IT2:IT31,"F")+COUNTIF(IT2:IT31,"G")+IT40)</f>
        <v>0</v>
      </c>
      <c r="IU41" s="129">
        <f>IU32-(COUNTIF(IU2:IU31,"A")+COUNTIF(IU2:IU31,"B")+COUNTIF(IU2:IU31,"C")+COUNTIF(IU2:IU31,"D")+COUNTIF(IU2:IU31,"E")+COUNTIF(IU2:IU31,"F")+COUNTIF(IU2:IU31,"G")+IU40)</f>
        <v>0</v>
      </c>
      <c r="IV41" s="129">
        <f>IV32-(COUNTIF(IV2:IV31,"A")+COUNTIF(IV2:IV31,"B")+COUNTIF(IV2:IV31,"C")+COUNTIF(IV2:IV31,"D")+COUNTIF(IV2:IV31,"E")+COUNTIF(IV2:IV31,"F")+COUNTIF(IV2:IV31,"G")+IV40)</f>
        <v>0</v>
      </c>
      <c r="IW41" s="129">
        <f>IW32-(COUNTIF(IW2:IW31,"A")+COUNTIF(IW2:IW31,"B")+COUNTIF(IW2:IW31,"C")+COUNTIF(IW2:IW31,"D")+COUNTIF(IW2:IW31,"E")+COUNTIF(IW2:IW31,"F")+COUNTIF(IW2:IW31,"G")+IW40)</f>
        <v>0</v>
      </c>
      <c r="IX41" s="129">
        <f>IX32-(COUNTIF(IX2:IX31,"A")+COUNTIF(IX2:IX31,"B")+COUNTIF(IX2:IX31,"C")+COUNTIF(IX2:IX31,"D")+COUNTIF(IX2:IX31,"E")+COUNTIF(IX2:IX31,"F")+COUNTIF(IX2:IX31,"G")+IX40)</f>
        <v>0</v>
      </c>
      <c r="IY41" s="129">
        <f>IY32-(COUNTIF(IY2:IY31,"A")+COUNTIF(IY2:IY31,"B")+COUNTIF(IY2:IY31,"C")+COUNTIF(IY2:IY31,"D")+COUNTIF(IY2:IY31,"E")+COUNTIF(IY2:IY31,"F")+COUNTIF(IY2:IY31,"G")+IY40)</f>
        <v>0</v>
      </c>
      <c r="IZ41" s="129">
        <f>IZ32-(COUNTIF(IZ2:IZ31,"A")+COUNTIF(IZ2:IZ31,"B")+COUNTIF(IZ2:IZ31,"C")+COUNTIF(IZ2:IZ31,"D")+COUNTIF(IZ2:IZ31,"E")+COUNTIF(IZ2:IZ31,"F")+COUNTIF(IZ2:IZ31,"G")+IZ40)</f>
        <v>0</v>
      </c>
      <c r="JA41" s="129">
        <f>JA32-(COUNTIF(JA2:JA31,"A")+COUNTIF(JA2:JA31,"B")+COUNTIF(JA2:JA31,"C")+COUNTIF(JA2:JA31,"D")+COUNTIF(JA2:JA31,"E")+COUNTIF(JA2:JA31,"F")+COUNTIF(JA2:JA31,"G")+JA40)</f>
        <v>0</v>
      </c>
      <c r="JB41" s="129">
        <f>JB32-(COUNTIF(JB2:JB31,"A")+COUNTIF(JB2:JB31,"B")+COUNTIF(JB2:JB31,"C")+COUNTIF(JB2:JB31,"D")+COUNTIF(JB2:JB31,"E")+COUNTIF(JB2:JB31,"F")+COUNTIF(JB2:JB31,"G")+JB40)</f>
        <v>0</v>
      </c>
      <c r="JC41" s="129">
        <f>JC32-(COUNTIF(JC2:JC31,"A")+COUNTIF(JC2:JC31,"B")+COUNTIF(JC2:JC31,"C")+COUNTIF(JC2:JC31,"D")+COUNTIF(JC2:JC31,"E")+COUNTIF(JC2:JC31,"F")+COUNTIF(JC2:JC31,"G")+JC40)</f>
        <v>0</v>
      </c>
      <c r="JD41" s="129">
        <f>JD32-(COUNTIF(JD2:JD31,"A")+COUNTIF(JD2:JD31,"B")+COUNTIF(JD2:JD31,"C")+COUNTIF(JD2:JD31,"D")+COUNTIF(JD2:JD31,"E")+COUNTIF(JD2:JD31,"F")+COUNTIF(JD2:JD31,"G")+JD40)</f>
        <v>0</v>
      </c>
      <c r="JE41" s="129">
        <f>JE32-(COUNTIF(JE2:JE31,"A")+COUNTIF(JE2:JE31,"B")+COUNTIF(JE2:JE31,"C")+COUNTIF(JE2:JE31,"D")+COUNTIF(JE2:JE31,"E")+COUNTIF(JE2:JE31,"F")+COUNTIF(JE2:JE31,"G")+JE40)</f>
        <v>0</v>
      </c>
      <c r="JF41" s="129">
        <f>JF32-(COUNTIF(JF2:JF31,"A")+COUNTIF(JF2:JF31,"B")+COUNTIF(JF2:JF31,"C")+COUNTIF(JF2:JF31,"D")+COUNTIF(JF2:JF31,"E")+COUNTIF(JF2:JF31,"F")+COUNTIF(JF2:JF31,"G")+JF40)</f>
        <v>0</v>
      </c>
      <c r="JG41" s="129">
        <f>JG32-(COUNTIF(JG2:JG31,"A")+COUNTIF(JG2:JG31,"B")+COUNTIF(JG2:JG31,"C")+COUNTIF(JG2:JG31,"D")+COUNTIF(JG2:JG31,"E")+COUNTIF(JG2:JG31,"F")+COUNTIF(JG2:JG31,"G")+JG40)</f>
        <v>0</v>
      </c>
      <c r="JH41" s="129">
        <f>JH32-(COUNTIF(JH2:JH31,"A")+COUNTIF(JH2:JH31,"B")+COUNTIF(JH2:JH31,"C")+COUNTIF(JH2:JH31,"D")+COUNTIF(JH2:JH31,"E")+COUNTIF(JH2:JH31,"F")+COUNTIF(JH2:JH31,"G")+JH40)</f>
        <v>0</v>
      </c>
      <c r="JI41" s="129">
        <f>JI32-(COUNTIF(JI2:JI31,"A")+COUNTIF(JI2:JI31,"B")+COUNTIF(JI2:JI31,"C")+COUNTIF(JI2:JI31,"D")+COUNTIF(JI2:JI31,"E")+COUNTIF(JI2:JI31,"F")+COUNTIF(JI2:JI31,"G")+JI40)</f>
        <v>0</v>
      </c>
      <c r="JJ41" s="129">
        <f>JJ32-(COUNTIF(JJ2:JJ31,"A")+COUNTIF(JJ2:JJ31,"B")+COUNTIF(JJ2:JJ31,"C")+COUNTIF(JJ2:JJ31,"D")+COUNTIF(JJ2:JJ31,"E")+COUNTIF(JJ2:JJ31,"F")+COUNTIF(JJ2:JJ31,"G")+JJ40)</f>
        <v>0</v>
      </c>
      <c r="JK41" s="129">
        <f>JK32-(COUNTIF(JK2:JK31,"A")+COUNTIF(JK2:JK31,"B")+COUNTIF(JK2:JK31,"C")+COUNTIF(JK2:JK31,"D")+COUNTIF(JK2:JK31,"E")+COUNTIF(JK2:JK31,"F")+COUNTIF(JK2:JK31,"G")+JK40)</f>
        <v>0</v>
      </c>
      <c r="JL41" s="129">
        <f>JL32-(COUNTIF(JL2:JL31,"A")+COUNTIF(JL2:JL31,"B")+COUNTIF(JL2:JL31,"C")+COUNTIF(JL2:JL31,"D")+COUNTIF(JL2:JL31,"E")+COUNTIF(JL2:JL31,"F")+COUNTIF(JL2:JL31,"G")+JL40)</f>
        <v>1</v>
      </c>
      <c r="JM41" s="129">
        <f>JM32-(COUNTIF(JM2:JM31,"A")+COUNTIF(JM2:JM31,"B")+COUNTIF(JM2:JM31,"C")+COUNTIF(JM2:JM31,"D")+COUNTIF(JM2:JM31,"E")+COUNTIF(JM2:JM31,"F")+COUNTIF(JM2:JM31,"G")+JM40)</f>
        <v>0</v>
      </c>
      <c r="JN41" s="129">
        <f>JN32-(COUNTIF(JN2:JN31,"A")+COUNTIF(JN2:JN31,"B")+COUNTIF(JN2:JN31,"C")+COUNTIF(JN2:JN31,"D")+COUNTIF(JN2:JN31,"E")+COUNTIF(JN2:JN31,"F")+COUNTIF(JN2:JN31,"G")+JN40)</f>
        <v>0</v>
      </c>
      <c r="JO41" s="129">
        <f>JO32-(COUNTIF(JO2:JO31,"A")+COUNTIF(JO2:JO31,"B")+COUNTIF(JO2:JO31,"C")+COUNTIF(JO2:JO31,"D")+COUNTIF(JO2:JO31,"E")+COUNTIF(JO2:JO31,"F")+COUNTIF(JO2:JO31,"G")+JO40)</f>
        <v>0</v>
      </c>
      <c r="JP41" s="129">
        <f>JP32-(COUNTIF(JP2:JP31,"A")+COUNTIF(JP2:JP31,"B")+COUNTIF(JP2:JP31,"C")+COUNTIF(JP2:JP31,"D")+COUNTIF(JP2:JP31,"E")+COUNTIF(JP2:JP31,"F")+COUNTIF(JP2:JP31,"G")+JP40)</f>
        <v>0</v>
      </c>
      <c r="JQ41" s="129">
        <f>JQ32-(COUNTIF(JQ2:JQ31,"A")+COUNTIF(JQ2:JQ31,"B")+COUNTIF(JQ2:JQ31,"C")+COUNTIF(JQ2:JQ31,"D")+COUNTIF(JQ2:JQ31,"E")+COUNTIF(JQ2:JQ31,"F")+COUNTIF(JQ2:JQ31,"G")+JQ40)</f>
        <v>0</v>
      </c>
      <c r="JR41" s="129">
        <f>JR32-(COUNTIF(JR2:JR31,"A")+COUNTIF(JR2:JR31,"B")+COUNTIF(JR2:JR31,"C")+COUNTIF(JR2:JR31,"D")+COUNTIF(JR2:JR31,"E")+COUNTIF(JR2:JR31,"F")+COUNTIF(JR2:JR31,"G")+JR40)</f>
        <v>0</v>
      </c>
      <c r="JS41" s="129">
        <f>JS32-(COUNTIF(JS2:JS31,"A")+COUNTIF(JS2:JS31,"B")+COUNTIF(JS2:JS31,"C")+COUNTIF(JS2:JS31,"D")+COUNTIF(JS2:JS31,"E")+COUNTIF(JS2:JS31,"F")+COUNTIF(JS2:JS31,"G")+JS40)</f>
        <v>0</v>
      </c>
      <c r="JT41" s="129">
        <f>JT32-(COUNTIF(JT2:JT31,"A")+COUNTIF(JT2:JT31,"B")+COUNTIF(JT2:JT31,"C")+COUNTIF(JT2:JT31,"D")+COUNTIF(JT2:JT31,"E")+COUNTIF(JT2:JT31,"F")+COUNTIF(JT2:JT31,"G")+JT40)</f>
        <v>0</v>
      </c>
    </row>
    <row r="43" spans="4:280" x14ac:dyDescent="0.35">
      <c r="HZ43" s="6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F47"/>
  <sheetViews>
    <sheetView zoomScale="94" zoomScaleNormal="94" workbookViewId="0">
      <pane xSplit="2" ySplit="1" topLeftCell="C22" activePane="bottomRight" state="frozen"/>
      <selection pane="topRight" activeCell="C1" sqref="C1"/>
      <selection pane="bottomLeft" activeCell="A2" sqref="A2"/>
      <selection pane="bottomRight" activeCell="A32" sqref="A32:XFD214"/>
    </sheetView>
  </sheetViews>
  <sheetFormatPr baseColWidth="10" defaultColWidth="10.81640625" defaultRowHeight="14.5" x14ac:dyDescent="0.35"/>
  <cols>
    <col min="1" max="1" width="42.54296875" style="1" bestFit="1" customWidth="1"/>
    <col min="2" max="2" width="6.81640625" style="1" bestFit="1" customWidth="1"/>
    <col min="3" max="3" width="4.08984375" style="1" bestFit="1" customWidth="1"/>
    <col min="4" max="4" width="4" style="1" customWidth="1"/>
    <col min="5" max="5" width="4.1796875" style="1" customWidth="1"/>
    <col min="6" max="6" width="3.90625" style="1" customWidth="1"/>
    <col min="7" max="7" width="3.81640625" style="1" customWidth="1"/>
    <col min="8" max="8" width="3.90625" style="1" customWidth="1"/>
    <col min="9" max="9" width="4.1796875" style="1" customWidth="1"/>
    <col min="10" max="11" width="3.90625" style="1" customWidth="1"/>
    <col min="12" max="12" width="4.36328125" style="1" customWidth="1"/>
    <col min="13" max="13" width="3.81640625" style="1" bestFit="1" customWidth="1"/>
    <col min="14" max="14" width="4.36328125" style="1" customWidth="1"/>
    <col min="15" max="15" width="3.81640625" style="1" bestFit="1" customWidth="1"/>
    <col min="16" max="16" width="4.453125" style="1" customWidth="1"/>
    <col min="17" max="17" width="3.81640625" style="1" customWidth="1"/>
    <col min="18" max="18" width="4.36328125" style="1" customWidth="1"/>
    <col min="19" max="19" width="4.08984375" style="1" bestFit="1" customWidth="1"/>
    <col min="20" max="20" width="3.81640625" style="1" bestFit="1" customWidth="1"/>
    <col min="21" max="21" width="4.08984375" style="1" bestFit="1" customWidth="1"/>
    <col min="22" max="22" width="3.81640625" style="1" bestFit="1" customWidth="1"/>
    <col min="23" max="25" width="4.08984375" style="1" bestFit="1" customWidth="1"/>
    <col min="26" max="27" width="3.81640625" style="1" bestFit="1" customWidth="1"/>
    <col min="28" max="28" width="5.81640625" style="3" customWidth="1"/>
    <col min="29" max="29" width="4.1796875" style="3" customWidth="1"/>
    <col min="30" max="30" width="4" style="1" bestFit="1" customWidth="1"/>
    <col min="31" max="32" width="3.81640625" style="1" bestFit="1" customWidth="1"/>
    <col min="33" max="33" width="4.36328125" style="1" customWidth="1"/>
    <col min="34" max="34" width="3.81640625" style="1" bestFit="1" customWidth="1"/>
    <col min="35" max="38" width="4.08984375" style="1" bestFit="1" customWidth="1"/>
    <col min="39" max="39" width="3.81640625" style="1" bestFit="1" customWidth="1"/>
    <col min="40" max="42" width="4.08984375" style="1" bestFit="1" customWidth="1"/>
    <col min="43" max="43" width="4.1796875" style="1" customWidth="1"/>
    <col min="44" max="44" width="4.08984375" style="1" bestFit="1" customWidth="1"/>
    <col min="45" max="45" width="4.26953125" style="1" customWidth="1"/>
    <col min="46" max="50" width="4.08984375" style="1" bestFit="1" customWidth="1"/>
    <col min="51" max="52" width="4.1796875" style="1" customWidth="1"/>
    <col min="53" max="53" width="3.81640625" style="1" bestFit="1" customWidth="1"/>
    <col min="54" max="54" width="4.1796875" style="1" customWidth="1"/>
    <col min="55" max="55" width="4.08984375" style="1" bestFit="1" customWidth="1"/>
    <col min="56" max="56" width="4.1796875" style="1" customWidth="1"/>
    <col min="57" max="64" width="4.08984375" style="1" bestFit="1" customWidth="1"/>
    <col min="65" max="66" width="3.81640625" style="1" bestFit="1" customWidth="1"/>
    <col min="67" max="67" width="4.36328125" style="1" customWidth="1"/>
    <col min="68" max="68" width="4.453125" style="1" customWidth="1"/>
    <col min="69" max="70" width="4.1796875" style="1" customWidth="1"/>
    <col min="71" max="71" width="6.54296875" style="4" customWidth="1"/>
    <col min="72" max="72" width="3.1796875" style="4" bestFit="1" customWidth="1"/>
    <col min="73" max="73" width="4" style="1" bestFit="1" customWidth="1"/>
    <col min="74" max="74" width="3.81640625" style="1" bestFit="1" customWidth="1"/>
    <col min="75" max="75" width="4.1796875" style="1" customWidth="1"/>
    <col min="76" max="77" width="3.81640625" style="1" bestFit="1" customWidth="1"/>
    <col min="78" max="78" width="4" style="1" customWidth="1"/>
    <col min="79" max="79" width="3.81640625" style="1" bestFit="1" customWidth="1"/>
    <col min="80" max="80" width="4.7265625" style="1" customWidth="1"/>
    <col min="81" max="82" width="3.81640625" style="1" bestFit="1" customWidth="1"/>
    <col min="83" max="83" width="4.36328125" style="1" customWidth="1"/>
    <col min="84" max="85" width="3.81640625" style="1" bestFit="1" customWidth="1"/>
    <col min="86" max="86" width="4.26953125" style="1" customWidth="1"/>
    <col min="87" max="87" width="4.6328125" style="1" customWidth="1"/>
    <col min="88" max="92" width="3.81640625" style="1" bestFit="1" customWidth="1"/>
    <col min="93" max="93" width="4.36328125" style="1" customWidth="1"/>
    <col min="94" max="94" width="3.81640625" style="1" bestFit="1" customWidth="1"/>
    <col min="95" max="95" width="4" style="1" customWidth="1"/>
    <col min="96" max="96" width="4.453125" style="1" customWidth="1"/>
    <col min="97" max="97" width="4.08984375" style="1" customWidth="1"/>
    <col min="98" max="98" width="5.54296875" style="5" customWidth="1"/>
    <col min="99" max="99" width="4" style="5" customWidth="1"/>
    <col min="100" max="100" width="4.81640625" style="1" bestFit="1" customWidth="1"/>
    <col min="101" max="106" width="4.81640625" style="1" customWidth="1"/>
    <col min="107" max="107" width="4.81640625" style="1" bestFit="1" customWidth="1"/>
    <col min="108" max="111" width="4.81640625" style="1" customWidth="1"/>
    <col min="112" max="112" width="4.90625" style="13" customWidth="1"/>
    <col min="113" max="113" width="4" style="13" customWidth="1"/>
    <col min="114" max="115" width="4.81640625" style="1" bestFit="1" customWidth="1"/>
    <col min="116" max="116" width="5.08984375" style="1" bestFit="1" customWidth="1"/>
    <col min="117" max="117" width="4.81640625" style="1" bestFit="1" customWidth="1"/>
    <col min="118" max="118" width="5.08984375" style="1" bestFit="1" customWidth="1"/>
    <col min="119" max="119" width="4.81640625" style="1" customWidth="1"/>
    <col min="120" max="120" width="4.81640625" style="11" customWidth="1"/>
    <col min="121" max="121" width="4.7265625" style="11" customWidth="1"/>
    <col min="122" max="126" width="4.81640625" style="1" bestFit="1" customWidth="1"/>
    <col min="127" max="129" width="4.81640625" style="1" customWidth="1"/>
    <col min="130" max="130" width="4.90625" style="12" customWidth="1"/>
    <col min="131" max="131" width="4" style="12" bestFit="1" customWidth="1"/>
    <col min="132" max="133" width="4.81640625" style="1" customWidth="1"/>
    <col min="134" max="134" width="5" style="1" customWidth="1"/>
    <col min="135" max="135" width="5.08984375" style="17" customWidth="1"/>
    <col min="136" max="136" width="4" style="17" bestFit="1" customWidth="1"/>
    <col min="137" max="16384" width="10.81640625" style="1"/>
  </cols>
  <sheetData>
    <row r="1" spans="1:136" x14ac:dyDescent="0.35">
      <c r="A1" s="2" t="s">
        <v>120</v>
      </c>
      <c r="B1" s="1" t="s">
        <v>121</v>
      </c>
      <c r="C1" s="3" t="str">
        <f>in!M1</f>
        <v>P1</v>
      </c>
      <c r="D1" s="3" t="str">
        <f>in!N1</f>
        <v>P2</v>
      </c>
      <c r="E1" s="3" t="str">
        <f>in!O1</f>
        <v>P3</v>
      </c>
      <c r="F1" s="3" t="str">
        <f>in!P1</f>
        <v>P4</v>
      </c>
      <c r="G1" s="3" t="str">
        <f>in!Q1</f>
        <v>P5</v>
      </c>
      <c r="H1" s="3" t="str">
        <f>in!R1</f>
        <v>P6</v>
      </c>
      <c r="I1" s="3" t="str">
        <f>in!S1</f>
        <v>P7</v>
      </c>
      <c r="J1" s="3" t="str">
        <f>in!T1</f>
        <v>P8</v>
      </c>
      <c r="K1" s="3" t="str">
        <f>in!U1</f>
        <v>P9</v>
      </c>
      <c r="L1" s="3" t="str">
        <f>in!V1</f>
        <v>P10</v>
      </c>
      <c r="M1" s="3" t="str">
        <f>in!W1</f>
        <v>P11</v>
      </c>
      <c r="N1" s="3" t="str">
        <f>in!X1</f>
        <v>P12</v>
      </c>
      <c r="O1" s="3" t="str">
        <f>in!Y1</f>
        <v>P13</v>
      </c>
      <c r="P1" s="3" t="str">
        <f>in!Z1</f>
        <v>P14</v>
      </c>
      <c r="Q1" s="3" t="str">
        <f>in!AA1</f>
        <v>P15</v>
      </c>
      <c r="R1" s="3" t="str">
        <f>in!AB1</f>
        <v>P16</v>
      </c>
      <c r="S1" s="3" t="str">
        <f>in!AC1</f>
        <v>P17</v>
      </c>
      <c r="T1" s="3" t="str">
        <f>in!AD1</f>
        <v>P18</v>
      </c>
      <c r="U1" s="3" t="str">
        <f>in!AE1</f>
        <v>P19</v>
      </c>
      <c r="V1" s="3" t="str">
        <f>in!AF1</f>
        <v>P20</v>
      </c>
      <c r="W1" s="3" t="str">
        <f>in!AG1</f>
        <v>P21</v>
      </c>
      <c r="X1" s="3" t="str">
        <f>in!AH1</f>
        <v>P22</v>
      </c>
      <c r="Y1" s="3" t="str">
        <f>in!AI1</f>
        <v>P23</v>
      </c>
      <c r="Z1" s="3" t="str">
        <f>in!AJ1</f>
        <v>P24</v>
      </c>
      <c r="AA1" s="3" t="str">
        <f>in!AK1</f>
        <v>P25</v>
      </c>
      <c r="AB1" s="3" t="s">
        <v>122</v>
      </c>
      <c r="AC1" s="3" t="s">
        <v>123</v>
      </c>
      <c r="AD1" s="4" t="str">
        <f>in!AL1</f>
        <v>P26</v>
      </c>
      <c r="AE1" s="4" t="str">
        <f>in!AM1</f>
        <v>P27</v>
      </c>
      <c r="AF1" s="4" t="str">
        <f>in!AN1</f>
        <v>P28</v>
      </c>
      <c r="AG1" s="4" t="str">
        <f>in!AO1</f>
        <v>P29</v>
      </c>
      <c r="AH1" s="4" t="str">
        <f>in!AP1</f>
        <v>P30</v>
      </c>
      <c r="AI1" s="4" t="str">
        <f>in!AQ1</f>
        <v>P31</v>
      </c>
      <c r="AJ1" s="4" t="str">
        <f>in!AR1</f>
        <v>P32</v>
      </c>
      <c r="AK1" s="4" t="str">
        <f>in!AS1</f>
        <v>P33</v>
      </c>
      <c r="AL1" s="4" t="str">
        <f>in!AT1</f>
        <v>P34</v>
      </c>
      <c r="AM1" s="4" t="str">
        <f>in!AU1</f>
        <v>P35</v>
      </c>
      <c r="AN1" s="4" t="str">
        <f>in!AV1</f>
        <v>P36</v>
      </c>
      <c r="AO1" s="4" t="str">
        <f>in!AW1</f>
        <v>P37</v>
      </c>
      <c r="AP1" s="4" t="str">
        <f>in!AX1</f>
        <v>P38</v>
      </c>
      <c r="AQ1" s="4" t="str">
        <f>in!AY1</f>
        <v>P39</v>
      </c>
      <c r="AR1" s="4" t="str">
        <f>in!AZ1</f>
        <v>P40</v>
      </c>
      <c r="AS1" s="4" t="str">
        <f>in!BA1</f>
        <v>P41</v>
      </c>
      <c r="AT1" s="4" t="str">
        <f>in!BB1</f>
        <v>P42</v>
      </c>
      <c r="AU1" s="4" t="str">
        <f>in!BC1</f>
        <v>P43</v>
      </c>
      <c r="AV1" s="4" t="str">
        <f>in!BD1</f>
        <v>P44</v>
      </c>
      <c r="AW1" s="4" t="str">
        <f>in!BE1</f>
        <v>P45</v>
      </c>
      <c r="AX1" s="4" t="str">
        <f>in!BF1</f>
        <v>P46</v>
      </c>
      <c r="AY1" s="4" t="str">
        <f>in!BG1</f>
        <v>P47</v>
      </c>
      <c r="AZ1" s="4" t="str">
        <f>in!BH1</f>
        <v>P48</v>
      </c>
      <c r="BA1" s="4" t="str">
        <f>in!BI1</f>
        <v>P49</v>
      </c>
      <c r="BB1" s="4" t="str">
        <f>in!BJ1</f>
        <v>P50</v>
      </c>
      <c r="BC1" s="4" t="str">
        <f>in!BK1</f>
        <v>P51</v>
      </c>
      <c r="BD1" s="4" t="str">
        <f>in!BL1</f>
        <v>P52</v>
      </c>
      <c r="BE1" s="4" t="str">
        <f>in!BM1</f>
        <v>P53</v>
      </c>
      <c r="BF1" s="4" t="str">
        <f>in!BN1</f>
        <v>P54</v>
      </c>
      <c r="BG1" s="4" t="str">
        <f>in!BO1</f>
        <v>P55</v>
      </c>
      <c r="BH1" s="4" t="str">
        <f>in!BP1</f>
        <v>P56</v>
      </c>
      <c r="BI1" s="4" t="str">
        <f>in!BQ1</f>
        <v>P57</v>
      </c>
      <c r="BJ1" s="4" t="str">
        <f>in!BR1</f>
        <v>P58</v>
      </c>
      <c r="BK1" s="4" t="str">
        <f>in!BS1</f>
        <v>P59</v>
      </c>
      <c r="BL1" s="4" t="str">
        <f>in!BT1</f>
        <v>P60</v>
      </c>
      <c r="BM1" s="4" t="str">
        <f>in!BU1</f>
        <v>P61</v>
      </c>
      <c r="BN1" s="4" t="str">
        <f>in!BV1</f>
        <v>P62</v>
      </c>
      <c r="BO1" s="4" t="str">
        <f>in!BW1</f>
        <v>P63</v>
      </c>
      <c r="BP1" s="4" t="str">
        <f>in!BX1</f>
        <v>P64</v>
      </c>
      <c r="BQ1" s="4" t="str">
        <f>in!BY1</f>
        <v>P65</v>
      </c>
      <c r="BR1" s="4" t="str">
        <f>in!BZ1</f>
        <v>P66</v>
      </c>
      <c r="BS1" s="4" t="s">
        <v>122</v>
      </c>
      <c r="BT1" s="4" t="s">
        <v>123</v>
      </c>
      <c r="BU1" s="5" t="str">
        <f>in!CA1</f>
        <v>P67</v>
      </c>
      <c r="BV1" s="5" t="str">
        <f>in!CB1</f>
        <v>P68</v>
      </c>
      <c r="BW1" s="5" t="str">
        <f>in!CC1</f>
        <v>P69</v>
      </c>
      <c r="BX1" s="5" t="str">
        <f>in!CD1</f>
        <v>P70</v>
      </c>
      <c r="BY1" s="5" t="str">
        <f>in!CE1</f>
        <v>P71</v>
      </c>
      <c r="BZ1" s="5" t="str">
        <f>in!CF1</f>
        <v>P72</v>
      </c>
      <c r="CA1" s="5" t="str">
        <f>in!CG1</f>
        <v>P73</v>
      </c>
      <c r="CB1" s="5" t="str">
        <f>in!CH1</f>
        <v>P74</v>
      </c>
      <c r="CC1" s="5" t="str">
        <f>in!CI1</f>
        <v>P75</v>
      </c>
      <c r="CD1" s="5" t="str">
        <f>in!CJ1</f>
        <v>P76</v>
      </c>
      <c r="CE1" s="5" t="str">
        <f>in!CK1</f>
        <v>P77</v>
      </c>
      <c r="CF1" s="5" t="str">
        <f>in!CL1</f>
        <v>P78</v>
      </c>
      <c r="CG1" s="5" t="str">
        <f>in!CM1</f>
        <v>P79</v>
      </c>
      <c r="CH1" s="5" t="str">
        <f>in!CN1</f>
        <v>P80</v>
      </c>
      <c r="CI1" s="5" t="str">
        <f>in!CO1</f>
        <v>P81</v>
      </c>
      <c r="CJ1" s="5" t="str">
        <f>in!CP1</f>
        <v>P82</v>
      </c>
      <c r="CK1" s="5" t="str">
        <f>in!CQ1</f>
        <v>P83</v>
      </c>
      <c r="CL1" s="5" t="str">
        <f>in!CR1</f>
        <v>P84</v>
      </c>
      <c r="CM1" s="5" t="str">
        <f>in!CS1</f>
        <v>P85</v>
      </c>
      <c r="CN1" s="5" t="str">
        <f>in!CT1</f>
        <v>P86</v>
      </c>
      <c r="CO1" s="5" t="str">
        <f>in!CU1</f>
        <v>P87</v>
      </c>
      <c r="CP1" s="5" t="str">
        <f>in!CV1</f>
        <v>P88</v>
      </c>
      <c r="CQ1" s="5" t="str">
        <f>in!CW1</f>
        <v>P89</v>
      </c>
      <c r="CR1" s="5" t="str">
        <f>in!CX1</f>
        <v>P90</v>
      </c>
      <c r="CS1" s="5" t="str">
        <f>in!CY1</f>
        <v>P91</v>
      </c>
      <c r="CT1" s="5" t="s">
        <v>122</v>
      </c>
      <c r="CU1" s="5" t="s">
        <v>123</v>
      </c>
      <c r="CV1" s="13" t="str">
        <f>in!CZ1</f>
        <v>P93</v>
      </c>
      <c r="CW1" s="13" t="str">
        <f>in!DA1</f>
        <v>P94</v>
      </c>
      <c r="CX1" s="13" t="str">
        <f>in!DB1</f>
        <v>P95</v>
      </c>
      <c r="CY1" s="13" t="str">
        <f>in!DC1</f>
        <v>P96</v>
      </c>
      <c r="CZ1" s="13" t="str">
        <f>in!DD1</f>
        <v>P97</v>
      </c>
      <c r="DA1" s="13" t="str">
        <f>in!DE1</f>
        <v>P98</v>
      </c>
      <c r="DB1" s="13" t="str">
        <f>in!DF1</f>
        <v>P99</v>
      </c>
      <c r="DC1" s="13" t="str">
        <f>in!DG1</f>
        <v>P100</v>
      </c>
      <c r="DD1" s="13" t="str">
        <f>in!DH1</f>
        <v>P104</v>
      </c>
      <c r="DE1" s="13" t="str">
        <f>in!DI1</f>
        <v>P110</v>
      </c>
      <c r="DF1" s="13" t="str">
        <f>in!DJ1</f>
        <v>P111</v>
      </c>
      <c r="DG1" s="13" t="str">
        <f>in!DK1</f>
        <v>P112</v>
      </c>
      <c r="DH1" s="13" t="s">
        <v>122</v>
      </c>
      <c r="DI1" s="13" t="s">
        <v>123</v>
      </c>
      <c r="DJ1" s="11" t="str">
        <f>in!DL1</f>
        <v>P102</v>
      </c>
      <c r="DK1" s="11" t="str">
        <f>in!DM1</f>
        <v>P114</v>
      </c>
      <c r="DL1" s="11" t="str">
        <f>in!DN1</f>
        <v>P115</v>
      </c>
      <c r="DM1" s="11" t="str">
        <f>in!DO1</f>
        <v>P116</v>
      </c>
      <c r="DN1" s="11" t="str">
        <f>in!DP1</f>
        <v>P118</v>
      </c>
      <c r="DO1" s="11" t="str">
        <f>in!DQ1</f>
        <v>P119</v>
      </c>
      <c r="DP1" s="11" t="s">
        <v>122</v>
      </c>
      <c r="DQ1" s="11" t="s">
        <v>123</v>
      </c>
      <c r="DR1" s="12" t="str">
        <f>in!DR1</f>
        <v>P101</v>
      </c>
      <c r="DS1" s="12" t="str">
        <f>in!DS1</f>
        <v>P103</v>
      </c>
      <c r="DT1" s="12" t="str">
        <f>in!DT1</f>
        <v>P105</v>
      </c>
      <c r="DU1" s="12" t="str">
        <f>in!DU1</f>
        <v>P106</v>
      </c>
      <c r="DV1" s="12" t="str">
        <f>in!DV1</f>
        <v>P107</v>
      </c>
      <c r="DW1" s="12" t="str">
        <f>in!DW1</f>
        <v>P108</v>
      </c>
      <c r="DX1" s="12" t="str">
        <f>in!DX1</f>
        <v>P109</v>
      </c>
      <c r="DY1" s="12" t="str">
        <f>in!DY1</f>
        <v>P120</v>
      </c>
      <c r="DZ1" s="12" t="s">
        <v>122</v>
      </c>
      <c r="EA1" s="12" t="s">
        <v>123</v>
      </c>
      <c r="EB1" s="17" t="str">
        <f>in!DZ1</f>
        <v>P92</v>
      </c>
      <c r="EC1" s="17" t="str">
        <f>in!EA1</f>
        <v>P113</v>
      </c>
      <c r="ED1" s="17" t="str">
        <f>in!EB1</f>
        <v>P117</v>
      </c>
      <c r="EE1" s="17" t="s">
        <v>122</v>
      </c>
      <c r="EF1" s="17" t="s">
        <v>123</v>
      </c>
    </row>
    <row r="2" spans="1:136" x14ac:dyDescent="0.35">
      <c r="A2" s="43" t="str">
        <f>in!D2</f>
        <v>AGRESOT SUAREZ DIEGO ALEJANDRO</v>
      </c>
      <c r="B2" s="43">
        <f>in!E2</f>
        <v>5702</v>
      </c>
      <c r="C2" s="1">
        <f>in!M2</f>
        <v>1</v>
      </c>
      <c r="D2" s="1">
        <f>in!N2</f>
        <v>1</v>
      </c>
      <c r="E2" s="1">
        <f>in!O2</f>
        <v>1</v>
      </c>
      <c r="F2" s="1">
        <f>in!P2</f>
        <v>1</v>
      </c>
      <c r="G2" s="1">
        <f>in!Q2</f>
        <v>1</v>
      </c>
      <c r="H2" s="1">
        <f>in!R2</f>
        <v>1</v>
      </c>
      <c r="I2" s="1">
        <f>in!S2</f>
        <v>0</v>
      </c>
      <c r="J2" s="1">
        <f>in!T2</f>
        <v>1</v>
      </c>
      <c r="K2" s="1">
        <f>in!U2</f>
        <v>0</v>
      </c>
      <c r="L2" s="1">
        <f>in!V2</f>
        <v>1</v>
      </c>
      <c r="M2" s="1">
        <f>in!W2</f>
        <v>1</v>
      </c>
      <c r="N2" s="1">
        <f>in!X2</f>
        <v>0</v>
      </c>
      <c r="O2" s="1">
        <f>in!Y2</f>
        <v>1</v>
      </c>
      <c r="P2" s="1">
        <f>in!Z2</f>
        <v>1</v>
      </c>
      <c r="Q2" s="1">
        <f>in!AA2</f>
        <v>1</v>
      </c>
      <c r="R2" s="1">
        <f>in!AB2</f>
        <v>0</v>
      </c>
      <c r="S2" s="1">
        <f>in!AC2</f>
        <v>0</v>
      </c>
      <c r="T2" s="1">
        <f>in!AD2</f>
        <v>0</v>
      </c>
      <c r="U2" s="1">
        <f>in!AE2</f>
        <v>1</v>
      </c>
      <c r="V2" s="1">
        <f>in!AF2</f>
        <v>1</v>
      </c>
      <c r="W2" s="1">
        <f>in!AG2</f>
        <v>1</v>
      </c>
      <c r="X2" s="1">
        <f>in!AH2</f>
        <v>0</v>
      </c>
      <c r="Y2" s="1">
        <f>in!AI2</f>
        <v>1</v>
      </c>
      <c r="Z2" s="1">
        <f>in!AJ2</f>
        <v>0</v>
      </c>
      <c r="AA2" s="1">
        <f>in!AK2</f>
        <v>1</v>
      </c>
      <c r="AB2" s="3">
        <f>SUM(C2:AA2)</f>
        <v>17</v>
      </c>
      <c r="AC2" s="3">
        <f>AB2*100/25</f>
        <v>68</v>
      </c>
      <c r="AD2" s="1">
        <f>in!AL2</f>
        <v>1</v>
      </c>
      <c r="AE2" s="1">
        <f>in!AM2</f>
        <v>1</v>
      </c>
      <c r="AF2" s="1">
        <f>in!AN2</f>
        <v>0</v>
      </c>
      <c r="AG2" s="1">
        <f>in!AO2</f>
        <v>1</v>
      </c>
      <c r="AH2" s="1">
        <f>in!AP2</f>
        <v>1</v>
      </c>
      <c r="AI2" s="1">
        <f>in!AQ2</f>
        <v>1</v>
      </c>
      <c r="AJ2" s="1">
        <f>in!AR2</f>
        <v>1</v>
      </c>
      <c r="AK2" s="1">
        <f>in!AS2</f>
        <v>1</v>
      </c>
      <c r="AL2" s="1">
        <f>in!AT2</f>
        <v>1</v>
      </c>
      <c r="AM2" s="1">
        <f>in!AU2</f>
        <v>1</v>
      </c>
      <c r="AN2" s="1">
        <f>in!AV2</f>
        <v>1</v>
      </c>
      <c r="AO2" s="1">
        <f>in!AW2</f>
        <v>1</v>
      </c>
      <c r="AP2" s="1">
        <f>in!AX2</f>
        <v>0</v>
      </c>
      <c r="AQ2" s="1">
        <f>in!AY2</f>
        <v>1</v>
      </c>
      <c r="AR2" s="1">
        <f>in!AZ2</f>
        <v>1</v>
      </c>
      <c r="AS2" s="1">
        <f>in!BA2</f>
        <v>1</v>
      </c>
      <c r="AT2" s="1">
        <f>in!BB2</f>
        <v>1</v>
      </c>
      <c r="AU2" s="1">
        <f>in!BC2</f>
        <v>1</v>
      </c>
      <c r="AV2" s="1">
        <f>in!BD2</f>
        <v>0</v>
      </c>
      <c r="AW2" s="1">
        <f>in!BE2</f>
        <v>1</v>
      </c>
      <c r="AX2" s="1">
        <f>in!BF2</f>
        <v>0</v>
      </c>
      <c r="AY2" s="1">
        <f>in!BG2</f>
        <v>0</v>
      </c>
      <c r="AZ2" s="1">
        <f>in!BH2</f>
        <v>1</v>
      </c>
      <c r="BA2" s="1">
        <f>in!BI2</f>
        <v>1</v>
      </c>
      <c r="BB2" s="1">
        <f>in!BJ2</f>
        <v>1</v>
      </c>
      <c r="BC2" s="1">
        <f>in!BK2</f>
        <v>1</v>
      </c>
      <c r="BD2" s="1">
        <f>in!BL2</f>
        <v>1</v>
      </c>
      <c r="BE2" s="1">
        <f>in!BM2</f>
        <v>1</v>
      </c>
      <c r="BF2" s="1">
        <f>in!BN2</f>
        <v>0</v>
      </c>
      <c r="BG2" s="1">
        <f>in!BO2</f>
        <v>1</v>
      </c>
      <c r="BH2" s="1">
        <f>in!BP2</f>
        <v>0</v>
      </c>
      <c r="BI2" s="1">
        <f>in!BQ2</f>
        <v>0</v>
      </c>
      <c r="BJ2" s="1">
        <f>in!BR2</f>
        <v>1</v>
      </c>
      <c r="BK2" s="1">
        <f>in!BS2</f>
        <v>1</v>
      </c>
      <c r="BL2" s="1">
        <f>in!BT2</f>
        <v>1</v>
      </c>
      <c r="BM2" s="1">
        <f>in!BU2</f>
        <v>0</v>
      </c>
      <c r="BN2" s="1">
        <f>in!BV2</f>
        <v>0</v>
      </c>
      <c r="BO2" s="1">
        <f>in!BW2</f>
        <v>1</v>
      </c>
      <c r="BP2" s="1">
        <f>in!BX2</f>
        <v>1</v>
      </c>
      <c r="BQ2" s="1">
        <f>in!BY2</f>
        <v>1</v>
      </c>
      <c r="BR2" s="1">
        <f>in!BZ2</f>
        <v>1</v>
      </c>
      <c r="BS2" s="4">
        <f>SUM(AD2:BR2)</f>
        <v>31</v>
      </c>
      <c r="BT2" s="19">
        <f>BS2*100/41</f>
        <v>75.609756097560975</v>
      </c>
      <c r="BU2" s="1">
        <f>in!CA2</f>
        <v>1</v>
      </c>
      <c r="BV2" s="1">
        <f>in!CB2</f>
        <v>1</v>
      </c>
      <c r="BW2" s="1">
        <f>in!CC2</f>
        <v>1</v>
      </c>
      <c r="BX2" s="1">
        <f>in!CD2</f>
        <v>0</v>
      </c>
      <c r="BY2" s="1">
        <f>in!CE2</f>
        <v>0</v>
      </c>
      <c r="BZ2" s="1">
        <f>in!CF2</f>
        <v>1</v>
      </c>
      <c r="CA2" s="1">
        <f>in!CG2</f>
        <v>0</v>
      </c>
      <c r="CB2" s="1">
        <f>in!CH2</f>
        <v>1</v>
      </c>
      <c r="CC2" s="1">
        <f>in!CI2</f>
        <v>1</v>
      </c>
      <c r="CD2" s="1">
        <f>in!CJ2</f>
        <v>1</v>
      </c>
      <c r="CE2" s="1">
        <f>in!CK2</f>
        <v>1</v>
      </c>
      <c r="CF2" s="1">
        <f>in!CL2</f>
        <v>1</v>
      </c>
      <c r="CG2" s="1">
        <f>in!CM2</f>
        <v>1</v>
      </c>
      <c r="CH2" s="1">
        <f>in!CN2</f>
        <v>1</v>
      </c>
      <c r="CI2" s="1">
        <f>in!CO2</f>
        <v>0</v>
      </c>
      <c r="CJ2" s="1">
        <f>in!CP2</f>
        <v>1</v>
      </c>
      <c r="CK2" s="1">
        <f>in!CQ2</f>
        <v>1</v>
      </c>
      <c r="CL2" s="1">
        <f>in!CR2</f>
        <v>1</v>
      </c>
      <c r="CM2" s="1">
        <f>in!CS2</f>
        <v>1</v>
      </c>
      <c r="CN2" s="1">
        <f>in!CT2</f>
        <v>1</v>
      </c>
      <c r="CO2" s="1">
        <f>in!CU2</f>
        <v>1</v>
      </c>
      <c r="CP2" s="1">
        <f>in!CV2</f>
        <v>1</v>
      </c>
      <c r="CQ2" s="1">
        <f>in!CW2</f>
        <v>1</v>
      </c>
      <c r="CR2" s="1">
        <f>in!CX2</f>
        <v>0</v>
      </c>
      <c r="CS2" s="1">
        <f>in!CY2</f>
        <v>1</v>
      </c>
      <c r="CT2" s="5">
        <f>SUM(BU2:CS2)</f>
        <v>20</v>
      </c>
      <c r="CU2" s="5">
        <f>CT2*100/25</f>
        <v>80</v>
      </c>
      <c r="CV2" s="1">
        <f>in!CZ2</f>
        <v>1</v>
      </c>
      <c r="CW2" s="1">
        <f>in!DA2</f>
        <v>1</v>
      </c>
      <c r="CX2" s="1">
        <f>in!DB2</f>
        <v>1</v>
      </c>
      <c r="CY2" s="1">
        <f>in!DC2</f>
        <v>1</v>
      </c>
      <c r="CZ2" s="1">
        <f>in!DD2</f>
        <v>1</v>
      </c>
      <c r="DA2" s="1">
        <f>in!DE2</f>
        <v>1</v>
      </c>
      <c r="DB2" s="1">
        <f>in!DF2</f>
        <v>1</v>
      </c>
      <c r="DC2" s="1">
        <f>in!DG2</f>
        <v>1</v>
      </c>
      <c r="DD2" s="1">
        <f>in!DH2</f>
        <v>1</v>
      </c>
      <c r="DE2" s="1">
        <f>in!DI2</f>
        <v>1</v>
      </c>
      <c r="DF2" s="1">
        <f>in!DJ2</f>
        <v>1</v>
      </c>
      <c r="DG2" s="1">
        <f>in!DK2</f>
        <v>1</v>
      </c>
      <c r="DH2" s="14">
        <f>SUM(CV2:DG2)</f>
        <v>12</v>
      </c>
      <c r="DI2" s="14">
        <f>DH2*100/COUNT(CV2:DG2)</f>
        <v>100</v>
      </c>
      <c r="DJ2" s="1">
        <f>in!DL2</f>
        <v>1</v>
      </c>
      <c r="DK2" s="1">
        <f>in!DM2</f>
        <v>1</v>
      </c>
      <c r="DL2" s="1">
        <f>in!DN2</f>
        <v>0</v>
      </c>
      <c r="DM2" s="1">
        <f>in!DO2</f>
        <v>1</v>
      </c>
      <c r="DN2" s="1">
        <f>in!DP2</f>
        <v>1</v>
      </c>
      <c r="DO2" s="1">
        <f>in!DQ2</f>
        <v>1</v>
      </c>
      <c r="DP2" s="11">
        <f t="shared" ref="DP2:DP31" si="0">SUM(DJ2:DO2)</f>
        <v>5</v>
      </c>
      <c r="DQ2" s="16">
        <f t="shared" ref="DQ2:DQ31" si="1">DP2*100/COUNT(DJ2:DO2)</f>
        <v>83.333333333333329</v>
      </c>
      <c r="DR2" s="1">
        <f>in!DR2</f>
        <v>0</v>
      </c>
      <c r="DS2" s="1">
        <f>in!DS2</f>
        <v>0</v>
      </c>
      <c r="DT2" s="1">
        <f>in!DT2</f>
        <v>0</v>
      </c>
      <c r="DU2" s="1">
        <f>in!DU2</f>
        <v>0</v>
      </c>
      <c r="DV2" s="1">
        <f>in!DV2</f>
        <v>1</v>
      </c>
      <c r="DW2" s="1">
        <f>in!DW2</f>
        <v>1</v>
      </c>
      <c r="DX2" s="1">
        <f>in!DX2</f>
        <v>1</v>
      </c>
      <c r="DY2" s="1">
        <f>in!DY2</f>
        <v>1</v>
      </c>
      <c r="DZ2" s="15">
        <f t="shared" ref="DZ2:DZ31" si="2">SUM(DR2:DY2)</f>
        <v>4</v>
      </c>
      <c r="EA2" s="15">
        <f t="shared" ref="EA2:EA31" si="3">DZ2*100/COUNT(DR2:DY2)</f>
        <v>50</v>
      </c>
      <c r="EB2" s="1">
        <f>in!DZ2</f>
        <v>1</v>
      </c>
      <c r="EC2" s="1">
        <f>in!EA2</f>
        <v>1</v>
      </c>
      <c r="ED2" s="1">
        <f>in!EB2</f>
        <v>1</v>
      </c>
      <c r="EE2" s="20">
        <f t="shared" ref="EE2:EE31" si="4">SUM(EB2:ED2)</f>
        <v>3</v>
      </c>
      <c r="EF2" s="20">
        <f t="shared" ref="EF2:EF31" si="5">EE2*100/COUNT(EB2:ED2)</f>
        <v>100</v>
      </c>
    </row>
    <row r="3" spans="1:136" x14ac:dyDescent="0.35">
      <c r="A3" s="43" t="str">
        <f>in!D3</f>
        <v>BRAVO FLOREZ MIGUEL ANDRES</v>
      </c>
      <c r="B3" s="43">
        <f>in!E3</f>
        <v>5704</v>
      </c>
      <c r="C3" s="1">
        <f>in!M3</f>
        <v>1</v>
      </c>
      <c r="D3" s="1">
        <f>in!N3</f>
        <v>1</v>
      </c>
      <c r="E3" s="1">
        <f>in!O3</f>
        <v>1</v>
      </c>
      <c r="F3" s="1">
        <f>in!P3</f>
        <v>0</v>
      </c>
      <c r="G3" s="1">
        <f>in!Q3</f>
        <v>0</v>
      </c>
      <c r="H3" s="1">
        <f>in!R3</f>
        <v>1</v>
      </c>
      <c r="I3" s="1">
        <f>in!S3</f>
        <v>0</v>
      </c>
      <c r="J3" s="1">
        <f>in!T3</f>
        <v>0</v>
      </c>
      <c r="K3" s="1">
        <f>in!U3</f>
        <v>1</v>
      </c>
      <c r="L3" s="1">
        <f>in!V3</f>
        <v>0</v>
      </c>
      <c r="M3" s="1">
        <f>in!W3</f>
        <v>0</v>
      </c>
      <c r="N3" s="1">
        <f>in!X3</f>
        <v>1</v>
      </c>
      <c r="O3" s="1">
        <f>in!Y3</f>
        <v>1</v>
      </c>
      <c r="P3" s="1">
        <f>in!Z3</f>
        <v>0</v>
      </c>
      <c r="Q3" s="1">
        <f>in!AA3</f>
        <v>0</v>
      </c>
      <c r="R3" s="1">
        <f>in!AB3</f>
        <v>1</v>
      </c>
      <c r="S3" s="1">
        <f>in!AC3</f>
        <v>1</v>
      </c>
      <c r="T3" s="1">
        <f>in!AD3</f>
        <v>0</v>
      </c>
      <c r="U3" s="1">
        <f>in!AE3</f>
        <v>1</v>
      </c>
      <c r="V3" s="1">
        <f>in!AF3</f>
        <v>1</v>
      </c>
      <c r="W3" s="1">
        <f>in!AG3</f>
        <v>1</v>
      </c>
      <c r="X3" s="1">
        <f>in!AH3</f>
        <v>1</v>
      </c>
      <c r="Y3" s="1">
        <f>in!AI3</f>
        <v>0</v>
      </c>
      <c r="Z3" s="1">
        <f>in!AJ3</f>
        <v>0</v>
      </c>
      <c r="AA3" s="1">
        <f>in!AK3</f>
        <v>1</v>
      </c>
      <c r="AB3" s="3">
        <f t="shared" ref="AB3:AB31" si="6">SUM(C3:AA3)</f>
        <v>14</v>
      </c>
      <c r="AC3" s="3">
        <f t="shared" ref="AC3:AC31" si="7">AB3*100/25</f>
        <v>56</v>
      </c>
      <c r="AD3" s="1">
        <f>in!AL3</f>
        <v>0</v>
      </c>
      <c r="AE3" s="1">
        <f>in!AM3</f>
        <v>0</v>
      </c>
      <c r="AF3" s="1">
        <f>in!AN3</f>
        <v>1</v>
      </c>
      <c r="AG3" s="1">
        <f>in!AO3</f>
        <v>1</v>
      </c>
      <c r="AH3" s="1">
        <f>in!AP3</f>
        <v>0</v>
      </c>
      <c r="AI3" s="1">
        <f>in!AQ3</f>
        <v>1</v>
      </c>
      <c r="AJ3" s="1">
        <f>in!AR3</f>
        <v>1</v>
      </c>
      <c r="AK3" s="1">
        <f>in!AS3</f>
        <v>0</v>
      </c>
      <c r="AL3" s="1">
        <f>in!AT3</f>
        <v>0</v>
      </c>
      <c r="AM3" s="1">
        <f>in!AU3</f>
        <v>1</v>
      </c>
      <c r="AN3" s="1">
        <f>in!AV3</f>
        <v>1</v>
      </c>
      <c r="AO3" s="1">
        <f>in!AW3</f>
        <v>1</v>
      </c>
      <c r="AP3" s="1">
        <f>in!AX3</f>
        <v>0</v>
      </c>
      <c r="AQ3" s="1">
        <f>in!AY3</f>
        <v>0</v>
      </c>
      <c r="AR3" s="1">
        <f>in!AZ3</f>
        <v>1</v>
      </c>
      <c r="AS3" s="1">
        <f>in!BA3</f>
        <v>1</v>
      </c>
      <c r="AT3" s="1">
        <f>in!BB3</f>
        <v>0</v>
      </c>
      <c r="AU3" s="1">
        <f>in!BC3</f>
        <v>0</v>
      </c>
      <c r="AV3" s="1">
        <f>in!BD3</f>
        <v>1</v>
      </c>
      <c r="AW3" s="1">
        <f>in!BE3</f>
        <v>0</v>
      </c>
      <c r="AX3" s="1">
        <f>in!BF3</f>
        <v>0</v>
      </c>
      <c r="AY3" s="1">
        <f>in!BG3</f>
        <v>0</v>
      </c>
      <c r="AZ3" s="1">
        <f>in!BH3</f>
        <v>0</v>
      </c>
      <c r="BA3" s="1">
        <f>in!BI3</f>
        <v>0</v>
      </c>
      <c r="BB3" s="1">
        <f>in!BJ3</f>
        <v>0</v>
      </c>
      <c r="BC3" s="1">
        <f>in!BK3</f>
        <v>0</v>
      </c>
      <c r="BD3" s="1">
        <f>in!BL3</f>
        <v>0</v>
      </c>
      <c r="BE3" s="1">
        <f>in!BM3</f>
        <v>1</v>
      </c>
      <c r="BF3" s="1">
        <f>in!BN3</f>
        <v>1</v>
      </c>
      <c r="BG3" s="1">
        <f>in!BO3</f>
        <v>0</v>
      </c>
      <c r="BH3" s="1">
        <f>in!BP3</f>
        <v>1</v>
      </c>
      <c r="BI3" s="1">
        <f>in!BQ3</f>
        <v>0</v>
      </c>
      <c r="BJ3" s="1">
        <f>in!BR3</f>
        <v>1</v>
      </c>
      <c r="BK3" s="1">
        <f>in!BS3</f>
        <v>1</v>
      </c>
      <c r="BL3" s="1">
        <f>in!BT3</f>
        <v>0</v>
      </c>
      <c r="BM3" s="1">
        <f>in!BU3</f>
        <v>0</v>
      </c>
      <c r="BN3" s="1">
        <f>in!BV3</f>
        <v>1</v>
      </c>
      <c r="BO3" s="1">
        <f>in!BW3</f>
        <v>1</v>
      </c>
      <c r="BP3" s="1">
        <f>in!BX3</f>
        <v>0</v>
      </c>
      <c r="BQ3" s="1">
        <f>in!BY3</f>
        <v>0</v>
      </c>
      <c r="BR3" s="1">
        <f>in!BZ3</f>
        <v>0</v>
      </c>
      <c r="BS3" s="4">
        <f t="shared" ref="BS3:BS31" si="8">SUM(AD3:BR3)</f>
        <v>17</v>
      </c>
      <c r="BT3" s="19">
        <f t="shared" ref="BT3:BT31" si="9">BS3*100/41</f>
        <v>41.463414634146339</v>
      </c>
      <c r="BU3" s="1">
        <f>in!CA3</f>
        <v>0</v>
      </c>
      <c r="BV3" s="1">
        <f>in!CB3</f>
        <v>0</v>
      </c>
      <c r="BW3" s="1">
        <f>in!CC3</f>
        <v>1</v>
      </c>
      <c r="BX3" s="1">
        <f>in!CD3</f>
        <v>0</v>
      </c>
      <c r="BY3" s="1">
        <f>in!CE3</f>
        <v>0</v>
      </c>
      <c r="BZ3" s="1">
        <f>in!CF3</f>
        <v>0</v>
      </c>
      <c r="CA3" s="1">
        <f>in!CG3</f>
        <v>0</v>
      </c>
      <c r="CB3" s="1">
        <f>in!CH3</f>
        <v>0</v>
      </c>
      <c r="CC3" s="1">
        <f>in!CI3</f>
        <v>0</v>
      </c>
      <c r="CD3" s="1">
        <f>in!CJ3</f>
        <v>0</v>
      </c>
      <c r="CE3" s="1">
        <f>in!CK3</f>
        <v>1</v>
      </c>
      <c r="CF3" s="1">
        <f>in!CL3</f>
        <v>1</v>
      </c>
      <c r="CG3" s="1">
        <f>in!CM3</f>
        <v>0</v>
      </c>
      <c r="CH3" s="1">
        <f>in!CN3</f>
        <v>1</v>
      </c>
      <c r="CI3" s="1">
        <f>in!CO3</f>
        <v>1</v>
      </c>
      <c r="CJ3" s="1">
        <f>in!CP3</f>
        <v>0</v>
      </c>
      <c r="CK3" s="1">
        <f>in!CQ3</f>
        <v>0</v>
      </c>
      <c r="CL3" s="1">
        <f>in!CR3</f>
        <v>0</v>
      </c>
      <c r="CM3" s="1">
        <f>in!CS3</f>
        <v>0</v>
      </c>
      <c r="CN3" s="1">
        <f>in!CT3</f>
        <v>0</v>
      </c>
      <c r="CO3" s="1">
        <f>in!CU3</f>
        <v>0</v>
      </c>
      <c r="CP3" s="1">
        <f>in!CV3</f>
        <v>0</v>
      </c>
      <c r="CQ3" s="1">
        <f>in!CW3</f>
        <v>1</v>
      </c>
      <c r="CR3" s="1">
        <f>in!CX3</f>
        <v>1</v>
      </c>
      <c r="CS3" s="1">
        <f>in!CY3</f>
        <v>0</v>
      </c>
      <c r="CT3" s="5">
        <f t="shared" ref="CT3:CT31" si="10">SUM(BU3:CS3)</f>
        <v>7</v>
      </c>
      <c r="CU3" s="5">
        <f t="shared" ref="CU3:CU31" si="11">CT3*100/25</f>
        <v>28</v>
      </c>
      <c r="CV3" s="1">
        <f>in!CZ3</f>
        <v>1</v>
      </c>
      <c r="CW3" s="1">
        <f>in!DA3</f>
        <v>0</v>
      </c>
      <c r="CX3" s="1">
        <f>in!DB3</f>
        <v>0</v>
      </c>
      <c r="CY3" s="1">
        <f>in!DC3</f>
        <v>1</v>
      </c>
      <c r="CZ3" s="1">
        <f>in!DD3</f>
        <v>0</v>
      </c>
      <c r="DA3" s="1">
        <f>in!DE3</f>
        <v>0</v>
      </c>
      <c r="DB3" s="1">
        <f>in!DF3</f>
        <v>0</v>
      </c>
      <c r="DC3" s="1">
        <f>in!DG3</f>
        <v>0</v>
      </c>
      <c r="DD3" s="1">
        <f>in!DH3</f>
        <v>1</v>
      </c>
      <c r="DE3" s="1">
        <f>in!DI3</f>
        <v>0</v>
      </c>
      <c r="DF3" s="1">
        <f>in!DJ3</f>
        <v>0</v>
      </c>
      <c r="DG3" s="1">
        <f>in!DK3</f>
        <v>0</v>
      </c>
      <c r="DH3" s="14">
        <f t="shared" ref="DH3:DH31" si="12">SUM(CV3:DG3)</f>
        <v>3</v>
      </c>
      <c r="DI3" s="14">
        <f t="shared" ref="DI3:DI31" si="13">DH3*100/COUNT(CV3:DG3)</f>
        <v>25</v>
      </c>
      <c r="DJ3" s="1">
        <f>in!DL3</f>
        <v>1</v>
      </c>
      <c r="DK3" s="1">
        <f>in!DM3</f>
        <v>1</v>
      </c>
      <c r="DL3" s="1">
        <f>in!DN3</f>
        <v>0</v>
      </c>
      <c r="DM3" s="1">
        <f>in!DO3</f>
        <v>1</v>
      </c>
      <c r="DN3" s="1">
        <f>in!DP3</f>
        <v>1</v>
      </c>
      <c r="DO3" s="1">
        <f>in!DQ3</f>
        <v>0</v>
      </c>
      <c r="DP3" s="11">
        <f t="shared" si="0"/>
        <v>4</v>
      </c>
      <c r="DQ3" s="16">
        <f t="shared" si="1"/>
        <v>66.666666666666671</v>
      </c>
      <c r="DR3" s="1">
        <f>in!DR3</f>
        <v>0</v>
      </c>
      <c r="DS3" s="1">
        <f>in!DS3</f>
        <v>1</v>
      </c>
      <c r="DT3" s="1">
        <f>in!DT3</f>
        <v>0</v>
      </c>
      <c r="DU3" s="1">
        <f>in!DU3</f>
        <v>0</v>
      </c>
      <c r="DV3" s="1">
        <f>in!DV3</f>
        <v>0</v>
      </c>
      <c r="DW3" s="1">
        <f>in!DW3</f>
        <v>0</v>
      </c>
      <c r="DX3" s="1">
        <f>in!DX3</f>
        <v>0</v>
      </c>
      <c r="DY3" s="1">
        <f>in!DY3</f>
        <v>0</v>
      </c>
      <c r="DZ3" s="15">
        <f t="shared" si="2"/>
        <v>1</v>
      </c>
      <c r="EA3" s="15">
        <f t="shared" si="3"/>
        <v>12.5</v>
      </c>
      <c r="EB3" s="1">
        <f>in!DZ3</f>
        <v>1</v>
      </c>
      <c r="EC3" s="1">
        <f>in!EA3</f>
        <v>1</v>
      </c>
      <c r="ED3" s="1">
        <f>in!EB3</f>
        <v>0</v>
      </c>
      <c r="EE3" s="20">
        <f t="shared" si="4"/>
        <v>2</v>
      </c>
      <c r="EF3" s="20">
        <f t="shared" si="5"/>
        <v>66.666666666666671</v>
      </c>
    </row>
    <row r="4" spans="1:136" x14ac:dyDescent="0.35">
      <c r="A4" s="43" t="str">
        <f>in!D4</f>
        <v>CALDERA CALVO MARIA ALEJANDRA</v>
      </c>
      <c r="B4" s="43">
        <f>in!E4</f>
        <v>5705</v>
      </c>
      <c r="C4" s="1">
        <f>in!M4</f>
        <v>1</v>
      </c>
      <c r="D4" s="1">
        <f>in!N4</f>
        <v>1</v>
      </c>
      <c r="E4" s="1">
        <f>in!O4</f>
        <v>1</v>
      </c>
      <c r="F4" s="1">
        <f>in!P4</f>
        <v>0</v>
      </c>
      <c r="G4" s="1">
        <f>in!Q4</f>
        <v>1</v>
      </c>
      <c r="H4" s="1">
        <f>in!R4</f>
        <v>0</v>
      </c>
      <c r="I4" s="1">
        <f>in!S4</f>
        <v>0</v>
      </c>
      <c r="J4" s="1">
        <f>in!T4</f>
        <v>0</v>
      </c>
      <c r="K4" s="1">
        <f>in!U4</f>
        <v>1</v>
      </c>
      <c r="L4" s="1">
        <f>in!V4</f>
        <v>0</v>
      </c>
      <c r="M4" s="1">
        <f>in!W4</f>
        <v>0</v>
      </c>
      <c r="N4" s="1">
        <f>in!X4</f>
        <v>0</v>
      </c>
      <c r="O4" s="1">
        <f>in!Y4</f>
        <v>1</v>
      </c>
      <c r="P4" s="1">
        <f>in!Z4</f>
        <v>0</v>
      </c>
      <c r="Q4" s="1">
        <f>in!AA4</f>
        <v>1</v>
      </c>
      <c r="R4" s="1">
        <f>in!AB4</f>
        <v>0</v>
      </c>
      <c r="S4" s="1">
        <f>in!AC4</f>
        <v>0</v>
      </c>
      <c r="T4" s="1">
        <f>in!AD4</f>
        <v>0</v>
      </c>
      <c r="U4" s="1">
        <f>in!AE4</f>
        <v>1</v>
      </c>
      <c r="V4" s="1">
        <f>in!AF4</f>
        <v>1</v>
      </c>
      <c r="W4" s="1">
        <f>in!AG4</f>
        <v>0</v>
      </c>
      <c r="X4" s="1">
        <f>in!AH4</f>
        <v>1</v>
      </c>
      <c r="Y4" s="1">
        <f>in!AI4</f>
        <v>0</v>
      </c>
      <c r="Z4" s="1">
        <f>in!AJ4</f>
        <v>0</v>
      </c>
      <c r="AA4" s="1">
        <f>in!AK4</f>
        <v>0</v>
      </c>
      <c r="AB4" s="3">
        <f t="shared" si="6"/>
        <v>10</v>
      </c>
      <c r="AC4" s="3">
        <f t="shared" si="7"/>
        <v>40</v>
      </c>
      <c r="AD4" s="1">
        <f>in!AL4</f>
        <v>0</v>
      </c>
      <c r="AE4" s="1">
        <f>in!AM4</f>
        <v>0</v>
      </c>
      <c r="AF4" s="1">
        <f>in!AN4</f>
        <v>0</v>
      </c>
      <c r="AG4" s="1">
        <f>in!AO4</f>
        <v>1</v>
      </c>
      <c r="AH4" s="1">
        <f>in!AP4</f>
        <v>1</v>
      </c>
      <c r="AI4" s="1">
        <f>in!AQ4</f>
        <v>1</v>
      </c>
      <c r="AJ4" s="1">
        <f>in!AR4</f>
        <v>0</v>
      </c>
      <c r="AK4" s="1">
        <f>in!AS4</f>
        <v>1</v>
      </c>
      <c r="AL4" s="1">
        <f>in!AT4</f>
        <v>0</v>
      </c>
      <c r="AM4" s="1">
        <f>in!AU4</f>
        <v>1</v>
      </c>
      <c r="AN4" s="1">
        <f>in!AV4</f>
        <v>1</v>
      </c>
      <c r="AO4" s="1">
        <f>in!AW4</f>
        <v>0</v>
      </c>
      <c r="AP4" s="1">
        <f>in!AX4</f>
        <v>0</v>
      </c>
      <c r="AQ4" s="1">
        <f>in!AY4</f>
        <v>0</v>
      </c>
      <c r="AR4" s="1">
        <f>in!AZ4</f>
        <v>1</v>
      </c>
      <c r="AS4" s="1">
        <f>in!BA4</f>
        <v>0</v>
      </c>
      <c r="AT4" s="1">
        <f>in!BB4</f>
        <v>1</v>
      </c>
      <c r="AU4" s="1">
        <f>in!BC4</f>
        <v>0</v>
      </c>
      <c r="AV4" s="1">
        <f>in!BD4</f>
        <v>0</v>
      </c>
      <c r="AW4" s="1">
        <f>in!BE4</f>
        <v>1</v>
      </c>
      <c r="AX4" s="1">
        <f>in!BF4</f>
        <v>0</v>
      </c>
      <c r="AY4" s="1">
        <f>in!BG4</f>
        <v>0</v>
      </c>
      <c r="AZ4" s="1">
        <f>in!BH4</f>
        <v>1</v>
      </c>
      <c r="BA4" s="1">
        <f>in!BI4</f>
        <v>1</v>
      </c>
      <c r="BB4" s="1">
        <f>in!BJ4</f>
        <v>0</v>
      </c>
      <c r="BC4" s="1">
        <f>in!BK4</f>
        <v>1</v>
      </c>
      <c r="BD4" s="1">
        <f>in!BL4</f>
        <v>0</v>
      </c>
      <c r="BE4" s="1">
        <f>in!BM4</f>
        <v>0</v>
      </c>
      <c r="BF4" s="1">
        <f>in!BN4</f>
        <v>1</v>
      </c>
      <c r="BG4" s="1">
        <f>in!BO4</f>
        <v>1</v>
      </c>
      <c r="BH4" s="1">
        <f>in!BP4</f>
        <v>0</v>
      </c>
      <c r="BI4" s="1">
        <f>in!BQ4</f>
        <v>0</v>
      </c>
      <c r="BJ4" s="1">
        <f>in!BR4</f>
        <v>1</v>
      </c>
      <c r="BK4" s="1">
        <f>in!BS4</f>
        <v>1</v>
      </c>
      <c r="BL4" s="1">
        <f>in!BT4</f>
        <v>0</v>
      </c>
      <c r="BM4" s="1">
        <f>in!BU4</f>
        <v>0</v>
      </c>
      <c r="BN4" s="1">
        <f>in!BV4</f>
        <v>0</v>
      </c>
      <c r="BO4" s="1">
        <f>in!BW4</f>
        <v>1</v>
      </c>
      <c r="BP4" s="1">
        <f>in!BX4</f>
        <v>0</v>
      </c>
      <c r="BQ4" s="1">
        <f>in!BY4</f>
        <v>1</v>
      </c>
      <c r="BR4" s="1">
        <f>in!BZ4</f>
        <v>1</v>
      </c>
      <c r="BS4" s="4">
        <f t="shared" si="8"/>
        <v>19</v>
      </c>
      <c r="BT4" s="19">
        <f t="shared" si="9"/>
        <v>46.341463414634148</v>
      </c>
      <c r="BU4" s="1">
        <f>in!CA4</f>
        <v>0</v>
      </c>
      <c r="BV4" s="1">
        <f>in!CB4</f>
        <v>0</v>
      </c>
      <c r="BW4" s="1">
        <f>in!CC4</f>
        <v>1</v>
      </c>
      <c r="BX4" s="1">
        <f>in!CD4</f>
        <v>0</v>
      </c>
      <c r="BY4" s="1">
        <f>in!CE4</f>
        <v>0</v>
      </c>
      <c r="BZ4" s="1">
        <f>in!CF4</f>
        <v>0</v>
      </c>
      <c r="CA4" s="1">
        <f>in!CG4</f>
        <v>0</v>
      </c>
      <c r="CB4" s="1">
        <f>in!CH4</f>
        <v>1</v>
      </c>
      <c r="CC4" s="1">
        <f>in!CI4</f>
        <v>0</v>
      </c>
      <c r="CD4" s="1">
        <f>in!CJ4</f>
        <v>0</v>
      </c>
      <c r="CE4" s="1">
        <f>in!CK4</f>
        <v>1</v>
      </c>
      <c r="CF4" s="1">
        <f>in!CL4</f>
        <v>0</v>
      </c>
      <c r="CG4" s="1">
        <f>in!CM4</f>
        <v>0</v>
      </c>
      <c r="CH4" s="1">
        <f>in!CN4</f>
        <v>0</v>
      </c>
      <c r="CI4" s="1">
        <f>in!CO4</f>
        <v>0</v>
      </c>
      <c r="CJ4" s="1">
        <f>in!CP4</f>
        <v>0</v>
      </c>
      <c r="CK4" s="1">
        <f>in!CQ4</f>
        <v>1</v>
      </c>
      <c r="CL4" s="1">
        <f>in!CR4</f>
        <v>1</v>
      </c>
      <c r="CM4" s="1">
        <f>in!CS4</f>
        <v>1</v>
      </c>
      <c r="CN4" s="1">
        <f>in!CT4</f>
        <v>1</v>
      </c>
      <c r="CO4" s="1">
        <f>in!CU4</f>
        <v>0</v>
      </c>
      <c r="CP4" s="1">
        <f>in!CV4</f>
        <v>0</v>
      </c>
      <c r="CQ4" s="1">
        <f>in!CW4</f>
        <v>0</v>
      </c>
      <c r="CR4" s="1">
        <f>in!CX4</f>
        <v>0</v>
      </c>
      <c r="CS4" s="1">
        <f>in!CY4</f>
        <v>1</v>
      </c>
      <c r="CT4" s="5">
        <f t="shared" si="10"/>
        <v>8</v>
      </c>
      <c r="CU4" s="5">
        <f t="shared" si="11"/>
        <v>32</v>
      </c>
      <c r="CV4" s="1">
        <f>in!CZ4</f>
        <v>1</v>
      </c>
      <c r="CW4" s="1">
        <f>in!DA4</f>
        <v>0</v>
      </c>
      <c r="CX4" s="1">
        <f>in!DB4</f>
        <v>1</v>
      </c>
      <c r="CY4" s="1">
        <f>in!DC4</f>
        <v>0</v>
      </c>
      <c r="CZ4" s="1">
        <f>in!DD4</f>
        <v>0</v>
      </c>
      <c r="DA4" s="1">
        <f>in!DE4</f>
        <v>0</v>
      </c>
      <c r="DB4" s="1">
        <f>in!DF4</f>
        <v>1</v>
      </c>
      <c r="DC4" s="1">
        <f>in!DG4</f>
        <v>0</v>
      </c>
      <c r="DD4" s="1">
        <f>in!DH4</f>
        <v>1</v>
      </c>
      <c r="DE4" s="1">
        <f>in!DI4</f>
        <v>0</v>
      </c>
      <c r="DF4" s="1">
        <f>in!DJ4</f>
        <v>0</v>
      </c>
      <c r="DG4" s="1">
        <f>in!DK4</f>
        <v>0</v>
      </c>
      <c r="DH4" s="14">
        <f t="shared" si="12"/>
        <v>4</v>
      </c>
      <c r="DI4" s="14">
        <f t="shared" si="13"/>
        <v>33.333333333333336</v>
      </c>
      <c r="DJ4" s="1">
        <f>in!DL4</f>
        <v>1</v>
      </c>
      <c r="DK4" s="1">
        <f>in!DM4</f>
        <v>0</v>
      </c>
      <c r="DL4" s="1">
        <f>in!DN4</f>
        <v>1</v>
      </c>
      <c r="DM4" s="1">
        <f>in!DO4</f>
        <v>1</v>
      </c>
      <c r="DN4" s="1">
        <f>in!DP4</f>
        <v>1</v>
      </c>
      <c r="DO4" s="1">
        <f>in!DQ4</f>
        <v>1</v>
      </c>
      <c r="DP4" s="11">
        <f t="shared" si="0"/>
        <v>5</v>
      </c>
      <c r="DQ4" s="16">
        <f t="shared" si="1"/>
        <v>83.333333333333329</v>
      </c>
      <c r="DR4" s="1">
        <f>in!DR4</f>
        <v>1</v>
      </c>
      <c r="DS4" s="1">
        <f>in!DS4</f>
        <v>0</v>
      </c>
      <c r="DT4" s="1">
        <f>in!DT4</f>
        <v>1</v>
      </c>
      <c r="DU4" s="1">
        <f>in!DU4</f>
        <v>0</v>
      </c>
      <c r="DV4" s="1">
        <f>in!DV4</f>
        <v>1</v>
      </c>
      <c r="DW4" s="1">
        <f>in!DW4</f>
        <v>0</v>
      </c>
      <c r="DX4" s="1">
        <f>in!DX4</f>
        <v>0</v>
      </c>
      <c r="DY4" s="1">
        <f>in!DY4</f>
        <v>1</v>
      </c>
      <c r="DZ4" s="15">
        <f t="shared" si="2"/>
        <v>4</v>
      </c>
      <c r="EA4" s="15">
        <f t="shared" si="3"/>
        <v>50</v>
      </c>
      <c r="EB4" s="1">
        <f>in!DZ4</f>
        <v>0</v>
      </c>
      <c r="EC4" s="1">
        <f>in!EA4</f>
        <v>1</v>
      </c>
      <c r="ED4" s="1">
        <f>in!EB4</f>
        <v>1</v>
      </c>
      <c r="EE4" s="20">
        <f t="shared" si="4"/>
        <v>2</v>
      </c>
      <c r="EF4" s="20">
        <f t="shared" si="5"/>
        <v>66.666666666666671</v>
      </c>
    </row>
    <row r="5" spans="1:136" x14ac:dyDescent="0.35">
      <c r="A5" s="43" t="str">
        <f>in!D5</f>
        <v>CARVAJAL MIRANDA YOELIS MARIA</v>
      </c>
      <c r="B5" s="43">
        <f>in!E5</f>
        <v>5706</v>
      </c>
      <c r="C5" s="1">
        <f>in!M5</f>
        <v>1</v>
      </c>
      <c r="D5" s="1">
        <f>in!N5</f>
        <v>1</v>
      </c>
      <c r="E5" s="1">
        <f>in!O5</f>
        <v>0</v>
      </c>
      <c r="F5" s="1">
        <f>in!P5</f>
        <v>0</v>
      </c>
      <c r="G5" s="1">
        <f>in!Q5</f>
        <v>0</v>
      </c>
      <c r="H5" s="1">
        <f>in!R5</f>
        <v>1</v>
      </c>
      <c r="I5" s="1">
        <f>in!S5</f>
        <v>0</v>
      </c>
      <c r="J5" s="1">
        <f>in!T5</f>
        <v>0</v>
      </c>
      <c r="K5" s="1">
        <f>in!U5</f>
        <v>0</v>
      </c>
      <c r="L5" s="1">
        <f>in!V5</f>
        <v>0</v>
      </c>
      <c r="M5" s="1">
        <f>in!W5</f>
        <v>1</v>
      </c>
      <c r="N5" s="1">
        <f>in!X5</f>
        <v>0</v>
      </c>
      <c r="O5" s="1">
        <f>in!Y5</f>
        <v>0</v>
      </c>
      <c r="P5" s="1">
        <f>in!Z5</f>
        <v>0</v>
      </c>
      <c r="Q5" s="1">
        <f>in!AA5</f>
        <v>0</v>
      </c>
      <c r="R5" s="1">
        <f>in!AB5</f>
        <v>0</v>
      </c>
      <c r="S5" s="1">
        <f>in!AC5</f>
        <v>0</v>
      </c>
      <c r="T5" s="1">
        <f>in!AD5</f>
        <v>0</v>
      </c>
      <c r="U5" s="1">
        <f>in!AE5</f>
        <v>0</v>
      </c>
      <c r="V5" s="1">
        <f>in!AF5</f>
        <v>0</v>
      </c>
      <c r="W5" s="1">
        <f>in!AG5</f>
        <v>1</v>
      </c>
      <c r="X5" s="1">
        <f>in!AH5</f>
        <v>1</v>
      </c>
      <c r="Y5" s="1">
        <f>in!AI5</f>
        <v>0</v>
      </c>
      <c r="Z5" s="1">
        <f>in!AJ5</f>
        <v>0</v>
      </c>
      <c r="AA5" s="1">
        <f>in!AK5</f>
        <v>0</v>
      </c>
      <c r="AB5" s="3">
        <f t="shared" si="6"/>
        <v>6</v>
      </c>
      <c r="AC5" s="3">
        <f t="shared" si="7"/>
        <v>24</v>
      </c>
      <c r="AD5" s="1">
        <f>in!AL5</f>
        <v>0</v>
      </c>
      <c r="AE5" s="1">
        <f>in!AM5</f>
        <v>0</v>
      </c>
      <c r="AF5" s="1">
        <f>in!AN5</f>
        <v>0</v>
      </c>
      <c r="AG5" s="1">
        <f>in!AO5</f>
        <v>0</v>
      </c>
      <c r="AH5" s="1">
        <f>in!AP5</f>
        <v>1</v>
      </c>
      <c r="AI5" s="1">
        <f>in!AQ5</f>
        <v>0</v>
      </c>
      <c r="AJ5" s="1">
        <f>in!AR5</f>
        <v>0</v>
      </c>
      <c r="AK5" s="1">
        <f>in!AS5</f>
        <v>0</v>
      </c>
      <c r="AL5" s="1">
        <f>in!AT5</f>
        <v>1</v>
      </c>
      <c r="AM5" s="1">
        <f>in!AU5</f>
        <v>1</v>
      </c>
      <c r="AN5" s="1">
        <f>in!AV5</f>
        <v>1</v>
      </c>
      <c r="AO5" s="1">
        <f>in!AW5</f>
        <v>1</v>
      </c>
      <c r="AP5" s="1">
        <f>in!AX5</f>
        <v>0</v>
      </c>
      <c r="AQ5" s="1">
        <f>in!AY5</f>
        <v>1</v>
      </c>
      <c r="AR5" s="1">
        <f>in!AZ5</f>
        <v>0</v>
      </c>
      <c r="AS5" s="1">
        <f>in!BA5</f>
        <v>0</v>
      </c>
      <c r="AT5" s="1">
        <f>in!BB5</f>
        <v>1</v>
      </c>
      <c r="AU5" s="1">
        <f>in!BC5</f>
        <v>0</v>
      </c>
      <c r="AV5" s="1">
        <f>in!BD5</f>
        <v>0</v>
      </c>
      <c r="AW5" s="1">
        <f>in!BE5</f>
        <v>1</v>
      </c>
      <c r="AX5" s="1">
        <f>in!BF5</f>
        <v>0</v>
      </c>
      <c r="AY5" s="1">
        <f>in!BG5</f>
        <v>0</v>
      </c>
      <c r="AZ5" s="1">
        <f>in!BH5</f>
        <v>1</v>
      </c>
      <c r="BA5" s="1">
        <f>in!BI5</f>
        <v>1</v>
      </c>
      <c r="BB5" s="1">
        <f>in!BJ5</f>
        <v>1</v>
      </c>
      <c r="BC5" s="1">
        <f>in!BK5</f>
        <v>1</v>
      </c>
      <c r="BD5" s="1">
        <f>in!BL5</f>
        <v>0</v>
      </c>
      <c r="BE5" s="1">
        <f>in!BM5</f>
        <v>0</v>
      </c>
      <c r="BF5" s="1">
        <f>in!BN5</f>
        <v>0</v>
      </c>
      <c r="BG5" s="1">
        <f>in!BO5</f>
        <v>1</v>
      </c>
      <c r="BH5" s="1">
        <f>in!BP5</f>
        <v>1</v>
      </c>
      <c r="BI5" s="1">
        <f>in!BQ5</f>
        <v>0</v>
      </c>
      <c r="BJ5" s="1">
        <f>in!BR5</f>
        <v>0</v>
      </c>
      <c r="BK5" s="1">
        <f>in!BS5</f>
        <v>0</v>
      </c>
      <c r="BL5" s="1">
        <f>in!BT5</f>
        <v>0</v>
      </c>
      <c r="BM5" s="1">
        <f>in!BU5</f>
        <v>0</v>
      </c>
      <c r="BN5" s="1">
        <f>in!BV5</f>
        <v>0</v>
      </c>
      <c r="BO5" s="1">
        <f>in!BW5</f>
        <v>0</v>
      </c>
      <c r="BP5" s="1">
        <f>in!BX5</f>
        <v>1</v>
      </c>
      <c r="BQ5" s="1">
        <f>in!BY5</f>
        <v>0</v>
      </c>
      <c r="BR5" s="1">
        <f>in!BZ5</f>
        <v>1</v>
      </c>
      <c r="BS5" s="4">
        <f t="shared" si="8"/>
        <v>16</v>
      </c>
      <c r="BT5" s="19">
        <f t="shared" si="9"/>
        <v>39.024390243902438</v>
      </c>
      <c r="BU5" s="1">
        <f>in!CA5</f>
        <v>0</v>
      </c>
      <c r="BV5" s="1">
        <f>in!CB5</f>
        <v>1</v>
      </c>
      <c r="BW5" s="1">
        <f>in!CC5</f>
        <v>1</v>
      </c>
      <c r="BX5" s="1">
        <f>in!CD5</f>
        <v>0</v>
      </c>
      <c r="BY5" s="1">
        <f>in!CE5</f>
        <v>1</v>
      </c>
      <c r="BZ5" s="1">
        <f>in!CF5</f>
        <v>0</v>
      </c>
      <c r="CA5" s="1">
        <f>in!CG5</f>
        <v>1</v>
      </c>
      <c r="CB5" s="1">
        <f>in!CH5</f>
        <v>1</v>
      </c>
      <c r="CC5" s="1">
        <f>in!CI5</f>
        <v>0</v>
      </c>
      <c r="CD5" s="1">
        <f>in!CJ5</f>
        <v>0</v>
      </c>
      <c r="CE5" s="1">
        <f>in!CK5</f>
        <v>1</v>
      </c>
      <c r="CF5" s="1">
        <f>in!CL5</f>
        <v>0</v>
      </c>
      <c r="CG5" s="1">
        <f>in!CM5</f>
        <v>0</v>
      </c>
      <c r="CH5" s="1">
        <f>in!CN5</f>
        <v>0</v>
      </c>
      <c r="CI5" s="1">
        <f>in!CO5</f>
        <v>0</v>
      </c>
      <c r="CJ5" s="1">
        <f>in!CP5</f>
        <v>0</v>
      </c>
      <c r="CK5" s="1">
        <f>in!CQ5</f>
        <v>0</v>
      </c>
      <c r="CL5" s="1">
        <f>in!CR5</f>
        <v>0</v>
      </c>
      <c r="CM5" s="1">
        <f>in!CS5</f>
        <v>1</v>
      </c>
      <c r="CN5" s="1">
        <f>in!CT5</f>
        <v>1</v>
      </c>
      <c r="CO5" s="1">
        <f>in!CU5</f>
        <v>0</v>
      </c>
      <c r="CP5" s="1">
        <f>in!CV5</f>
        <v>0</v>
      </c>
      <c r="CQ5" s="1">
        <f>in!CW5</f>
        <v>0</v>
      </c>
      <c r="CR5" s="1">
        <f>in!CX5</f>
        <v>0</v>
      </c>
      <c r="CS5" s="1">
        <f>in!CY5</f>
        <v>1</v>
      </c>
      <c r="CT5" s="5">
        <f t="shared" si="10"/>
        <v>9</v>
      </c>
      <c r="CU5" s="5">
        <f t="shared" si="11"/>
        <v>36</v>
      </c>
      <c r="CV5" s="1">
        <f>in!CZ5</f>
        <v>1</v>
      </c>
      <c r="CW5" s="1">
        <f>in!DA5</f>
        <v>0</v>
      </c>
      <c r="CX5" s="1">
        <f>in!DB5</f>
        <v>0</v>
      </c>
      <c r="CY5" s="1">
        <f>in!DC5</f>
        <v>0</v>
      </c>
      <c r="CZ5" s="1">
        <f>in!DD5</f>
        <v>0</v>
      </c>
      <c r="DA5" s="1">
        <f>in!DE5</f>
        <v>0</v>
      </c>
      <c r="DB5" s="1">
        <f>in!DF5</f>
        <v>0</v>
      </c>
      <c r="DC5" s="1">
        <f>in!DG5</f>
        <v>0</v>
      </c>
      <c r="DD5" s="1">
        <f>in!DH5</f>
        <v>1</v>
      </c>
      <c r="DE5" s="1">
        <f>in!DI5</f>
        <v>1</v>
      </c>
      <c r="DF5" s="1">
        <f>in!DJ5</f>
        <v>1</v>
      </c>
      <c r="DG5" s="1">
        <f>in!DK5</f>
        <v>1</v>
      </c>
      <c r="DH5" s="14">
        <f t="shared" si="12"/>
        <v>5</v>
      </c>
      <c r="DI5" s="14">
        <f t="shared" si="13"/>
        <v>41.666666666666664</v>
      </c>
      <c r="DJ5" s="1">
        <f>in!DL5</f>
        <v>1</v>
      </c>
      <c r="DK5" s="1">
        <f>in!DM5</f>
        <v>1</v>
      </c>
      <c r="DL5" s="1">
        <f>in!DN5</f>
        <v>0</v>
      </c>
      <c r="DM5" s="1">
        <f>in!DO5</f>
        <v>0</v>
      </c>
      <c r="DN5" s="1">
        <f>in!DP5</f>
        <v>1</v>
      </c>
      <c r="DO5" s="1">
        <f>in!DQ5</f>
        <v>0</v>
      </c>
      <c r="DP5" s="11">
        <f t="shared" si="0"/>
        <v>3</v>
      </c>
      <c r="DQ5" s="16">
        <f t="shared" si="1"/>
        <v>50</v>
      </c>
      <c r="DR5" s="1">
        <f>in!DR5</f>
        <v>0</v>
      </c>
      <c r="DS5" s="1">
        <f>in!DS5</f>
        <v>1</v>
      </c>
      <c r="DT5" s="1">
        <f>in!DT5</f>
        <v>0</v>
      </c>
      <c r="DU5" s="1">
        <f>in!DU5</f>
        <v>0</v>
      </c>
      <c r="DV5" s="1">
        <f>in!DV5</f>
        <v>1</v>
      </c>
      <c r="DW5" s="1">
        <f>in!DW5</f>
        <v>0</v>
      </c>
      <c r="DX5" s="1">
        <f>in!DX5</f>
        <v>1</v>
      </c>
      <c r="DY5" s="1">
        <f>in!DY5</f>
        <v>1</v>
      </c>
      <c r="DZ5" s="15">
        <f t="shared" si="2"/>
        <v>4</v>
      </c>
      <c r="EA5" s="15">
        <f t="shared" si="3"/>
        <v>50</v>
      </c>
      <c r="EB5" s="1">
        <f>in!DZ5</f>
        <v>0</v>
      </c>
      <c r="EC5" s="1">
        <f>in!EA5</f>
        <v>1</v>
      </c>
      <c r="ED5" s="1">
        <f>in!EB5</f>
        <v>1</v>
      </c>
      <c r="EE5" s="20">
        <f t="shared" si="4"/>
        <v>2</v>
      </c>
      <c r="EF5" s="20">
        <f t="shared" si="5"/>
        <v>66.666666666666671</v>
      </c>
    </row>
    <row r="6" spans="1:136" x14ac:dyDescent="0.35">
      <c r="A6" s="43" t="str">
        <f>in!D6</f>
        <v>DIAZ DONADO ROSA ANDREA</v>
      </c>
      <c r="B6" s="43">
        <f>in!E6</f>
        <v>5707</v>
      </c>
      <c r="C6" s="1">
        <f>in!M6</f>
        <v>1</v>
      </c>
      <c r="D6" s="1">
        <f>in!N6</f>
        <v>1</v>
      </c>
      <c r="E6" s="1">
        <f>in!O6</f>
        <v>1</v>
      </c>
      <c r="F6" s="1">
        <f>in!P6</f>
        <v>0</v>
      </c>
      <c r="G6" s="1">
        <f>in!Q6</f>
        <v>0</v>
      </c>
      <c r="H6" s="1">
        <f>in!R6</f>
        <v>1</v>
      </c>
      <c r="I6" s="1">
        <f>in!S6</f>
        <v>0</v>
      </c>
      <c r="J6" s="1">
        <f>in!T6</f>
        <v>0</v>
      </c>
      <c r="K6" s="1">
        <f>in!U6</f>
        <v>1</v>
      </c>
      <c r="L6" s="1">
        <f>in!V6</f>
        <v>1</v>
      </c>
      <c r="M6" s="1">
        <f>in!W6</f>
        <v>1</v>
      </c>
      <c r="N6" s="1">
        <f>in!X6</f>
        <v>1</v>
      </c>
      <c r="O6" s="1">
        <f>in!Y6</f>
        <v>1</v>
      </c>
      <c r="P6" s="1">
        <f>in!Z6</f>
        <v>0</v>
      </c>
      <c r="Q6" s="1">
        <f>in!AA6</f>
        <v>0</v>
      </c>
      <c r="R6" s="1">
        <f>in!AB6</f>
        <v>1</v>
      </c>
      <c r="S6" s="1">
        <f>in!AC6</f>
        <v>0</v>
      </c>
      <c r="T6" s="1">
        <f>in!AD6</f>
        <v>0</v>
      </c>
      <c r="U6" s="1">
        <f>in!AE6</f>
        <v>1</v>
      </c>
      <c r="V6" s="1">
        <f>in!AF6</f>
        <v>0</v>
      </c>
      <c r="W6" s="1">
        <f>in!AG6</f>
        <v>0</v>
      </c>
      <c r="X6" s="1">
        <f>in!AH6</f>
        <v>0</v>
      </c>
      <c r="Y6" s="1">
        <f>in!AI6</f>
        <v>0</v>
      </c>
      <c r="Z6" s="1">
        <f>in!AJ6</f>
        <v>0</v>
      </c>
      <c r="AA6" s="1">
        <f>in!AK6</f>
        <v>1</v>
      </c>
      <c r="AB6" s="3">
        <f t="shared" si="6"/>
        <v>12</v>
      </c>
      <c r="AC6" s="3">
        <f t="shared" si="7"/>
        <v>48</v>
      </c>
      <c r="AD6" s="1">
        <f>in!AL6</f>
        <v>0</v>
      </c>
      <c r="AE6" s="1">
        <f>in!AM6</f>
        <v>0</v>
      </c>
      <c r="AF6" s="1">
        <f>in!AN6</f>
        <v>1</v>
      </c>
      <c r="AG6" s="1">
        <f>in!AO6</f>
        <v>1</v>
      </c>
      <c r="AH6" s="1">
        <f>in!AP6</f>
        <v>1</v>
      </c>
      <c r="AI6" s="1">
        <f>in!AQ6</f>
        <v>1</v>
      </c>
      <c r="AJ6" s="1">
        <f>in!AR6</f>
        <v>1</v>
      </c>
      <c r="AK6" s="1">
        <f>in!AS6</f>
        <v>1</v>
      </c>
      <c r="AL6" s="1">
        <f>in!AT6</f>
        <v>1</v>
      </c>
      <c r="AM6" s="1">
        <f>in!AU6</f>
        <v>1</v>
      </c>
      <c r="AN6" s="1">
        <f>in!AV6</f>
        <v>1</v>
      </c>
      <c r="AO6" s="1">
        <f>in!AW6</f>
        <v>0</v>
      </c>
      <c r="AP6" s="1">
        <f>in!AX6</f>
        <v>0</v>
      </c>
      <c r="AQ6" s="1">
        <f>in!AY6</f>
        <v>1</v>
      </c>
      <c r="AR6" s="1">
        <f>in!AZ6</f>
        <v>1</v>
      </c>
      <c r="AS6" s="1">
        <f>in!BA6</f>
        <v>1</v>
      </c>
      <c r="AT6" s="1">
        <f>in!BB6</f>
        <v>0</v>
      </c>
      <c r="AU6" s="1">
        <f>in!BC6</f>
        <v>1</v>
      </c>
      <c r="AV6" s="1">
        <f>in!BD6</f>
        <v>0</v>
      </c>
      <c r="AW6" s="1">
        <f>in!BE6</f>
        <v>1</v>
      </c>
      <c r="AX6" s="1">
        <f>in!BF6</f>
        <v>0</v>
      </c>
      <c r="AY6" s="1">
        <f>in!BG6</f>
        <v>0</v>
      </c>
      <c r="AZ6" s="1">
        <f>in!BH6</f>
        <v>1</v>
      </c>
      <c r="BA6" s="1">
        <f>in!BI6</f>
        <v>1</v>
      </c>
      <c r="BB6" s="1">
        <f>in!BJ6</f>
        <v>1</v>
      </c>
      <c r="BC6" s="1">
        <f>in!BK6</f>
        <v>0</v>
      </c>
      <c r="BD6" s="1">
        <f>in!BL6</f>
        <v>0</v>
      </c>
      <c r="BE6" s="1">
        <f>in!BM6</f>
        <v>1</v>
      </c>
      <c r="BF6" s="1">
        <f>in!BN6</f>
        <v>0</v>
      </c>
      <c r="BG6" s="1">
        <f>in!BO6</f>
        <v>1</v>
      </c>
      <c r="BH6" s="1">
        <f>in!BP6</f>
        <v>0</v>
      </c>
      <c r="BI6" s="1">
        <f>in!BQ6</f>
        <v>0</v>
      </c>
      <c r="BJ6" s="1">
        <f>in!BR6</f>
        <v>1</v>
      </c>
      <c r="BK6" s="1">
        <f>in!BS6</f>
        <v>0</v>
      </c>
      <c r="BL6" s="1">
        <f>in!BT6</f>
        <v>0</v>
      </c>
      <c r="BM6" s="1">
        <f>in!BU6</f>
        <v>1</v>
      </c>
      <c r="BN6" s="1">
        <f>in!BV6</f>
        <v>0</v>
      </c>
      <c r="BO6" s="1">
        <f>in!BW6</f>
        <v>0</v>
      </c>
      <c r="BP6" s="1">
        <f>in!BX6</f>
        <v>1</v>
      </c>
      <c r="BQ6" s="1">
        <f>in!BY6</f>
        <v>0</v>
      </c>
      <c r="BR6" s="1">
        <f>in!BZ6</f>
        <v>1</v>
      </c>
      <c r="BS6" s="4">
        <f t="shared" si="8"/>
        <v>23</v>
      </c>
      <c r="BT6" s="19">
        <f t="shared" si="9"/>
        <v>56.097560975609753</v>
      </c>
      <c r="BU6" s="1">
        <f>in!CA6</f>
        <v>0</v>
      </c>
      <c r="BV6" s="1">
        <f>in!CB6</f>
        <v>0</v>
      </c>
      <c r="BW6" s="1">
        <f>in!CC6</f>
        <v>0</v>
      </c>
      <c r="BX6" s="1">
        <f>in!CD6</f>
        <v>1</v>
      </c>
      <c r="BY6" s="1">
        <f>in!CE6</f>
        <v>0</v>
      </c>
      <c r="BZ6" s="1">
        <f>in!CF6</f>
        <v>0</v>
      </c>
      <c r="CA6" s="1">
        <f>in!CG6</f>
        <v>0</v>
      </c>
      <c r="CB6" s="1">
        <f>in!CH6</f>
        <v>1</v>
      </c>
      <c r="CC6" s="1">
        <f>in!CI6</f>
        <v>0</v>
      </c>
      <c r="CD6" s="1">
        <f>in!CJ6</f>
        <v>1</v>
      </c>
      <c r="CE6" s="1">
        <f>in!CK6</f>
        <v>0</v>
      </c>
      <c r="CF6" s="1">
        <f>in!CL6</f>
        <v>0</v>
      </c>
      <c r="CG6" s="1">
        <f>in!CM6</f>
        <v>0</v>
      </c>
      <c r="CH6" s="1">
        <f>in!CN6</f>
        <v>0</v>
      </c>
      <c r="CI6" s="1">
        <f>in!CO6</f>
        <v>0</v>
      </c>
      <c r="CJ6" s="1">
        <f>in!CP6</f>
        <v>1</v>
      </c>
      <c r="CK6" s="1">
        <f>in!CQ6</f>
        <v>0</v>
      </c>
      <c r="CL6" s="1">
        <f>in!CR6</f>
        <v>0</v>
      </c>
      <c r="CM6" s="1">
        <f>in!CS6</f>
        <v>1</v>
      </c>
      <c r="CN6" s="1">
        <f>in!CT6</f>
        <v>0</v>
      </c>
      <c r="CO6" s="1">
        <f>in!CU6</f>
        <v>0</v>
      </c>
      <c r="CP6" s="1">
        <f>in!CV6</f>
        <v>1</v>
      </c>
      <c r="CQ6" s="1">
        <f>in!CW6</f>
        <v>0</v>
      </c>
      <c r="CR6" s="1">
        <f>in!CX6</f>
        <v>0</v>
      </c>
      <c r="CS6" s="1">
        <f>in!CY6</f>
        <v>1</v>
      </c>
      <c r="CT6" s="5">
        <f t="shared" si="10"/>
        <v>7</v>
      </c>
      <c r="CU6" s="5">
        <f t="shared" si="11"/>
        <v>28</v>
      </c>
      <c r="CV6" s="1">
        <f>in!CZ6</f>
        <v>0</v>
      </c>
      <c r="CW6" s="1">
        <f>in!DA6</f>
        <v>0</v>
      </c>
      <c r="CX6" s="1">
        <f>in!DB6</f>
        <v>0</v>
      </c>
      <c r="CY6" s="1">
        <f>in!DC6</f>
        <v>0</v>
      </c>
      <c r="CZ6" s="1">
        <f>in!DD6</f>
        <v>0</v>
      </c>
      <c r="DA6" s="1">
        <f>in!DE6</f>
        <v>0</v>
      </c>
      <c r="DB6" s="1">
        <f>in!DF6</f>
        <v>1</v>
      </c>
      <c r="DC6" s="1">
        <f>in!DG6</f>
        <v>1</v>
      </c>
      <c r="DD6" s="1">
        <f>in!DH6</f>
        <v>0</v>
      </c>
      <c r="DE6" s="1">
        <f>in!DI6</f>
        <v>1</v>
      </c>
      <c r="DF6" s="1">
        <f>in!DJ6</f>
        <v>0</v>
      </c>
      <c r="DG6" s="1">
        <f>in!DK6</f>
        <v>0</v>
      </c>
      <c r="DH6" s="14">
        <f t="shared" si="12"/>
        <v>3</v>
      </c>
      <c r="DI6" s="14">
        <f t="shared" si="13"/>
        <v>25</v>
      </c>
      <c r="DJ6" s="1">
        <f>in!DL6</f>
        <v>1</v>
      </c>
      <c r="DK6" s="1">
        <f>in!DM6</f>
        <v>0</v>
      </c>
      <c r="DL6" s="1">
        <f>in!DN6</f>
        <v>0</v>
      </c>
      <c r="DM6" s="1">
        <f>in!DO6</f>
        <v>0</v>
      </c>
      <c r="DN6" s="1">
        <f>in!DP6</f>
        <v>1</v>
      </c>
      <c r="DO6" s="1">
        <f>in!DQ6</f>
        <v>1</v>
      </c>
      <c r="DP6" s="11">
        <f t="shared" si="0"/>
        <v>3</v>
      </c>
      <c r="DQ6" s="16">
        <f t="shared" si="1"/>
        <v>50</v>
      </c>
      <c r="DR6" s="1">
        <f>in!DR6</f>
        <v>0</v>
      </c>
      <c r="DS6" s="1">
        <f>in!DS6</f>
        <v>1</v>
      </c>
      <c r="DT6" s="1">
        <f>in!DT6</f>
        <v>1</v>
      </c>
      <c r="DU6" s="1">
        <f>in!DU6</f>
        <v>0</v>
      </c>
      <c r="DV6" s="1">
        <f>in!DV6</f>
        <v>0</v>
      </c>
      <c r="DW6" s="1">
        <f>in!DW6</f>
        <v>0</v>
      </c>
      <c r="DX6" s="1">
        <f>in!DX6</f>
        <v>1</v>
      </c>
      <c r="DY6" s="1">
        <f>in!DY6</f>
        <v>0</v>
      </c>
      <c r="DZ6" s="15">
        <f t="shared" si="2"/>
        <v>3</v>
      </c>
      <c r="EA6" s="15">
        <f t="shared" si="3"/>
        <v>37.5</v>
      </c>
      <c r="EB6" s="1">
        <f>in!DZ6</f>
        <v>0</v>
      </c>
      <c r="EC6" s="1">
        <f>in!EA6</f>
        <v>0</v>
      </c>
      <c r="ED6" s="1">
        <f>in!EB6</f>
        <v>0</v>
      </c>
      <c r="EE6" s="20">
        <f t="shared" si="4"/>
        <v>0</v>
      </c>
      <c r="EF6" s="20">
        <f t="shared" si="5"/>
        <v>0</v>
      </c>
    </row>
    <row r="7" spans="1:136" x14ac:dyDescent="0.35">
      <c r="A7" s="43" t="str">
        <f>in!D7</f>
        <v>DIAZ MARTINEZ DINA MARCELA</v>
      </c>
      <c r="B7" s="43">
        <f>in!E7</f>
        <v>5708</v>
      </c>
      <c r="C7" s="1">
        <f>in!M7</f>
        <v>1</v>
      </c>
      <c r="D7" s="1">
        <f>in!N7</f>
        <v>1</v>
      </c>
      <c r="E7" s="1">
        <f>in!O7</f>
        <v>0</v>
      </c>
      <c r="F7" s="1">
        <f>in!P7</f>
        <v>0</v>
      </c>
      <c r="G7" s="1">
        <f>in!Q7</f>
        <v>0</v>
      </c>
      <c r="H7" s="1">
        <f>in!R7</f>
        <v>1</v>
      </c>
      <c r="I7" s="1">
        <f>in!S7</f>
        <v>0</v>
      </c>
      <c r="J7" s="1">
        <f>in!T7</f>
        <v>0</v>
      </c>
      <c r="K7" s="1">
        <f>in!U7</f>
        <v>1</v>
      </c>
      <c r="L7" s="1">
        <f>in!V7</f>
        <v>0</v>
      </c>
      <c r="M7" s="1">
        <f>in!W7</f>
        <v>0</v>
      </c>
      <c r="N7" s="1">
        <f>in!X7</f>
        <v>1</v>
      </c>
      <c r="O7" s="1">
        <f>in!Y7</f>
        <v>0</v>
      </c>
      <c r="P7" s="1">
        <f>in!Z7</f>
        <v>0</v>
      </c>
      <c r="Q7" s="1">
        <f>in!AA7</f>
        <v>1</v>
      </c>
      <c r="R7" s="1">
        <f>in!AB7</f>
        <v>0</v>
      </c>
      <c r="S7" s="1">
        <f>in!AC7</f>
        <v>0</v>
      </c>
      <c r="T7" s="1">
        <f>in!AD7</f>
        <v>0</v>
      </c>
      <c r="U7" s="1">
        <f>in!AE7</f>
        <v>1</v>
      </c>
      <c r="V7" s="1">
        <f>in!AF7</f>
        <v>0</v>
      </c>
      <c r="W7" s="1">
        <f>in!AG7</f>
        <v>1</v>
      </c>
      <c r="X7" s="1">
        <f>in!AH7</f>
        <v>0</v>
      </c>
      <c r="Y7" s="1">
        <f>in!AI7</f>
        <v>1</v>
      </c>
      <c r="Z7" s="1">
        <f>in!AJ7</f>
        <v>0</v>
      </c>
      <c r="AA7" s="1">
        <f>in!AK7</f>
        <v>0</v>
      </c>
      <c r="AB7" s="3">
        <f t="shared" si="6"/>
        <v>9</v>
      </c>
      <c r="AC7" s="3">
        <f t="shared" si="7"/>
        <v>36</v>
      </c>
      <c r="AD7" s="1">
        <f>in!AL7</f>
        <v>0</v>
      </c>
      <c r="AE7" s="1">
        <f>in!AM7</f>
        <v>0</v>
      </c>
      <c r="AF7" s="1">
        <f>in!AN7</f>
        <v>1</v>
      </c>
      <c r="AG7" s="1">
        <f>in!AO7</f>
        <v>1</v>
      </c>
      <c r="AH7" s="1">
        <f>in!AP7</f>
        <v>1</v>
      </c>
      <c r="AI7" s="1">
        <f>in!AQ7</f>
        <v>0</v>
      </c>
      <c r="AJ7" s="1">
        <f>in!AR7</f>
        <v>1</v>
      </c>
      <c r="AK7" s="1">
        <f>in!AS7</f>
        <v>0</v>
      </c>
      <c r="AL7" s="1">
        <f>in!AT7</f>
        <v>0</v>
      </c>
      <c r="AM7" s="1">
        <f>in!AU7</f>
        <v>0</v>
      </c>
      <c r="AN7" s="1">
        <f>in!AV7</f>
        <v>0</v>
      </c>
      <c r="AO7" s="1">
        <f>in!AW7</f>
        <v>1</v>
      </c>
      <c r="AP7" s="1">
        <f>in!AX7</f>
        <v>0</v>
      </c>
      <c r="AQ7" s="1">
        <f>in!AY7</f>
        <v>1</v>
      </c>
      <c r="AR7" s="1">
        <f>in!AZ7</f>
        <v>1</v>
      </c>
      <c r="AS7" s="1">
        <f>in!BA7</f>
        <v>0</v>
      </c>
      <c r="AT7" s="1">
        <f>in!BB7</f>
        <v>0</v>
      </c>
      <c r="AU7" s="1">
        <f>in!BC7</f>
        <v>0</v>
      </c>
      <c r="AV7" s="1">
        <f>in!BD7</f>
        <v>1</v>
      </c>
      <c r="AW7" s="1">
        <f>in!BE7</f>
        <v>1</v>
      </c>
      <c r="AX7" s="1">
        <f>in!BF7</f>
        <v>0</v>
      </c>
      <c r="AY7" s="1">
        <f>in!BG7</f>
        <v>0</v>
      </c>
      <c r="AZ7" s="1">
        <f>in!BH7</f>
        <v>1</v>
      </c>
      <c r="BA7" s="1">
        <f>in!BI7</f>
        <v>1</v>
      </c>
      <c r="BB7" s="1">
        <f>in!BJ7</f>
        <v>0</v>
      </c>
      <c r="BC7" s="1">
        <f>in!BK7</f>
        <v>0</v>
      </c>
      <c r="BD7" s="1">
        <f>in!BL7</f>
        <v>1</v>
      </c>
      <c r="BE7" s="1">
        <f>in!BM7</f>
        <v>1</v>
      </c>
      <c r="BF7" s="1">
        <f>in!BN7</f>
        <v>0</v>
      </c>
      <c r="BG7" s="1">
        <f>in!BO7</f>
        <v>1</v>
      </c>
      <c r="BH7" s="1">
        <f>in!BP7</f>
        <v>1</v>
      </c>
      <c r="BI7" s="1">
        <f>in!BQ7</f>
        <v>0</v>
      </c>
      <c r="BJ7" s="1">
        <f>in!BR7</f>
        <v>0</v>
      </c>
      <c r="BK7" s="1">
        <f>in!BS7</f>
        <v>0</v>
      </c>
      <c r="BL7" s="1">
        <f>in!BT7</f>
        <v>0</v>
      </c>
      <c r="BM7" s="1">
        <f>in!BU7</f>
        <v>0</v>
      </c>
      <c r="BN7" s="1">
        <f>in!BV7</f>
        <v>0</v>
      </c>
      <c r="BO7" s="1">
        <f>in!BW7</f>
        <v>0</v>
      </c>
      <c r="BP7" s="1">
        <f>in!BX7</f>
        <v>0</v>
      </c>
      <c r="BQ7" s="1">
        <f>in!BY7</f>
        <v>1</v>
      </c>
      <c r="BR7" s="1">
        <f>in!BZ7</f>
        <v>0</v>
      </c>
      <c r="BS7" s="4">
        <f t="shared" si="8"/>
        <v>16</v>
      </c>
      <c r="BT7" s="19">
        <f t="shared" si="9"/>
        <v>39.024390243902438</v>
      </c>
      <c r="BU7" s="1">
        <f>in!CA7</f>
        <v>0</v>
      </c>
      <c r="BV7" s="1">
        <f>in!CB7</f>
        <v>1</v>
      </c>
      <c r="BW7" s="1">
        <f>in!CC7</f>
        <v>0</v>
      </c>
      <c r="BX7" s="1">
        <f>in!CD7</f>
        <v>0</v>
      </c>
      <c r="BY7" s="1">
        <f>in!CE7</f>
        <v>1</v>
      </c>
      <c r="BZ7" s="1">
        <f>in!CF7</f>
        <v>1</v>
      </c>
      <c r="CA7" s="1">
        <f>in!CG7</f>
        <v>0</v>
      </c>
      <c r="CB7" s="1">
        <f>in!CH7</f>
        <v>0</v>
      </c>
      <c r="CC7" s="1">
        <f>in!CI7</f>
        <v>1</v>
      </c>
      <c r="CD7" s="1">
        <f>in!CJ7</f>
        <v>1</v>
      </c>
      <c r="CE7" s="1">
        <f>in!CK7</f>
        <v>1</v>
      </c>
      <c r="CF7" s="1">
        <f>in!CL7</f>
        <v>1</v>
      </c>
      <c r="CG7" s="1">
        <f>in!CM7</f>
        <v>0</v>
      </c>
      <c r="CH7" s="1">
        <f>in!CN7</f>
        <v>0</v>
      </c>
      <c r="CI7" s="1">
        <f>in!CO7</f>
        <v>1</v>
      </c>
      <c r="CJ7" s="1">
        <f>in!CP7</f>
        <v>0</v>
      </c>
      <c r="CK7" s="1">
        <f>in!CQ7</f>
        <v>1</v>
      </c>
      <c r="CL7" s="1">
        <f>in!CR7</f>
        <v>1</v>
      </c>
      <c r="CM7" s="1">
        <f>in!CS7</f>
        <v>0</v>
      </c>
      <c r="CN7" s="1">
        <f>in!CT7</f>
        <v>1</v>
      </c>
      <c r="CO7" s="1">
        <f>in!CU7</f>
        <v>0</v>
      </c>
      <c r="CP7" s="1">
        <f>in!CV7</f>
        <v>0</v>
      </c>
      <c r="CQ7" s="1">
        <f>in!CW7</f>
        <v>0</v>
      </c>
      <c r="CR7" s="1">
        <f>in!CX7</f>
        <v>0</v>
      </c>
      <c r="CS7" s="1">
        <f>in!CY7</f>
        <v>1</v>
      </c>
      <c r="CT7" s="5">
        <f t="shared" si="10"/>
        <v>12</v>
      </c>
      <c r="CU7" s="5">
        <f t="shared" si="11"/>
        <v>48</v>
      </c>
      <c r="CV7" s="1">
        <f>in!CZ7</f>
        <v>1</v>
      </c>
      <c r="CW7" s="1">
        <f>in!DA7</f>
        <v>0</v>
      </c>
      <c r="CX7" s="1">
        <f>in!DB7</f>
        <v>1</v>
      </c>
      <c r="CY7" s="1">
        <f>in!DC7</f>
        <v>0</v>
      </c>
      <c r="CZ7" s="1">
        <f>in!DD7</f>
        <v>0</v>
      </c>
      <c r="DA7" s="1">
        <f>in!DE7</f>
        <v>0</v>
      </c>
      <c r="DB7" s="1">
        <f>in!DF7</f>
        <v>1</v>
      </c>
      <c r="DC7" s="1">
        <f>in!DG7</f>
        <v>0</v>
      </c>
      <c r="DD7" s="1">
        <f>in!DH7</f>
        <v>0</v>
      </c>
      <c r="DE7" s="1">
        <f>in!DI7</f>
        <v>1</v>
      </c>
      <c r="DF7" s="1">
        <f>in!DJ7</f>
        <v>0</v>
      </c>
      <c r="DG7" s="1">
        <f>in!DK7</f>
        <v>0</v>
      </c>
      <c r="DH7" s="14">
        <f t="shared" si="12"/>
        <v>4</v>
      </c>
      <c r="DI7" s="14">
        <f t="shared" si="13"/>
        <v>33.333333333333336</v>
      </c>
      <c r="DJ7" s="1">
        <f>in!DL7</f>
        <v>0</v>
      </c>
      <c r="DK7" s="1">
        <f>in!DM7</f>
        <v>0</v>
      </c>
      <c r="DL7" s="1">
        <f>in!DN7</f>
        <v>0</v>
      </c>
      <c r="DM7" s="1">
        <f>in!DO7</f>
        <v>0</v>
      </c>
      <c r="DN7" s="1">
        <f>in!DP7</f>
        <v>1</v>
      </c>
      <c r="DO7" s="1">
        <f>in!DQ7</f>
        <v>1</v>
      </c>
      <c r="DP7" s="11">
        <f t="shared" si="0"/>
        <v>2</v>
      </c>
      <c r="DQ7" s="16">
        <f t="shared" si="1"/>
        <v>33.333333333333336</v>
      </c>
      <c r="DR7" s="1">
        <f>in!DR7</f>
        <v>0</v>
      </c>
      <c r="DS7" s="1">
        <f>in!DS7</f>
        <v>0</v>
      </c>
      <c r="DT7" s="1">
        <f>in!DT7</f>
        <v>1</v>
      </c>
      <c r="DU7" s="1">
        <f>in!DU7</f>
        <v>0</v>
      </c>
      <c r="DV7" s="1">
        <f>in!DV7</f>
        <v>1</v>
      </c>
      <c r="DW7" s="1">
        <f>in!DW7</f>
        <v>0</v>
      </c>
      <c r="DX7" s="1">
        <f>in!DX7</f>
        <v>1</v>
      </c>
      <c r="DY7" s="1">
        <f>in!DY7</f>
        <v>0</v>
      </c>
      <c r="DZ7" s="15">
        <f t="shared" si="2"/>
        <v>3</v>
      </c>
      <c r="EA7" s="15">
        <f t="shared" si="3"/>
        <v>37.5</v>
      </c>
      <c r="EB7" s="1">
        <f>in!DZ7</f>
        <v>1</v>
      </c>
      <c r="EC7" s="1">
        <f>in!EA7</f>
        <v>0</v>
      </c>
      <c r="ED7" s="1">
        <f>in!EB7</f>
        <v>1</v>
      </c>
      <c r="EE7" s="20">
        <f t="shared" si="4"/>
        <v>2</v>
      </c>
      <c r="EF7" s="20">
        <f t="shared" si="5"/>
        <v>66.666666666666671</v>
      </c>
    </row>
    <row r="8" spans="1:136" x14ac:dyDescent="0.35">
      <c r="A8" s="43" t="str">
        <f>in!D8</f>
        <v>LAGARES PEREZ OVIER ANTONIO</v>
      </c>
      <c r="B8" s="43">
        <f>in!E8</f>
        <v>5709</v>
      </c>
      <c r="C8" s="1">
        <f>in!M8</f>
        <v>1</v>
      </c>
      <c r="D8" s="1">
        <f>in!N8</f>
        <v>1</v>
      </c>
      <c r="E8" s="1">
        <f>in!O8</f>
        <v>0</v>
      </c>
      <c r="F8" s="1">
        <f>in!P8</f>
        <v>1</v>
      </c>
      <c r="G8" s="1">
        <f>in!Q8</f>
        <v>0</v>
      </c>
      <c r="H8" s="1">
        <f>in!R8</f>
        <v>0</v>
      </c>
      <c r="I8" s="1">
        <f>in!S8</f>
        <v>0</v>
      </c>
      <c r="J8" s="1">
        <f>in!T8</f>
        <v>0</v>
      </c>
      <c r="K8" s="1">
        <f>in!U8</f>
        <v>1</v>
      </c>
      <c r="L8" s="1">
        <f>in!V8</f>
        <v>0</v>
      </c>
      <c r="M8" s="1">
        <f>in!W8</f>
        <v>1</v>
      </c>
      <c r="N8" s="1">
        <f>in!X8</f>
        <v>1</v>
      </c>
      <c r="O8" s="1">
        <f>in!Y8</f>
        <v>1</v>
      </c>
      <c r="P8" s="1">
        <f>in!Z8</f>
        <v>0</v>
      </c>
      <c r="Q8" s="1">
        <f>in!AA8</f>
        <v>1</v>
      </c>
      <c r="R8" s="1">
        <f>in!AB8</f>
        <v>1</v>
      </c>
      <c r="S8" s="1">
        <f>in!AC8</f>
        <v>0</v>
      </c>
      <c r="T8" s="1">
        <f>in!AD8</f>
        <v>1</v>
      </c>
      <c r="U8" s="1">
        <f>in!AE8</f>
        <v>1</v>
      </c>
      <c r="V8" s="1">
        <f>in!AF8</f>
        <v>1</v>
      </c>
      <c r="W8" s="1">
        <f>in!AG8</f>
        <v>0</v>
      </c>
      <c r="X8" s="1">
        <f>in!AH8</f>
        <v>0</v>
      </c>
      <c r="Y8" s="1">
        <f>in!AI8</f>
        <v>0</v>
      </c>
      <c r="Z8" s="1">
        <f>in!AJ8</f>
        <v>1</v>
      </c>
      <c r="AA8" s="1">
        <f>in!AK8</f>
        <v>0</v>
      </c>
      <c r="AB8" s="3">
        <f t="shared" si="6"/>
        <v>13</v>
      </c>
      <c r="AC8" s="3">
        <f t="shared" si="7"/>
        <v>52</v>
      </c>
      <c r="AD8" s="1">
        <f>in!AL8</f>
        <v>0</v>
      </c>
      <c r="AE8" s="1">
        <f>in!AM8</f>
        <v>0</v>
      </c>
      <c r="AF8" s="1">
        <f>in!AN8</f>
        <v>1</v>
      </c>
      <c r="AG8" s="1">
        <f>in!AO8</f>
        <v>1</v>
      </c>
      <c r="AH8" s="1">
        <f>in!AP8</f>
        <v>1</v>
      </c>
      <c r="AI8" s="1">
        <f>in!AQ8</f>
        <v>1</v>
      </c>
      <c r="AJ8" s="1">
        <f>in!AR8</f>
        <v>0</v>
      </c>
      <c r="AK8" s="1">
        <f>in!AS8</f>
        <v>0</v>
      </c>
      <c r="AL8" s="1">
        <f>in!AT8</f>
        <v>1</v>
      </c>
      <c r="AM8" s="1">
        <f>in!AU8</f>
        <v>1</v>
      </c>
      <c r="AN8" s="1">
        <f>in!AV8</f>
        <v>1</v>
      </c>
      <c r="AO8" s="1">
        <f>in!AW8</f>
        <v>1</v>
      </c>
      <c r="AP8" s="1">
        <f>in!AX8</f>
        <v>0</v>
      </c>
      <c r="AQ8" s="1">
        <f>in!AY8</f>
        <v>0</v>
      </c>
      <c r="AR8" s="1">
        <f>in!AZ8</f>
        <v>1</v>
      </c>
      <c r="AS8" s="1">
        <f>in!BA8</f>
        <v>1</v>
      </c>
      <c r="AT8" s="1">
        <f>in!BB8</f>
        <v>1</v>
      </c>
      <c r="AU8" s="1">
        <f>in!BC8</f>
        <v>0</v>
      </c>
      <c r="AV8" s="1">
        <f>in!BD8</f>
        <v>0</v>
      </c>
      <c r="AW8" s="1">
        <f>in!BE8</f>
        <v>0</v>
      </c>
      <c r="AX8" s="1">
        <f>in!BF8</f>
        <v>0</v>
      </c>
      <c r="AY8" s="1">
        <f>in!BG8</f>
        <v>0</v>
      </c>
      <c r="AZ8" s="1">
        <f>in!BH8</f>
        <v>1</v>
      </c>
      <c r="BA8" s="1">
        <f>in!BI8</f>
        <v>1</v>
      </c>
      <c r="BB8" s="1">
        <f>in!BJ8</f>
        <v>1</v>
      </c>
      <c r="BC8" s="1">
        <f>in!BK8</f>
        <v>0</v>
      </c>
      <c r="BD8" s="1">
        <f>in!BL8</f>
        <v>1</v>
      </c>
      <c r="BE8" s="1">
        <f>in!BM8</f>
        <v>1</v>
      </c>
      <c r="BF8" s="1">
        <f>in!BN8</f>
        <v>0</v>
      </c>
      <c r="BG8" s="1">
        <f>in!BO8</f>
        <v>1</v>
      </c>
      <c r="BH8" s="1">
        <f>in!BP8</f>
        <v>0</v>
      </c>
      <c r="BI8" s="1">
        <f>in!BQ8</f>
        <v>0</v>
      </c>
      <c r="BJ8" s="1">
        <f>in!BR8</f>
        <v>0</v>
      </c>
      <c r="BK8" s="1">
        <f>in!BS8</f>
        <v>1</v>
      </c>
      <c r="BL8" s="1">
        <f>in!BT8</f>
        <v>0</v>
      </c>
      <c r="BM8" s="1">
        <f>in!BU8</f>
        <v>1</v>
      </c>
      <c r="BN8" s="1">
        <f>in!BV8</f>
        <v>0</v>
      </c>
      <c r="BO8" s="1">
        <f>in!BW8</f>
        <v>0</v>
      </c>
      <c r="BP8" s="1">
        <f>in!BX8</f>
        <v>1</v>
      </c>
      <c r="BQ8" s="1">
        <f>in!BY8</f>
        <v>0</v>
      </c>
      <c r="BR8" s="1">
        <f>in!BZ8</f>
        <v>1</v>
      </c>
      <c r="BS8" s="4">
        <f t="shared" si="8"/>
        <v>21</v>
      </c>
      <c r="BT8" s="19">
        <f t="shared" si="9"/>
        <v>51.219512195121951</v>
      </c>
      <c r="BU8" s="1">
        <f>in!CA8</f>
        <v>1</v>
      </c>
      <c r="BV8" s="1">
        <f>in!CB8</f>
        <v>0</v>
      </c>
      <c r="BW8" s="1">
        <f>in!CC8</f>
        <v>1</v>
      </c>
      <c r="BX8" s="1">
        <f>in!CD8</f>
        <v>0</v>
      </c>
      <c r="BY8" s="1">
        <f>in!CE8</f>
        <v>1</v>
      </c>
      <c r="BZ8" s="1">
        <f>in!CF8</f>
        <v>0</v>
      </c>
      <c r="CA8" s="1">
        <f>in!CG8</f>
        <v>1</v>
      </c>
      <c r="CB8" s="1">
        <f>in!CH8</f>
        <v>1</v>
      </c>
      <c r="CC8" s="1">
        <f>in!CI8</f>
        <v>0</v>
      </c>
      <c r="CD8" s="1">
        <f>in!CJ8</f>
        <v>0</v>
      </c>
      <c r="CE8" s="1">
        <f>in!CK8</f>
        <v>1</v>
      </c>
      <c r="CF8" s="1">
        <f>in!CL8</f>
        <v>0</v>
      </c>
      <c r="CG8" s="1">
        <f>in!CM8</f>
        <v>1</v>
      </c>
      <c r="CH8" s="1">
        <f>in!CN8</f>
        <v>1</v>
      </c>
      <c r="CI8" s="1">
        <f>in!CO8</f>
        <v>1</v>
      </c>
      <c r="CJ8" s="1">
        <f>in!CP8</f>
        <v>1</v>
      </c>
      <c r="CK8" s="1">
        <f>in!CQ8</f>
        <v>0</v>
      </c>
      <c r="CL8" s="1">
        <f>in!CR8</f>
        <v>0</v>
      </c>
      <c r="CM8" s="1">
        <f>in!CS8</f>
        <v>1</v>
      </c>
      <c r="CN8" s="1">
        <f>in!CT8</f>
        <v>1</v>
      </c>
      <c r="CO8" s="1">
        <f>in!CU8</f>
        <v>1</v>
      </c>
      <c r="CP8" s="1">
        <f>in!CV8</f>
        <v>0</v>
      </c>
      <c r="CQ8" s="1">
        <f>in!CW8</f>
        <v>0</v>
      </c>
      <c r="CR8" s="1">
        <f>in!CX8</f>
        <v>0</v>
      </c>
      <c r="CS8" s="1">
        <f>in!CY8</f>
        <v>0</v>
      </c>
      <c r="CT8" s="5">
        <f t="shared" si="10"/>
        <v>13</v>
      </c>
      <c r="CU8" s="5">
        <f t="shared" si="11"/>
        <v>52</v>
      </c>
      <c r="CV8" s="1">
        <f>in!CZ8</f>
        <v>1</v>
      </c>
      <c r="CW8" s="1">
        <f>in!DA8</f>
        <v>0</v>
      </c>
      <c r="CX8" s="1">
        <f>in!DB8</f>
        <v>0</v>
      </c>
      <c r="CY8" s="1">
        <f>in!DC8</f>
        <v>0</v>
      </c>
      <c r="CZ8" s="1">
        <f>in!DD8</f>
        <v>1</v>
      </c>
      <c r="DA8" s="1">
        <f>in!DE8</f>
        <v>1</v>
      </c>
      <c r="DB8" s="1">
        <f>in!DF8</f>
        <v>0</v>
      </c>
      <c r="DC8" s="1">
        <f>in!DG8</f>
        <v>1</v>
      </c>
      <c r="DD8" s="1">
        <f>in!DH8</f>
        <v>0</v>
      </c>
      <c r="DE8" s="1">
        <f>in!DI8</f>
        <v>1</v>
      </c>
      <c r="DF8" s="1">
        <f>in!DJ8</f>
        <v>0</v>
      </c>
      <c r="DG8" s="1">
        <f>in!DK8</f>
        <v>0</v>
      </c>
      <c r="DH8" s="14">
        <f t="shared" si="12"/>
        <v>5</v>
      </c>
      <c r="DI8" s="14">
        <f t="shared" si="13"/>
        <v>41.666666666666664</v>
      </c>
      <c r="DJ8" s="1">
        <f>in!DL8</f>
        <v>0</v>
      </c>
      <c r="DK8" s="1">
        <f>in!DM8</f>
        <v>0</v>
      </c>
      <c r="DL8" s="1">
        <f>in!DN8</f>
        <v>0</v>
      </c>
      <c r="DM8" s="1">
        <f>in!DO8</f>
        <v>0</v>
      </c>
      <c r="DN8" s="1">
        <f>in!DP8</f>
        <v>1</v>
      </c>
      <c r="DO8" s="1">
        <f>in!DQ8</f>
        <v>0</v>
      </c>
      <c r="DP8" s="11">
        <f t="shared" si="0"/>
        <v>1</v>
      </c>
      <c r="DQ8" s="16">
        <f t="shared" si="1"/>
        <v>16.666666666666668</v>
      </c>
      <c r="DR8" s="1">
        <f>in!DR8</f>
        <v>0</v>
      </c>
      <c r="DS8" s="1">
        <f>in!DS8</f>
        <v>0</v>
      </c>
      <c r="DT8" s="1">
        <f>in!DT8</f>
        <v>0</v>
      </c>
      <c r="DU8" s="1">
        <f>in!DU8</f>
        <v>0</v>
      </c>
      <c r="DV8" s="1">
        <f>in!DV8</f>
        <v>1</v>
      </c>
      <c r="DW8" s="1">
        <f>in!DW8</f>
        <v>0</v>
      </c>
      <c r="DX8" s="1">
        <f>in!DX8</f>
        <v>1</v>
      </c>
      <c r="DY8" s="1">
        <f>in!DY8</f>
        <v>0</v>
      </c>
      <c r="DZ8" s="15">
        <f t="shared" si="2"/>
        <v>2</v>
      </c>
      <c r="EA8" s="15">
        <f t="shared" si="3"/>
        <v>25</v>
      </c>
      <c r="EB8" s="1">
        <f>in!DZ8</f>
        <v>0</v>
      </c>
      <c r="EC8" s="1">
        <f>in!EA8</f>
        <v>1</v>
      </c>
      <c r="ED8" s="1">
        <f>in!EB8</f>
        <v>0</v>
      </c>
      <c r="EE8" s="20">
        <f t="shared" si="4"/>
        <v>1</v>
      </c>
      <c r="EF8" s="20">
        <f t="shared" si="5"/>
        <v>33.333333333333336</v>
      </c>
    </row>
    <row r="9" spans="1:136" x14ac:dyDescent="0.35">
      <c r="A9" s="43" t="str">
        <f>in!D9</f>
        <v xml:space="preserve">SANTANA RAMOS EUSEBIO </v>
      </c>
      <c r="B9" s="43">
        <f>in!E9</f>
        <v>5711</v>
      </c>
      <c r="C9" s="1">
        <f>in!M9</f>
        <v>1</v>
      </c>
      <c r="D9" s="1">
        <f>in!N9</f>
        <v>1</v>
      </c>
      <c r="E9" s="1">
        <f>in!O9</f>
        <v>1</v>
      </c>
      <c r="F9" s="1">
        <f>in!P9</f>
        <v>0</v>
      </c>
      <c r="G9" s="1">
        <f>in!Q9</f>
        <v>0</v>
      </c>
      <c r="H9" s="1">
        <f>in!R9</f>
        <v>1</v>
      </c>
      <c r="I9" s="1">
        <f>in!S9</f>
        <v>0</v>
      </c>
      <c r="J9" s="1">
        <f>in!T9</f>
        <v>1</v>
      </c>
      <c r="K9" s="1">
        <f>in!U9</f>
        <v>0</v>
      </c>
      <c r="L9" s="1">
        <f>in!V9</f>
        <v>1</v>
      </c>
      <c r="M9" s="1">
        <f>in!W9</f>
        <v>0</v>
      </c>
      <c r="N9" s="1">
        <f>in!X9</f>
        <v>0</v>
      </c>
      <c r="O9" s="1">
        <f>in!Y9</f>
        <v>1</v>
      </c>
      <c r="P9" s="1">
        <f>in!Z9</f>
        <v>0</v>
      </c>
      <c r="Q9" s="1">
        <f>in!AA9</f>
        <v>0</v>
      </c>
      <c r="R9" s="1">
        <f>in!AB9</f>
        <v>1</v>
      </c>
      <c r="S9" s="1">
        <f>in!AC9</f>
        <v>0</v>
      </c>
      <c r="T9" s="1">
        <f>in!AD9</f>
        <v>0</v>
      </c>
      <c r="U9" s="1">
        <f>in!AE9</f>
        <v>1</v>
      </c>
      <c r="V9" s="1">
        <f>in!AF9</f>
        <v>1</v>
      </c>
      <c r="W9" s="1">
        <f>in!AG9</f>
        <v>1</v>
      </c>
      <c r="X9" s="1">
        <f>in!AH9</f>
        <v>0</v>
      </c>
      <c r="Y9" s="1">
        <f>in!AI9</f>
        <v>0</v>
      </c>
      <c r="Z9" s="1">
        <f>in!AJ9</f>
        <v>1</v>
      </c>
      <c r="AA9" s="1">
        <f>in!AK9</f>
        <v>0</v>
      </c>
      <c r="AB9" s="3">
        <f t="shared" si="6"/>
        <v>12</v>
      </c>
      <c r="AC9" s="3">
        <f t="shared" si="7"/>
        <v>48</v>
      </c>
      <c r="AD9" s="1">
        <f>in!AL9</f>
        <v>0</v>
      </c>
      <c r="AE9" s="1">
        <f>in!AM9</f>
        <v>1</v>
      </c>
      <c r="AF9" s="1">
        <f>in!AN9</f>
        <v>1</v>
      </c>
      <c r="AG9" s="1">
        <f>in!AO9</f>
        <v>0</v>
      </c>
      <c r="AH9" s="1">
        <f>in!AP9</f>
        <v>1</v>
      </c>
      <c r="AI9" s="1">
        <f>in!AQ9</f>
        <v>0</v>
      </c>
      <c r="AJ9" s="1">
        <f>in!AR9</f>
        <v>0</v>
      </c>
      <c r="AK9" s="1">
        <f>in!AS9</f>
        <v>1</v>
      </c>
      <c r="AL9" s="1">
        <f>in!AT9</f>
        <v>1</v>
      </c>
      <c r="AM9" s="1">
        <f>in!AU9</f>
        <v>1</v>
      </c>
      <c r="AN9" s="1">
        <f>in!AV9</f>
        <v>1</v>
      </c>
      <c r="AO9" s="1">
        <f>in!AW9</f>
        <v>0</v>
      </c>
      <c r="AP9" s="1">
        <f>in!AX9</f>
        <v>0</v>
      </c>
      <c r="AQ9" s="1">
        <f>in!AY9</f>
        <v>0</v>
      </c>
      <c r="AR9" s="1">
        <f>in!AZ9</f>
        <v>1</v>
      </c>
      <c r="AS9" s="1">
        <f>in!BA9</f>
        <v>1</v>
      </c>
      <c r="AT9" s="1">
        <f>in!BB9</f>
        <v>1</v>
      </c>
      <c r="AU9" s="1">
        <f>in!BC9</f>
        <v>1</v>
      </c>
      <c r="AV9" s="1">
        <f>in!BD9</f>
        <v>0</v>
      </c>
      <c r="AW9" s="1">
        <f>in!BE9</f>
        <v>1</v>
      </c>
      <c r="AX9" s="1">
        <f>in!BF9</f>
        <v>1</v>
      </c>
      <c r="AY9" s="1">
        <f>in!BG9</f>
        <v>1</v>
      </c>
      <c r="AZ9" s="1">
        <f>in!BH9</f>
        <v>1</v>
      </c>
      <c r="BA9" s="1">
        <f>in!BI9</f>
        <v>1</v>
      </c>
      <c r="BB9" s="1">
        <f>in!BJ9</f>
        <v>0</v>
      </c>
      <c r="BC9" s="1">
        <f>in!BK9</f>
        <v>1</v>
      </c>
      <c r="BD9" s="1">
        <f>in!BL9</f>
        <v>0</v>
      </c>
      <c r="BE9" s="1">
        <f>in!BM9</f>
        <v>1</v>
      </c>
      <c r="BF9" s="1">
        <f>in!BN9</f>
        <v>0</v>
      </c>
      <c r="BG9" s="1">
        <f>in!BO9</f>
        <v>1</v>
      </c>
      <c r="BH9" s="1">
        <f>in!BP9</f>
        <v>0</v>
      </c>
      <c r="BI9" s="1">
        <f>in!BQ9</f>
        <v>0</v>
      </c>
      <c r="BJ9" s="1">
        <f>in!BR9</f>
        <v>1</v>
      </c>
      <c r="BK9" s="1">
        <f>in!BS9</f>
        <v>1</v>
      </c>
      <c r="BL9" s="1">
        <f>in!BT9</f>
        <v>1</v>
      </c>
      <c r="BM9" s="1">
        <f>in!BU9</f>
        <v>0</v>
      </c>
      <c r="BN9" s="1">
        <f>in!BV9</f>
        <v>0</v>
      </c>
      <c r="BO9" s="1">
        <f>in!BW9</f>
        <v>0</v>
      </c>
      <c r="BP9" s="1">
        <f>in!BX9</f>
        <v>1</v>
      </c>
      <c r="BQ9" s="1">
        <f>in!BY9</f>
        <v>0</v>
      </c>
      <c r="BR9" s="1">
        <f>in!BZ9</f>
        <v>0</v>
      </c>
      <c r="BS9" s="4">
        <f t="shared" si="8"/>
        <v>23</v>
      </c>
      <c r="BT9" s="19">
        <f t="shared" si="9"/>
        <v>56.097560975609753</v>
      </c>
      <c r="BU9" s="1">
        <f>in!CA9</f>
        <v>0</v>
      </c>
      <c r="BV9" s="1">
        <f>in!CB9</f>
        <v>1</v>
      </c>
      <c r="BW9" s="1">
        <f>in!CC9</f>
        <v>1</v>
      </c>
      <c r="BX9" s="1">
        <f>in!CD9</f>
        <v>0</v>
      </c>
      <c r="BY9" s="1">
        <f>in!CE9</f>
        <v>0</v>
      </c>
      <c r="BZ9" s="1">
        <f>in!CF9</f>
        <v>1</v>
      </c>
      <c r="CA9" s="1">
        <f>in!CG9</f>
        <v>0</v>
      </c>
      <c r="CB9" s="1">
        <f>in!CH9</f>
        <v>1</v>
      </c>
      <c r="CC9" s="1">
        <f>in!CI9</f>
        <v>0</v>
      </c>
      <c r="CD9" s="1">
        <f>in!CJ9</f>
        <v>0</v>
      </c>
      <c r="CE9" s="1">
        <f>in!CK9</f>
        <v>1</v>
      </c>
      <c r="CF9" s="1">
        <f>in!CL9</f>
        <v>0</v>
      </c>
      <c r="CG9" s="1">
        <f>in!CM9</f>
        <v>0</v>
      </c>
      <c r="CH9" s="1">
        <f>in!CN9</f>
        <v>0</v>
      </c>
      <c r="CI9" s="1">
        <f>in!CO9</f>
        <v>1</v>
      </c>
      <c r="CJ9" s="1">
        <f>in!CP9</f>
        <v>0</v>
      </c>
      <c r="CK9" s="1">
        <f>in!CQ9</f>
        <v>0</v>
      </c>
      <c r="CL9" s="1">
        <f>in!CR9</f>
        <v>1</v>
      </c>
      <c r="CM9" s="1">
        <f>in!CS9</f>
        <v>1</v>
      </c>
      <c r="CN9" s="1">
        <f>in!CT9</f>
        <v>1</v>
      </c>
      <c r="CO9" s="1">
        <f>in!CU9</f>
        <v>0</v>
      </c>
      <c r="CP9" s="1">
        <f>in!CV9</f>
        <v>1</v>
      </c>
      <c r="CQ9" s="1">
        <f>in!CW9</f>
        <v>1</v>
      </c>
      <c r="CR9" s="1">
        <f>in!CX9</f>
        <v>0</v>
      </c>
      <c r="CS9" s="1">
        <f>in!CY9</f>
        <v>1</v>
      </c>
      <c r="CT9" s="5">
        <f t="shared" si="10"/>
        <v>12</v>
      </c>
      <c r="CU9" s="5">
        <f t="shared" si="11"/>
        <v>48</v>
      </c>
      <c r="CV9" s="1">
        <f>in!CZ9</f>
        <v>1</v>
      </c>
      <c r="CW9" s="1">
        <f>in!DA9</f>
        <v>1</v>
      </c>
      <c r="CX9" s="1">
        <f>in!DB9</f>
        <v>1</v>
      </c>
      <c r="CY9" s="1">
        <f>in!DC9</f>
        <v>0</v>
      </c>
      <c r="CZ9" s="1">
        <f>in!DD9</f>
        <v>0</v>
      </c>
      <c r="DA9" s="1">
        <f>in!DE9</f>
        <v>0</v>
      </c>
      <c r="DB9" s="1">
        <f>in!DF9</f>
        <v>0</v>
      </c>
      <c r="DC9" s="1">
        <f>in!DG9</f>
        <v>0</v>
      </c>
      <c r="DD9" s="1">
        <f>in!DH9</f>
        <v>0</v>
      </c>
      <c r="DE9" s="1">
        <f>in!DI9</f>
        <v>1</v>
      </c>
      <c r="DF9" s="1">
        <f>in!DJ9</f>
        <v>1</v>
      </c>
      <c r="DG9" s="1">
        <f>in!DK9</f>
        <v>0</v>
      </c>
      <c r="DH9" s="14">
        <f t="shared" si="12"/>
        <v>5</v>
      </c>
      <c r="DI9" s="14">
        <f t="shared" si="13"/>
        <v>41.666666666666664</v>
      </c>
      <c r="DJ9" s="1">
        <f>in!DL9</f>
        <v>1</v>
      </c>
      <c r="DK9" s="1">
        <f>in!DM9</f>
        <v>1</v>
      </c>
      <c r="DL9" s="1">
        <f>in!DN9</f>
        <v>1</v>
      </c>
      <c r="DM9" s="1">
        <f>in!DO9</f>
        <v>0</v>
      </c>
      <c r="DN9" s="1">
        <f>in!DP9</f>
        <v>1</v>
      </c>
      <c r="DO9" s="1">
        <f>in!DQ9</f>
        <v>1</v>
      </c>
      <c r="DP9" s="11">
        <f t="shared" si="0"/>
        <v>5</v>
      </c>
      <c r="DQ9" s="16">
        <f t="shared" si="1"/>
        <v>83.333333333333329</v>
      </c>
      <c r="DR9" s="1">
        <f>in!DR9</f>
        <v>0</v>
      </c>
      <c r="DS9" s="1">
        <f>in!DS9</f>
        <v>1</v>
      </c>
      <c r="DT9" s="1">
        <f>in!DT9</f>
        <v>1</v>
      </c>
      <c r="DU9" s="1">
        <f>in!DU9</f>
        <v>0</v>
      </c>
      <c r="DV9" s="1">
        <f>in!DV9</f>
        <v>1</v>
      </c>
      <c r="DW9" s="1">
        <f>in!DW9</f>
        <v>0</v>
      </c>
      <c r="DX9" s="1">
        <f>in!DX9</f>
        <v>0</v>
      </c>
      <c r="DY9" s="1">
        <f>in!DY9</f>
        <v>0</v>
      </c>
      <c r="DZ9" s="15">
        <f t="shared" si="2"/>
        <v>3</v>
      </c>
      <c r="EA9" s="15">
        <f t="shared" si="3"/>
        <v>37.5</v>
      </c>
      <c r="EB9" s="1">
        <f>in!DZ9</f>
        <v>1</v>
      </c>
      <c r="EC9" s="1">
        <f>in!EA9</f>
        <v>1</v>
      </c>
      <c r="ED9" s="1">
        <f>in!EB9</f>
        <v>1</v>
      </c>
      <c r="EE9" s="20">
        <f t="shared" si="4"/>
        <v>3</v>
      </c>
      <c r="EF9" s="20">
        <f t="shared" si="5"/>
        <v>100</v>
      </c>
    </row>
    <row r="10" spans="1:136" x14ac:dyDescent="0.35">
      <c r="A10" s="43" t="str">
        <f>in!D10</f>
        <v xml:space="preserve">TRIVIÑO AYALA JONATHAN </v>
      </c>
      <c r="B10" s="43">
        <f>in!E10</f>
        <v>5712</v>
      </c>
      <c r="C10" s="1">
        <f>in!M10</f>
        <v>1</v>
      </c>
      <c r="D10" s="1">
        <f>in!N10</f>
        <v>1</v>
      </c>
      <c r="E10" s="1">
        <f>in!O10</f>
        <v>0</v>
      </c>
      <c r="F10" s="1">
        <f>in!P10</f>
        <v>0</v>
      </c>
      <c r="G10" s="1">
        <f>in!Q10</f>
        <v>0</v>
      </c>
      <c r="H10" s="1">
        <f>in!R10</f>
        <v>1</v>
      </c>
      <c r="I10" s="1">
        <f>in!S10</f>
        <v>1</v>
      </c>
      <c r="J10" s="1">
        <f>in!T10</f>
        <v>0</v>
      </c>
      <c r="K10" s="1">
        <f>in!U10</f>
        <v>1</v>
      </c>
      <c r="L10" s="1">
        <f>in!V10</f>
        <v>0</v>
      </c>
      <c r="M10" s="1">
        <f>in!W10</f>
        <v>0</v>
      </c>
      <c r="N10" s="1">
        <f>in!X10</f>
        <v>0</v>
      </c>
      <c r="O10" s="1">
        <f>in!Y10</f>
        <v>1</v>
      </c>
      <c r="P10" s="1">
        <f>in!Z10</f>
        <v>0</v>
      </c>
      <c r="Q10" s="1">
        <f>in!AA10</f>
        <v>1</v>
      </c>
      <c r="R10" s="1">
        <f>in!AB10</f>
        <v>0</v>
      </c>
      <c r="S10" s="1">
        <f>in!AC10</f>
        <v>1</v>
      </c>
      <c r="T10" s="1">
        <f>in!AD10</f>
        <v>0</v>
      </c>
      <c r="U10" s="1">
        <f>in!AE10</f>
        <v>1</v>
      </c>
      <c r="V10" s="1">
        <f>in!AF10</f>
        <v>1</v>
      </c>
      <c r="W10" s="1">
        <f>in!AG10</f>
        <v>1</v>
      </c>
      <c r="X10" s="1">
        <f>in!AH10</f>
        <v>1</v>
      </c>
      <c r="Y10" s="1">
        <f>in!AI10</f>
        <v>1</v>
      </c>
      <c r="Z10" s="1">
        <f>in!AJ10</f>
        <v>1</v>
      </c>
      <c r="AA10" s="1">
        <f>in!AK10</f>
        <v>0</v>
      </c>
      <c r="AB10" s="3">
        <f t="shared" si="6"/>
        <v>14</v>
      </c>
      <c r="AC10" s="3">
        <f t="shared" si="7"/>
        <v>56</v>
      </c>
      <c r="AD10" s="1">
        <f>in!AL10</f>
        <v>0</v>
      </c>
      <c r="AE10" s="1">
        <f>in!AM10</f>
        <v>0</v>
      </c>
      <c r="AF10" s="1">
        <f>in!AN10</f>
        <v>1</v>
      </c>
      <c r="AG10" s="1">
        <f>in!AO10</f>
        <v>1</v>
      </c>
      <c r="AH10" s="1">
        <f>in!AP10</f>
        <v>1</v>
      </c>
      <c r="AI10" s="1">
        <f>in!AQ10</f>
        <v>1</v>
      </c>
      <c r="AJ10" s="1">
        <f>in!AR10</f>
        <v>1</v>
      </c>
      <c r="AK10" s="1">
        <f>in!AS10</f>
        <v>0</v>
      </c>
      <c r="AL10" s="1">
        <f>in!AT10</f>
        <v>1</v>
      </c>
      <c r="AM10" s="1">
        <f>in!AU10</f>
        <v>1</v>
      </c>
      <c r="AN10" s="1">
        <f>in!AV10</f>
        <v>1</v>
      </c>
      <c r="AO10" s="1">
        <f>in!AW10</f>
        <v>1</v>
      </c>
      <c r="AP10" s="1">
        <f>in!AX10</f>
        <v>0</v>
      </c>
      <c r="AQ10" s="1">
        <f>in!AY10</f>
        <v>1</v>
      </c>
      <c r="AR10" s="1">
        <f>in!AZ10</f>
        <v>0</v>
      </c>
      <c r="AS10" s="1">
        <f>in!BA10</f>
        <v>0</v>
      </c>
      <c r="AT10" s="1">
        <f>in!BB10</f>
        <v>0</v>
      </c>
      <c r="AU10" s="1">
        <f>in!BC10</f>
        <v>0</v>
      </c>
      <c r="AV10" s="1">
        <f>in!BD10</f>
        <v>1</v>
      </c>
      <c r="AW10" s="1">
        <f>in!BE10</f>
        <v>0</v>
      </c>
      <c r="AX10" s="1">
        <f>in!BF10</f>
        <v>0</v>
      </c>
      <c r="AY10" s="1">
        <f>in!BG10</f>
        <v>0</v>
      </c>
      <c r="AZ10" s="1">
        <f>in!BH10</f>
        <v>1</v>
      </c>
      <c r="BA10" s="1">
        <f>in!BI10</f>
        <v>0</v>
      </c>
      <c r="BB10" s="1">
        <f>in!BJ10</f>
        <v>0</v>
      </c>
      <c r="BC10" s="1">
        <f>in!BK10</f>
        <v>1</v>
      </c>
      <c r="BD10" s="1">
        <f>in!BL10</f>
        <v>1</v>
      </c>
      <c r="BE10" s="1">
        <f>in!BM10</f>
        <v>1</v>
      </c>
      <c r="BF10" s="1">
        <f>in!BN10</f>
        <v>0</v>
      </c>
      <c r="BG10" s="1">
        <f>in!BO10</f>
        <v>0</v>
      </c>
      <c r="BH10" s="1">
        <f>in!BP10</f>
        <v>1</v>
      </c>
      <c r="BI10" s="1">
        <f>in!BQ10</f>
        <v>1</v>
      </c>
      <c r="BJ10" s="1">
        <f>in!BR10</f>
        <v>1</v>
      </c>
      <c r="BK10" s="1">
        <f>in!BS10</f>
        <v>1</v>
      </c>
      <c r="BL10" s="1">
        <f>in!BT10</f>
        <v>1</v>
      </c>
      <c r="BM10" s="1">
        <f>in!BU10</f>
        <v>0</v>
      </c>
      <c r="BN10" s="1">
        <f>in!BV10</f>
        <v>1</v>
      </c>
      <c r="BO10" s="1">
        <f>in!BW10</f>
        <v>0</v>
      </c>
      <c r="BP10" s="1">
        <f>in!BX10</f>
        <v>0</v>
      </c>
      <c r="BQ10" s="1">
        <f>in!BY10</f>
        <v>0</v>
      </c>
      <c r="BR10" s="1">
        <f>in!BZ10</f>
        <v>0</v>
      </c>
      <c r="BS10" s="4">
        <f t="shared" si="8"/>
        <v>21</v>
      </c>
      <c r="BT10" s="19">
        <f t="shared" si="9"/>
        <v>51.219512195121951</v>
      </c>
      <c r="BU10" s="1">
        <f>in!CA10</f>
        <v>0</v>
      </c>
      <c r="BV10" s="1">
        <f>in!CB10</f>
        <v>0</v>
      </c>
      <c r="BW10" s="1">
        <f>in!CC10</f>
        <v>1</v>
      </c>
      <c r="BX10" s="1">
        <f>in!CD10</f>
        <v>0</v>
      </c>
      <c r="BY10" s="1">
        <f>in!CE10</f>
        <v>1</v>
      </c>
      <c r="BZ10" s="1">
        <f>in!CF10</f>
        <v>0</v>
      </c>
      <c r="CA10" s="1">
        <f>in!CG10</f>
        <v>0</v>
      </c>
      <c r="CB10" s="1">
        <f>in!CH10</f>
        <v>0</v>
      </c>
      <c r="CC10" s="1">
        <f>in!CI10</f>
        <v>0</v>
      </c>
      <c r="CD10" s="1">
        <f>in!CJ10</f>
        <v>1</v>
      </c>
      <c r="CE10" s="1">
        <f>in!CK10</f>
        <v>1</v>
      </c>
      <c r="CF10" s="1">
        <f>in!CL10</f>
        <v>0</v>
      </c>
      <c r="CG10" s="1">
        <f>in!CM10</f>
        <v>0</v>
      </c>
      <c r="CH10" s="1">
        <f>in!CN10</f>
        <v>0</v>
      </c>
      <c r="CI10" s="1">
        <f>in!CO10</f>
        <v>0</v>
      </c>
      <c r="CJ10" s="1">
        <f>in!CP10</f>
        <v>0</v>
      </c>
      <c r="CK10" s="1">
        <f>in!CQ10</f>
        <v>0</v>
      </c>
      <c r="CL10" s="1">
        <f>in!CR10</f>
        <v>0</v>
      </c>
      <c r="CM10" s="1">
        <f>in!CS10</f>
        <v>0</v>
      </c>
      <c r="CN10" s="1">
        <f>in!CT10</f>
        <v>1</v>
      </c>
      <c r="CO10" s="1">
        <f>in!CU10</f>
        <v>0</v>
      </c>
      <c r="CP10" s="1">
        <f>in!CV10</f>
        <v>0</v>
      </c>
      <c r="CQ10" s="1">
        <f>in!CW10</f>
        <v>1</v>
      </c>
      <c r="CR10" s="1">
        <f>in!CX10</f>
        <v>0</v>
      </c>
      <c r="CS10" s="1">
        <f>in!CY10</f>
        <v>1</v>
      </c>
      <c r="CT10" s="5">
        <f t="shared" si="10"/>
        <v>7</v>
      </c>
      <c r="CU10" s="5">
        <f t="shared" si="11"/>
        <v>28</v>
      </c>
      <c r="CV10" s="1">
        <f>in!CZ10</f>
        <v>1</v>
      </c>
      <c r="CW10" s="1">
        <f>in!DA10</f>
        <v>0</v>
      </c>
      <c r="CX10" s="1">
        <f>in!DB10</f>
        <v>1</v>
      </c>
      <c r="CY10" s="1">
        <f>in!DC10</f>
        <v>0</v>
      </c>
      <c r="CZ10" s="1">
        <f>in!DD10</f>
        <v>0</v>
      </c>
      <c r="DA10" s="1">
        <f>in!DE10</f>
        <v>1</v>
      </c>
      <c r="DB10" s="1">
        <f>in!DF10</f>
        <v>1</v>
      </c>
      <c r="DC10" s="1">
        <f>in!DG10</f>
        <v>0</v>
      </c>
      <c r="DD10" s="1">
        <f>in!DH10</f>
        <v>0</v>
      </c>
      <c r="DE10" s="1">
        <f>in!DI10</f>
        <v>1</v>
      </c>
      <c r="DF10" s="1">
        <f>in!DJ10</f>
        <v>0</v>
      </c>
      <c r="DG10" s="1">
        <f>in!DK10</f>
        <v>1</v>
      </c>
      <c r="DH10" s="14">
        <f t="shared" si="12"/>
        <v>6</v>
      </c>
      <c r="DI10" s="14">
        <f t="shared" si="13"/>
        <v>50</v>
      </c>
      <c r="DJ10" s="1">
        <f>in!DL10</f>
        <v>1</v>
      </c>
      <c r="DK10" s="1">
        <f>in!DM10</f>
        <v>0</v>
      </c>
      <c r="DL10" s="1">
        <f>in!DN10</f>
        <v>1</v>
      </c>
      <c r="DM10" s="1">
        <f>in!DO10</f>
        <v>0</v>
      </c>
      <c r="DN10" s="1">
        <f>in!DP10</f>
        <v>1</v>
      </c>
      <c r="DO10" s="1">
        <f>in!DQ10</f>
        <v>1</v>
      </c>
      <c r="DP10" s="11">
        <f t="shared" si="0"/>
        <v>4</v>
      </c>
      <c r="DQ10" s="16">
        <f t="shared" si="1"/>
        <v>66.666666666666671</v>
      </c>
      <c r="DR10" s="1">
        <f>in!DR10</f>
        <v>0</v>
      </c>
      <c r="DS10" s="1">
        <f>in!DS10</f>
        <v>0</v>
      </c>
      <c r="DT10" s="1">
        <f>in!DT10</f>
        <v>1</v>
      </c>
      <c r="DU10" s="1">
        <f>in!DU10</f>
        <v>0</v>
      </c>
      <c r="DV10" s="1">
        <f>in!DV10</f>
        <v>1</v>
      </c>
      <c r="DW10" s="1">
        <f>in!DW10</f>
        <v>0</v>
      </c>
      <c r="DX10" s="1">
        <f>in!DX10</f>
        <v>0</v>
      </c>
      <c r="DY10" s="1">
        <f>in!DY10</f>
        <v>0</v>
      </c>
      <c r="DZ10" s="15">
        <f t="shared" si="2"/>
        <v>2</v>
      </c>
      <c r="EA10" s="15">
        <f t="shared" si="3"/>
        <v>25</v>
      </c>
      <c r="EB10" s="1">
        <f>in!DZ10</f>
        <v>1</v>
      </c>
      <c r="EC10" s="1">
        <f>in!EA10</f>
        <v>0</v>
      </c>
      <c r="ED10" s="1">
        <f>in!EB10</f>
        <v>1</v>
      </c>
      <c r="EE10" s="20">
        <f t="shared" si="4"/>
        <v>2</v>
      </c>
      <c r="EF10" s="20">
        <f t="shared" si="5"/>
        <v>66.666666666666671</v>
      </c>
    </row>
    <row r="11" spans="1:136" x14ac:dyDescent="0.35">
      <c r="A11" s="43" t="str">
        <f>in!D11</f>
        <v>VELASQUEZ GANOT MARIA JOSE</v>
      </c>
      <c r="B11" s="43">
        <f>in!E11</f>
        <v>5713</v>
      </c>
      <c r="C11" s="1">
        <f>in!M11</f>
        <v>1</v>
      </c>
      <c r="D11" s="1">
        <f>in!N11</f>
        <v>1</v>
      </c>
      <c r="E11" s="1">
        <f>in!O11</f>
        <v>0</v>
      </c>
      <c r="F11" s="1">
        <f>in!P11</f>
        <v>0</v>
      </c>
      <c r="G11" s="1">
        <f>in!Q11</f>
        <v>1</v>
      </c>
      <c r="H11" s="1">
        <f>in!R11</f>
        <v>1</v>
      </c>
      <c r="I11" s="1">
        <f>in!S11</f>
        <v>0</v>
      </c>
      <c r="J11" s="1">
        <f>in!T11</f>
        <v>1</v>
      </c>
      <c r="K11" s="1">
        <f>in!U11</f>
        <v>1</v>
      </c>
      <c r="L11" s="1">
        <f>in!V11</f>
        <v>0</v>
      </c>
      <c r="M11" s="1">
        <f>in!W11</f>
        <v>0</v>
      </c>
      <c r="N11" s="1">
        <f>in!X11</f>
        <v>1</v>
      </c>
      <c r="O11" s="1">
        <f>in!Y11</f>
        <v>0</v>
      </c>
      <c r="P11" s="1">
        <f>in!Z11</f>
        <v>0</v>
      </c>
      <c r="Q11" s="1">
        <f>in!AA11</f>
        <v>0</v>
      </c>
      <c r="R11" s="1">
        <f>in!AB11</f>
        <v>0</v>
      </c>
      <c r="S11" s="1">
        <f>in!AC11</f>
        <v>0</v>
      </c>
      <c r="T11" s="1">
        <f>in!AD11</f>
        <v>1</v>
      </c>
      <c r="U11" s="1">
        <f>in!AE11</f>
        <v>1</v>
      </c>
      <c r="V11" s="1">
        <f>in!AF11</f>
        <v>0</v>
      </c>
      <c r="W11" s="1">
        <f>in!AG11</f>
        <v>0</v>
      </c>
      <c r="X11" s="1">
        <f>in!AH11</f>
        <v>0</v>
      </c>
      <c r="Y11" s="1">
        <f>in!AI11</f>
        <v>0</v>
      </c>
      <c r="Z11" s="1">
        <f>in!AJ11</f>
        <v>0</v>
      </c>
      <c r="AA11" s="1">
        <f>in!AK11</f>
        <v>1</v>
      </c>
      <c r="AB11" s="3">
        <f t="shared" si="6"/>
        <v>10</v>
      </c>
      <c r="AC11" s="3">
        <f t="shared" si="7"/>
        <v>40</v>
      </c>
      <c r="AD11" s="1">
        <f>in!AL11</f>
        <v>1</v>
      </c>
      <c r="AE11" s="1">
        <f>in!AM11</f>
        <v>1</v>
      </c>
      <c r="AF11" s="1">
        <f>in!AN11</f>
        <v>0</v>
      </c>
      <c r="AG11" s="1">
        <f>in!AO11</f>
        <v>1</v>
      </c>
      <c r="AH11" s="1">
        <f>in!AP11</f>
        <v>1</v>
      </c>
      <c r="AI11" s="1">
        <f>in!AQ11</f>
        <v>1</v>
      </c>
      <c r="AJ11" s="1">
        <f>in!AR11</f>
        <v>0</v>
      </c>
      <c r="AK11" s="1">
        <f>in!AS11</f>
        <v>0</v>
      </c>
      <c r="AL11" s="1">
        <f>in!AT11</f>
        <v>0</v>
      </c>
      <c r="AM11" s="1">
        <f>in!AU11</f>
        <v>1</v>
      </c>
      <c r="AN11" s="1">
        <f>in!AV11</f>
        <v>1</v>
      </c>
      <c r="AO11" s="1">
        <f>in!AW11</f>
        <v>0</v>
      </c>
      <c r="AP11" s="1">
        <f>in!AX11</f>
        <v>0</v>
      </c>
      <c r="AQ11" s="1">
        <f>in!AY11</f>
        <v>0</v>
      </c>
      <c r="AR11" s="1">
        <f>in!AZ11</f>
        <v>1</v>
      </c>
      <c r="AS11" s="1">
        <f>in!BA11</f>
        <v>1</v>
      </c>
      <c r="AT11" s="1">
        <f>in!BB11</f>
        <v>0</v>
      </c>
      <c r="AU11" s="1">
        <f>in!BC11</f>
        <v>0</v>
      </c>
      <c r="AV11" s="1">
        <f>in!BD11</f>
        <v>0</v>
      </c>
      <c r="AW11" s="1">
        <f>in!BE11</f>
        <v>0</v>
      </c>
      <c r="AX11" s="1">
        <f>in!BF11</f>
        <v>0</v>
      </c>
      <c r="AY11" s="1">
        <f>in!BG11</f>
        <v>0</v>
      </c>
      <c r="AZ11" s="1">
        <f>in!BH11</f>
        <v>1</v>
      </c>
      <c r="BA11" s="1">
        <f>in!BI11</f>
        <v>1</v>
      </c>
      <c r="BB11" s="1">
        <f>in!BJ11</f>
        <v>1</v>
      </c>
      <c r="BC11" s="1">
        <f>in!BK11</f>
        <v>1</v>
      </c>
      <c r="BD11" s="1">
        <f>in!BL11</f>
        <v>0</v>
      </c>
      <c r="BE11" s="1">
        <f>in!BM11</f>
        <v>1</v>
      </c>
      <c r="BF11" s="1">
        <f>in!BN11</f>
        <v>1</v>
      </c>
      <c r="BG11" s="1">
        <f>in!BO11</f>
        <v>0</v>
      </c>
      <c r="BH11" s="1">
        <f>in!BP11</f>
        <v>1</v>
      </c>
      <c r="BI11" s="1">
        <f>in!BQ11</f>
        <v>0</v>
      </c>
      <c r="BJ11" s="1">
        <f>in!BR11</f>
        <v>0</v>
      </c>
      <c r="BK11" s="1">
        <f>in!BS11</f>
        <v>0</v>
      </c>
      <c r="BL11" s="1">
        <f>in!BT11</f>
        <v>0</v>
      </c>
      <c r="BM11" s="1">
        <f>in!BU11</f>
        <v>0</v>
      </c>
      <c r="BN11" s="1">
        <f>in!BV11</f>
        <v>0</v>
      </c>
      <c r="BO11" s="1">
        <f>in!BW11</f>
        <v>1</v>
      </c>
      <c r="BP11" s="1">
        <f>in!BX11</f>
        <v>0</v>
      </c>
      <c r="BQ11" s="1">
        <f>in!BY11</f>
        <v>0</v>
      </c>
      <c r="BR11" s="1">
        <f>in!BZ11</f>
        <v>1</v>
      </c>
      <c r="BS11" s="4">
        <f t="shared" si="8"/>
        <v>18</v>
      </c>
      <c r="BT11" s="19">
        <f t="shared" si="9"/>
        <v>43.902439024390247</v>
      </c>
      <c r="BU11" s="1">
        <f>in!CA11</f>
        <v>0</v>
      </c>
      <c r="BV11" s="1">
        <f>in!CB11</f>
        <v>0</v>
      </c>
      <c r="BW11" s="1">
        <f>in!CC11</f>
        <v>0</v>
      </c>
      <c r="BX11" s="1">
        <f>in!CD11</f>
        <v>0</v>
      </c>
      <c r="BY11" s="1">
        <f>in!CE11</f>
        <v>0</v>
      </c>
      <c r="BZ11" s="1">
        <f>in!CF11</f>
        <v>0</v>
      </c>
      <c r="CA11" s="1">
        <f>in!CG11</f>
        <v>0</v>
      </c>
      <c r="CB11" s="1">
        <f>in!CH11</f>
        <v>1</v>
      </c>
      <c r="CC11" s="1">
        <f>in!CI11</f>
        <v>1</v>
      </c>
      <c r="CD11" s="1">
        <f>in!CJ11</f>
        <v>1</v>
      </c>
      <c r="CE11" s="1">
        <f>in!CK11</f>
        <v>1</v>
      </c>
      <c r="CF11" s="1">
        <f>in!CL11</f>
        <v>0</v>
      </c>
      <c r="CG11" s="1">
        <f>in!CM11</f>
        <v>0</v>
      </c>
      <c r="CH11" s="1">
        <f>in!CN11</f>
        <v>1</v>
      </c>
      <c r="CI11" s="1">
        <f>in!CO11</f>
        <v>0</v>
      </c>
      <c r="CJ11" s="1">
        <f>in!CP11</f>
        <v>0</v>
      </c>
      <c r="CK11" s="1">
        <f>in!CQ11</f>
        <v>0</v>
      </c>
      <c r="CL11" s="1">
        <f>in!CR11</f>
        <v>0</v>
      </c>
      <c r="CM11" s="1">
        <f>in!CS11</f>
        <v>0</v>
      </c>
      <c r="CN11" s="1">
        <f>in!CT11</f>
        <v>1</v>
      </c>
      <c r="CO11" s="1">
        <f>in!CU11</f>
        <v>0</v>
      </c>
      <c r="CP11" s="1">
        <f>in!CV11</f>
        <v>0</v>
      </c>
      <c r="CQ11" s="1">
        <f>in!CW11</f>
        <v>1</v>
      </c>
      <c r="CR11" s="1">
        <f>in!CX11</f>
        <v>0</v>
      </c>
      <c r="CS11" s="1">
        <f>in!CY11</f>
        <v>1</v>
      </c>
      <c r="CT11" s="5">
        <f t="shared" si="10"/>
        <v>8</v>
      </c>
      <c r="CU11" s="5">
        <f t="shared" si="11"/>
        <v>32</v>
      </c>
      <c r="CV11" s="1">
        <f>in!CZ11</f>
        <v>1</v>
      </c>
      <c r="CW11" s="1">
        <f>in!DA11</f>
        <v>0</v>
      </c>
      <c r="CX11" s="1">
        <f>in!DB11</f>
        <v>0</v>
      </c>
      <c r="CY11" s="1">
        <f>in!DC11</f>
        <v>1</v>
      </c>
      <c r="CZ11" s="1">
        <f>in!DD11</f>
        <v>0</v>
      </c>
      <c r="DA11" s="1">
        <f>in!DE11</f>
        <v>0</v>
      </c>
      <c r="DB11" s="1">
        <f>in!DF11</f>
        <v>1</v>
      </c>
      <c r="DC11" s="1">
        <f>in!DG11</f>
        <v>0</v>
      </c>
      <c r="DD11" s="1">
        <f>in!DH11</f>
        <v>0</v>
      </c>
      <c r="DE11" s="1">
        <f>in!DI11</f>
        <v>1</v>
      </c>
      <c r="DF11" s="1">
        <f>in!DJ11</f>
        <v>0</v>
      </c>
      <c r="DG11" s="1">
        <f>in!DK11</f>
        <v>0</v>
      </c>
      <c r="DH11" s="14">
        <f t="shared" si="12"/>
        <v>4</v>
      </c>
      <c r="DI11" s="14">
        <f t="shared" si="13"/>
        <v>33.333333333333336</v>
      </c>
      <c r="DJ11" s="1">
        <f>in!DL11</f>
        <v>1</v>
      </c>
      <c r="DK11" s="1">
        <f>in!DM11</f>
        <v>1</v>
      </c>
      <c r="DL11" s="1">
        <f>in!DN11</f>
        <v>0</v>
      </c>
      <c r="DM11" s="1">
        <f>in!DO11</f>
        <v>0</v>
      </c>
      <c r="DN11" s="1">
        <f>in!DP11</f>
        <v>1</v>
      </c>
      <c r="DO11" s="1">
        <f>in!DQ11</f>
        <v>0</v>
      </c>
      <c r="DP11" s="11">
        <f t="shared" si="0"/>
        <v>3</v>
      </c>
      <c r="DQ11" s="16">
        <f t="shared" si="1"/>
        <v>50</v>
      </c>
      <c r="DR11" s="1">
        <f>in!DR11</f>
        <v>0</v>
      </c>
      <c r="DS11" s="1">
        <f>in!DS11</f>
        <v>0</v>
      </c>
      <c r="DT11" s="1">
        <f>in!DT11</f>
        <v>0</v>
      </c>
      <c r="DU11" s="1">
        <f>in!DU11</f>
        <v>1</v>
      </c>
      <c r="DV11" s="1">
        <f>in!DV11</f>
        <v>0</v>
      </c>
      <c r="DW11" s="1">
        <f>in!DW11</f>
        <v>0</v>
      </c>
      <c r="DX11" s="1">
        <f>in!DX11</f>
        <v>1</v>
      </c>
      <c r="DY11" s="1">
        <f>in!DY11</f>
        <v>1</v>
      </c>
      <c r="DZ11" s="15">
        <f t="shared" si="2"/>
        <v>3</v>
      </c>
      <c r="EA11" s="15">
        <f t="shared" si="3"/>
        <v>37.5</v>
      </c>
      <c r="EB11" s="1">
        <f>in!DZ11</f>
        <v>1</v>
      </c>
      <c r="EC11" s="1">
        <f>in!EA11</f>
        <v>0</v>
      </c>
      <c r="ED11" s="1">
        <f>in!EB11</f>
        <v>0</v>
      </c>
      <c r="EE11" s="20">
        <f t="shared" si="4"/>
        <v>1</v>
      </c>
      <c r="EF11" s="20">
        <f t="shared" si="5"/>
        <v>33.333333333333336</v>
      </c>
    </row>
    <row r="12" spans="1:136" x14ac:dyDescent="0.35">
      <c r="A12" s="43" t="str">
        <f>in!D12</f>
        <v>ZARZA BARRAGAN JOHAN SEBASTIAN</v>
      </c>
      <c r="B12" s="43">
        <f>in!E12</f>
        <v>5714</v>
      </c>
      <c r="C12" s="1">
        <f>in!M12</f>
        <v>1</v>
      </c>
      <c r="D12" s="1">
        <f>in!N12</f>
        <v>1</v>
      </c>
      <c r="E12" s="1">
        <f>in!O12</f>
        <v>1</v>
      </c>
      <c r="F12" s="1">
        <f>in!P12</f>
        <v>0</v>
      </c>
      <c r="G12" s="1">
        <f>in!Q12</f>
        <v>0</v>
      </c>
      <c r="H12" s="1">
        <f>in!R12</f>
        <v>1</v>
      </c>
      <c r="I12" s="1">
        <f>in!S12</f>
        <v>0</v>
      </c>
      <c r="J12" s="1">
        <f>in!T12</f>
        <v>0</v>
      </c>
      <c r="K12" s="1">
        <f>in!U12</f>
        <v>1</v>
      </c>
      <c r="L12" s="1">
        <f>in!V12</f>
        <v>0</v>
      </c>
      <c r="M12" s="1">
        <f>in!W12</f>
        <v>1</v>
      </c>
      <c r="N12" s="1">
        <f>in!X12</f>
        <v>0</v>
      </c>
      <c r="O12" s="1">
        <f>in!Y12</f>
        <v>0</v>
      </c>
      <c r="P12" s="1">
        <f>in!Z12</f>
        <v>0</v>
      </c>
      <c r="Q12" s="1">
        <f>in!AA12</f>
        <v>0</v>
      </c>
      <c r="R12" s="1">
        <f>in!AB12</f>
        <v>0</v>
      </c>
      <c r="S12" s="1">
        <f>in!AC12</f>
        <v>0</v>
      </c>
      <c r="T12" s="1">
        <f>in!AD12</f>
        <v>0</v>
      </c>
      <c r="U12" s="1">
        <f>in!AE12</f>
        <v>1</v>
      </c>
      <c r="V12" s="1">
        <f>in!AF12</f>
        <v>1</v>
      </c>
      <c r="W12" s="1">
        <f>in!AG12</f>
        <v>0</v>
      </c>
      <c r="X12" s="1">
        <f>in!AH12</f>
        <v>1</v>
      </c>
      <c r="Y12" s="1">
        <f>in!AI12</f>
        <v>0</v>
      </c>
      <c r="Z12" s="1">
        <f>in!AJ12</f>
        <v>0</v>
      </c>
      <c r="AA12" s="1">
        <f>in!AK12</f>
        <v>0</v>
      </c>
      <c r="AB12" s="3">
        <f t="shared" si="6"/>
        <v>9</v>
      </c>
      <c r="AC12" s="3">
        <f t="shared" si="7"/>
        <v>36</v>
      </c>
      <c r="AD12" s="1">
        <f>in!AL12</f>
        <v>0</v>
      </c>
      <c r="AE12" s="1">
        <f>in!AM12</f>
        <v>0</v>
      </c>
      <c r="AF12" s="1">
        <f>in!AN12</f>
        <v>0</v>
      </c>
      <c r="AG12" s="1">
        <f>in!AO12</f>
        <v>1</v>
      </c>
      <c r="AH12" s="1">
        <f>in!AP12</f>
        <v>0</v>
      </c>
      <c r="AI12" s="1">
        <f>in!AQ12</f>
        <v>1</v>
      </c>
      <c r="AJ12" s="1">
        <f>in!AR12</f>
        <v>0</v>
      </c>
      <c r="AK12" s="1">
        <f>in!AS12</f>
        <v>0</v>
      </c>
      <c r="AL12" s="1">
        <f>in!AT12</f>
        <v>0</v>
      </c>
      <c r="AM12" s="1">
        <f>in!AU12</f>
        <v>0</v>
      </c>
      <c r="AN12" s="1">
        <f>in!AV12</f>
        <v>0</v>
      </c>
      <c r="AO12" s="1">
        <f>in!AW12</f>
        <v>1</v>
      </c>
      <c r="AP12" s="1">
        <f>in!AX12</f>
        <v>0</v>
      </c>
      <c r="AQ12" s="1">
        <f>in!AY12</f>
        <v>1</v>
      </c>
      <c r="AR12" s="1">
        <f>in!AZ12</f>
        <v>1</v>
      </c>
      <c r="AS12" s="1">
        <f>in!BA12</f>
        <v>1</v>
      </c>
      <c r="AT12" s="1">
        <f>in!BB12</f>
        <v>0</v>
      </c>
      <c r="AU12" s="1">
        <f>in!BC12</f>
        <v>0</v>
      </c>
      <c r="AV12" s="1">
        <f>in!BD12</f>
        <v>0</v>
      </c>
      <c r="AW12" s="1">
        <f>in!BE12</f>
        <v>1</v>
      </c>
      <c r="AX12" s="1">
        <f>in!BF12</f>
        <v>0</v>
      </c>
      <c r="AY12" s="1">
        <f>in!BG12</f>
        <v>0</v>
      </c>
      <c r="AZ12" s="1">
        <f>in!BH12</f>
        <v>1</v>
      </c>
      <c r="BA12" s="1">
        <f>in!BI12</f>
        <v>0</v>
      </c>
      <c r="BB12" s="1">
        <f>in!BJ12</f>
        <v>0</v>
      </c>
      <c r="BC12" s="1">
        <f>in!BK12</f>
        <v>0</v>
      </c>
      <c r="BD12" s="1">
        <f>in!BL12</f>
        <v>0</v>
      </c>
      <c r="BE12" s="1">
        <f>in!BM12</f>
        <v>0</v>
      </c>
      <c r="BF12" s="1">
        <f>in!BN12</f>
        <v>1</v>
      </c>
      <c r="BG12" s="1">
        <f>in!BO12</f>
        <v>0</v>
      </c>
      <c r="BH12" s="1">
        <f>in!BP12</f>
        <v>1</v>
      </c>
      <c r="BI12" s="1">
        <f>in!BQ12</f>
        <v>1</v>
      </c>
      <c r="BJ12" s="1">
        <f>in!BR12</f>
        <v>1</v>
      </c>
      <c r="BK12" s="1">
        <f>in!BS12</f>
        <v>0</v>
      </c>
      <c r="BL12" s="1">
        <f>in!BT12</f>
        <v>0</v>
      </c>
      <c r="BM12" s="1">
        <f>in!BU12</f>
        <v>0</v>
      </c>
      <c r="BN12" s="1">
        <f>in!BV12</f>
        <v>0</v>
      </c>
      <c r="BO12" s="1">
        <f>in!BW12</f>
        <v>0</v>
      </c>
      <c r="BP12" s="1">
        <f>in!BX12</f>
        <v>1</v>
      </c>
      <c r="BQ12" s="1">
        <f>in!BY12</f>
        <v>0</v>
      </c>
      <c r="BR12" s="1">
        <f>in!BZ12</f>
        <v>0</v>
      </c>
      <c r="BS12" s="4">
        <f t="shared" si="8"/>
        <v>13</v>
      </c>
      <c r="BT12" s="19">
        <f t="shared" si="9"/>
        <v>31.707317073170731</v>
      </c>
      <c r="BU12" s="1">
        <f>in!CA12</f>
        <v>0</v>
      </c>
      <c r="BV12" s="1">
        <f>in!CB12</f>
        <v>1</v>
      </c>
      <c r="BW12" s="1">
        <f>in!CC12</f>
        <v>0</v>
      </c>
      <c r="BX12" s="1">
        <f>in!CD12</f>
        <v>0</v>
      </c>
      <c r="BY12" s="1">
        <f>in!CE12</f>
        <v>1</v>
      </c>
      <c r="BZ12" s="1">
        <f>in!CF12</f>
        <v>0</v>
      </c>
      <c r="CA12" s="1">
        <f>in!CG12</f>
        <v>0</v>
      </c>
      <c r="CB12" s="1">
        <f>in!CH12</f>
        <v>0</v>
      </c>
      <c r="CC12" s="1">
        <f>in!CI12</f>
        <v>0</v>
      </c>
      <c r="CD12" s="1">
        <f>in!CJ12</f>
        <v>0</v>
      </c>
      <c r="CE12" s="1">
        <f>in!CK12</f>
        <v>1</v>
      </c>
      <c r="CF12" s="1">
        <f>in!CL12</f>
        <v>1</v>
      </c>
      <c r="CG12" s="1">
        <f>in!CM12</f>
        <v>0</v>
      </c>
      <c r="CH12" s="1">
        <f>in!CN12</f>
        <v>0</v>
      </c>
      <c r="CI12" s="1">
        <f>in!CO12</f>
        <v>0</v>
      </c>
      <c r="CJ12" s="1">
        <f>in!CP12</f>
        <v>0</v>
      </c>
      <c r="CK12" s="1">
        <f>in!CQ12</f>
        <v>0</v>
      </c>
      <c r="CL12" s="1">
        <f>in!CR12</f>
        <v>1</v>
      </c>
      <c r="CM12" s="1">
        <f>in!CS12</f>
        <v>0</v>
      </c>
      <c r="CN12" s="1">
        <f>in!CT12</f>
        <v>0</v>
      </c>
      <c r="CO12" s="1">
        <f>in!CU12</f>
        <v>0</v>
      </c>
      <c r="CP12" s="1">
        <f>in!CV12</f>
        <v>0</v>
      </c>
      <c r="CQ12" s="1">
        <f>in!CW12</f>
        <v>1</v>
      </c>
      <c r="CR12" s="1">
        <f>in!CX12</f>
        <v>0</v>
      </c>
      <c r="CS12" s="1">
        <f>in!CY12</f>
        <v>0</v>
      </c>
      <c r="CT12" s="5">
        <f t="shared" si="10"/>
        <v>6</v>
      </c>
      <c r="CU12" s="5">
        <f t="shared" si="11"/>
        <v>24</v>
      </c>
      <c r="CV12" s="1">
        <f>in!CZ12</f>
        <v>1</v>
      </c>
      <c r="CW12" s="1">
        <f>in!DA12</f>
        <v>1</v>
      </c>
      <c r="CX12" s="1">
        <f>in!DB12</f>
        <v>0</v>
      </c>
      <c r="CY12" s="1">
        <f>in!DC12</f>
        <v>0</v>
      </c>
      <c r="CZ12" s="1">
        <f>in!DD12</f>
        <v>1</v>
      </c>
      <c r="DA12" s="1">
        <f>in!DE12</f>
        <v>0</v>
      </c>
      <c r="DB12" s="1">
        <f>in!DF12</f>
        <v>0</v>
      </c>
      <c r="DC12" s="1">
        <f>in!DG12</f>
        <v>0</v>
      </c>
      <c r="DD12" s="1">
        <f>in!DH12</f>
        <v>0</v>
      </c>
      <c r="DE12" s="1">
        <f>in!DI12</f>
        <v>1</v>
      </c>
      <c r="DF12" s="1">
        <f>in!DJ12</f>
        <v>0</v>
      </c>
      <c r="DG12" s="1">
        <f>in!DK12</f>
        <v>0</v>
      </c>
      <c r="DH12" s="14">
        <f t="shared" si="12"/>
        <v>4</v>
      </c>
      <c r="DI12" s="14">
        <f t="shared" si="13"/>
        <v>33.333333333333336</v>
      </c>
      <c r="DJ12" s="1">
        <f>in!DL12</f>
        <v>0</v>
      </c>
      <c r="DK12" s="1">
        <f>in!DM12</f>
        <v>0</v>
      </c>
      <c r="DL12" s="1">
        <f>in!DN12</f>
        <v>0</v>
      </c>
      <c r="DM12" s="1">
        <f>in!DO12</f>
        <v>1</v>
      </c>
      <c r="DN12" s="1">
        <f>in!DP12</f>
        <v>1</v>
      </c>
      <c r="DO12" s="1">
        <f>in!DQ12</f>
        <v>1</v>
      </c>
      <c r="DP12" s="11">
        <f t="shared" si="0"/>
        <v>3</v>
      </c>
      <c r="DQ12" s="16">
        <f t="shared" si="1"/>
        <v>50</v>
      </c>
      <c r="DR12" s="1">
        <f>in!DR12</f>
        <v>0</v>
      </c>
      <c r="DS12" s="1">
        <f>in!DS12</f>
        <v>0</v>
      </c>
      <c r="DT12" s="1">
        <f>in!DT12</f>
        <v>1</v>
      </c>
      <c r="DU12" s="1">
        <f>in!DU12</f>
        <v>0</v>
      </c>
      <c r="DV12" s="1">
        <f>in!DV12</f>
        <v>0</v>
      </c>
      <c r="DW12" s="1">
        <f>in!DW12</f>
        <v>0</v>
      </c>
      <c r="DX12" s="1">
        <f>in!DX12</f>
        <v>0</v>
      </c>
      <c r="DY12" s="1">
        <f>in!DY12</f>
        <v>0</v>
      </c>
      <c r="DZ12" s="15">
        <f t="shared" si="2"/>
        <v>1</v>
      </c>
      <c r="EA12" s="15">
        <f t="shared" si="3"/>
        <v>12.5</v>
      </c>
      <c r="EB12" s="1">
        <f>in!DZ12</f>
        <v>1</v>
      </c>
      <c r="EC12" s="1">
        <f>in!EA12</f>
        <v>1</v>
      </c>
      <c r="ED12" s="1">
        <f>in!EB12</f>
        <v>1</v>
      </c>
      <c r="EE12" s="20">
        <f t="shared" si="4"/>
        <v>3</v>
      </c>
      <c r="EF12" s="20">
        <f t="shared" si="5"/>
        <v>100</v>
      </c>
    </row>
    <row r="13" spans="1:136" x14ac:dyDescent="0.35">
      <c r="A13" s="43" t="str">
        <f>in!D13</f>
        <v xml:space="preserve">BENITEZ GALINDO SAMUEL DAVID  </v>
      </c>
      <c r="B13" s="43">
        <f>in!E13</f>
        <v>5801</v>
      </c>
      <c r="C13" s="1">
        <f>in!M13</f>
        <v>1</v>
      </c>
      <c r="D13" s="1">
        <f>in!N13</f>
        <v>0</v>
      </c>
      <c r="E13" s="1">
        <f>in!O13</f>
        <v>1</v>
      </c>
      <c r="F13" s="1">
        <f>in!P13</f>
        <v>0</v>
      </c>
      <c r="G13" s="1">
        <f>in!Q13</f>
        <v>0</v>
      </c>
      <c r="H13" s="1">
        <f>in!R13</f>
        <v>0</v>
      </c>
      <c r="I13" s="1">
        <f>in!S13</f>
        <v>0</v>
      </c>
      <c r="J13" s="1">
        <f>in!T13</f>
        <v>1</v>
      </c>
      <c r="K13" s="1">
        <f>in!U13</f>
        <v>1</v>
      </c>
      <c r="L13" s="1">
        <f>in!V13</f>
        <v>0</v>
      </c>
      <c r="M13" s="1">
        <f>in!W13</f>
        <v>0</v>
      </c>
      <c r="N13" s="1">
        <f>in!X13</f>
        <v>1</v>
      </c>
      <c r="O13" s="1">
        <f>in!Y13</f>
        <v>1</v>
      </c>
      <c r="P13" s="1">
        <f>in!Z13</f>
        <v>0</v>
      </c>
      <c r="Q13" s="1">
        <f>in!AA13</f>
        <v>0</v>
      </c>
      <c r="R13" s="1">
        <f>in!AB13</f>
        <v>0</v>
      </c>
      <c r="S13" s="1">
        <f>in!AC13</f>
        <v>0</v>
      </c>
      <c r="T13" s="1">
        <f>in!AD13</f>
        <v>0</v>
      </c>
      <c r="U13" s="1">
        <f>in!AE13</f>
        <v>0</v>
      </c>
      <c r="V13" s="1">
        <f>in!AF13</f>
        <v>0</v>
      </c>
      <c r="W13" s="1">
        <f>in!AG13</f>
        <v>0</v>
      </c>
      <c r="X13" s="1">
        <f>in!AH13</f>
        <v>1</v>
      </c>
      <c r="Y13" s="1">
        <f>in!AI13</f>
        <v>0</v>
      </c>
      <c r="Z13" s="1">
        <f>in!AJ13</f>
        <v>1</v>
      </c>
      <c r="AA13" s="1">
        <f>in!AK13</f>
        <v>0</v>
      </c>
      <c r="AB13" s="3">
        <f t="shared" si="6"/>
        <v>8</v>
      </c>
      <c r="AC13" s="3">
        <f t="shared" si="7"/>
        <v>32</v>
      </c>
      <c r="AD13" s="1">
        <f>in!AL13</f>
        <v>0</v>
      </c>
      <c r="AE13" s="1">
        <f>in!AM13</f>
        <v>0</v>
      </c>
      <c r="AF13" s="1">
        <f>in!AN13</f>
        <v>1</v>
      </c>
      <c r="AG13" s="1">
        <f>in!AO13</f>
        <v>1</v>
      </c>
      <c r="AH13" s="1">
        <f>in!AP13</f>
        <v>0</v>
      </c>
      <c r="AI13" s="1">
        <f>in!AQ13</f>
        <v>0</v>
      </c>
      <c r="AJ13" s="1">
        <f>in!AR13</f>
        <v>0</v>
      </c>
      <c r="AK13" s="1">
        <f>in!AS13</f>
        <v>0</v>
      </c>
      <c r="AL13" s="1">
        <f>in!AT13</f>
        <v>0</v>
      </c>
      <c r="AM13" s="1">
        <f>in!AU13</f>
        <v>1</v>
      </c>
      <c r="AN13" s="1">
        <f>in!AV13</f>
        <v>1</v>
      </c>
      <c r="AO13" s="1">
        <f>in!AW13</f>
        <v>0</v>
      </c>
      <c r="AP13" s="1">
        <f>in!AX13</f>
        <v>1</v>
      </c>
      <c r="AQ13" s="1">
        <f>in!AY13</f>
        <v>0</v>
      </c>
      <c r="AR13" s="1">
        <f>in!AZ13</f>
        <v>1</v>
      </c>
      <c r="AS13" s="1">
        <f>in!BA13</f>
        <v>1</v>
      </c>
      <c r="AT13" s="1">
        <f>in!BB13</f>
        <v>0</v>
      </c>
      <c r="AU13" s="1">
        <f>in!BC13</f>
        <v>0</v>
      </c>
      <c r="AV13" s="1">
        <f>in!BD13</f>
        <v>1</v>
      </c>
      <c r="AW13" s="1">
        <f>in!BE13</f>
        <v>1</v>
      </c>
      <c r="AX13" s="1">
        <f>in!BF13</f>
        <v>0</v>
      </c>
      <c r="AY13" s="1">
        <f>in!BG13</f>
        <v>0</v>
      </c>
      <c r="AZ13" s="1">
        <f>in!BH13</f>
        <v>1</v>
      </c>
      <c r="BA13" s="1">
        <f>in!BI13</f>
        <v>0</v>
      </c>
      <c r="BB13" s="1">
        <f>in!BJ13</f>
        <v>0</v>
      </c>
      <c r="BC13" s="1">
        <f>in!BK13</f>
        <v>1</v>
      </c>
      <c r="BD13" s="1">
        <f>in!BL13</f>
        <v>0</v>
      </c>
      <c r="BE13" s="1">
        <f>in!BM13</f>
        <v>0</v>
      </c>
      <c r="BF13" s="1">
        <f>in!BN13</f>
        <v>1</v>
      </c>
      <c r="BG13" s="1">
        <f>in!BO13</f>
        <v>0</v>
      </c>
      <c r="BH13" s="1">
        <f>in!BP13</f>
        <v>0</v>
      </c>
      <c r="BI13" s="1">
        <f>in!BQ13</f>
        <v>1</v>
      </c>
      <c r="BJ13" s="1">
        <f>in!BR13</f>
        <v>1</v>
      </c>
      <c r="BK13" s="1">
        <f>in!BS13</f>
        <v>0</v>
      </c>
      <c r="BL13" s="1">
        <f>in!BT13</f>
        <v>0</v>
      </c>
      <c r="BM13" s="1">
        <f>in!BU13</f>
        <v>0</v>
      </c>
      <c r="BN13" s="1">
        <f>in!BV13</f>
        <v>0</v>
      </c>
      <c r="BO13" s="1">
        <f>in!BW13</f>
        <v>0</v>
      </c>
      <c r="BP13" s="1">
        <f>in!BX13</f>
        <v>1</v>
      </c>
      <c r="BQ13" s="1">
        <f>in!BY13</f>
        <v>0</v>
      </c>
      <c r="BR13" s="1">
        <f>in!BZ13</f>
        <v>0</v>
      </c>
      <c r="BS13" s="4">
        <f t="shared" si="8"/>
        <v>15</v>
      </c>
      <c r="BT13" s="19">
        <f t="shared" si="9"/>
        <v>36.585365853658537</v>
      </c>
      <c r="BU13" s="1">
        <f>in!CA13</f>
        <v>0</v>
      </c>
      <c r="BV13" s="1">
        <f>in!CB13</f>
        <v>0</v>
      </c>
      <c r="BW13" s="1">
        <f>in!CC13</f>
        <v>0</v>
      </c>
      <c r="BX13" s="1">
        <f>in!CD13</f>
        <v>1</v>
      </c>
      <c r="BY13" s="1">
        <f>in!CE13</f>
        <v>0</v>
      </c>
      <c r="BZ13" s="1">
        <f>in!CF13</f>
        <v>1</v>
      </c>
      <c r="CA13" s="1">
        <f>in!CG13</f>
        <v>0</v>
      </c>
      <c r="CB13" s="1">
        <f>in!CH13</f>
        <v>1</v>
      </c>
      <c r="CC13" s="1">
        <f>in!CI13</f>
        <v>0</v>
      </c>
      <c r="CD13" s="1">
        <f>in!CJ13</f>
        <v>0</v>
      </c>
      <c r="CE13" s="1">
        <f>in!CK13</f>
        <v>0</v>
      </c>
      <c r="CF13" s="1">
        <f>in!CL13</f>
        <v>0</v>
      </c>
      <c r="CG13" s="1">
        <f>in!CM13</f>
        <v>0</v>
      </c>
      <c r="CH13" s="1">
        <f>in!CN13</f>
        <v>0</v>
      </c>
      <c r="CI13" s="1">
        <f>in!CO13</f>
        <v>0</v>
      </c>
      <c r="CJ13" s="1">
        <f>in!CP13</f>
        <v>0</v>
      </c>
      <c r="CK13" s="1">
        <f>in!CQ13</f>
        <v>1</v>
      </c>
      <c r="CL13" s="1">
        <f>in!CR13</f>
        <v>1</v>
      </c>
      <c r="CM13" s="1">
        <f>in!CS13</f>
        <v>0</v>
      </c>
      <c r="CN13" s="1">
        <f>in!CT13</f>
        <v>0</v>
      </c>
      <c r="CO13" s="1">
        <f>in!CU13</f>
        <v>1</v>
      </c>
      <c r="CP13" s="1">
        <f>in!CV13</f>
        <v>0</v>
      </c>
      <c r="CQ13" s="1">
        <f>in!CW13</f>
        <v>0</v>
      </c>
      <c r="CR13" s="1">
        <f>in!CX13</f>
        <v>0</v>
      </c>
      <c r="CS13" s="1">
        <f>in!CY13</f>
        <v>0</v>
      </c>
      <c r="CT13" s="5">
        <f t="shared" si="10"/>
        <v>6</v>
      </c>
      <c r="CU13" s="5">
        <f t="shared" si="11"/>
        <v>24</v>
      </c>
      <c r="CV13" s="1">
        <f>in!CZ13</f>
        <v>0</v>
      </c>
      <c r="CW13" s="1">
        <f>in!DA13</f>
        <v>1</v>
      </c>
      <c r="CX13" s="1">
        <f>in!DB13</f>
        <v>0</v>
      </c>
      <c r="CY13" s="1">
        <f>in!DC13</f>
        <v>1</v>
      </c>
      <c r="CZ13" s="1">
        <f>in!DD13</f>
        <v>0</v>
      </c>
      <c r="DA13" s="1">
        <f>in!DE13</f>
        <v>0</v>
      </c>
      <c r="DB13" s="1">
        <f>in!DF13</f>
        <v>1</v>
      </c>
      <c r="DC13" s="1">
        <f>in!DG13</f>
        <v>0</v>
      </c>
      <c r="DD13" s="1">
        <f>in!DH13</f>
        <v>1</v>
      </c>
      <c r="DE13" s="1">
        <f>in!DI13</f>
        <v>0</v>
      </c>
      <c r="DF13" s="1">
        <f>in!DJ13</f>
        <v>0</v>
      </c>
      <c r="DG13" s="1">
        <f>in!DK13</f>
        <v>0</v>
      </c>
      <c r="DH13" s="14">
        <f t="shared" si="12"/>
        <v>4</v>
      </c>
      <c r="DI13" s="14">
        <f t="shared" si="13"/>
        <v>33.333333333333336</v>
      </c>
      <c r="DJ13" s="1">
        <f>in!DL13</f>
        <v>0</v>
      </c>
      <c r="DK13" s="1">
        <f>in!DM13</f>
        <v>0</v>
      </c>
      <c r="DL13" s="1">
        <f>in!DN13</f>
        <v>0</v>
      </c>
      <c r="DM13" s="1">
        <f>in!DO13</f>
        <v>1</v>
      </c>
      <c r="DN13" s="1">
        <f>in!DP13</f>
        <v>1</v>
      </c>
      <c r="DO13" s="1">
        <f>in!DQ13</f>
        <v>0</v>
      </c>
      <c r="DP13" s="11">
        <f t="shared" si="0"/>
        <v>2</v>
      </c>
      <c r="DQ13" s="16">
        <f t="shared" si="1"/>
        <v>33.333333333333336</v>
      </c>
      <c r="DR13" s="1">
        <f>in!DR13</f>
        <v>0</v>
      </c>
      <c r="DS13" s="1">
        <f>in!DS13</f>
        <v>0</v>
      </c>
      <c r="DT13" s="1">
        <f>in!DT13</f>
        <v>0</v>
      </c>
      <c r="DU13" s="1">
        <f>in!DU13</f>
        <v>0</v>
      </c>
      <c r="DV13" s="1">
        <f>in!DV13</f>
        <v>0</v>
      </c>
      <c r="DW13" s="1">
        <f>in!DW13</f>
        <v>0</v>
      </c>
      <c r="DX13" s="1">
        <f>in!DX13</f>
        <v>1</v>
      </c>
      <c r="DY13" s="1">
        <f>in!DY13</f>
        <v>0</v>
      </c>
      <c r="DZ13" s="15">
        <f t="shared" si="2"/>
        <v>1</v>
      </c>
      <c r="EA13" s="15">
        <f t="shared" si="3"/>
        <v>12.5</v>
      </c>
      <c r="EB13" s="1">
        <f>in!DZ13</f>
        <v>0</v>
      </c>
      <c r="EC13" s="1">
        <f>in!EA13</f>
        <v>1</v>
      </c>
      <c r="ED13" s="1">
        <f>in!EB13</f>
        <v>1</v>
      </c>
      <c r="EE13" s="20">
        <f t="shared" si="4"/>
        <v>2</v>
      </c>
      <c r="EF13" s="20">
        <f t="shared" si="5"/>
        <v>66.666666666666671</v>
      </c>
    </row>
    <row r="14" spans="1:136" x14ac:dyDescent="0.35">
      <c r="A14" s="43" t="str">
        <f>in!D14</f>
        <v xml:space="preserve">CASTAÑO EMERIS DANIELA LUCIA  </v>
      </c>
      <c r="B14" s="43">
        <f>in!E14</f>
        <v>5802</v>
      </c>
      <c r="C14" s="1">
        <f>in!M14</f>
        <v>1</v>
      </c>
      <c r="D14" s="1">
        <f>in!N14</f>
        <v>1</v>
      </c>
      <c r="E14" s="1">
        <f>in!O14</f>
        <v>0</v>
      </c>
      <c r="F14" s="1">
        <f>in!P14</f>
        <v>0</v>
      </c>
      <c r="G14" s="1">
        <f>in!Q14</f>
        <v>0</v>
      </c>
      <c r="H14" s="1">
        <f>in!R14</f>
        <v>0</v>
      </c>
      <c r="I14" s="1">
        <f>in!S14</f>
        <v>0</v>
      </c>
      <c r="J14" s="1">
        <f>in!T14</f>
        <v>1</v>
      </c>
      <c r="K14" s="1">
        <f>in!U14</f>
        <v>0</v>
      </c>
      <c r="L14" s="1">
        <f>in!V14</f>
        <v>0</v>
      </c>
      <c r="M14" s="1">
        <f>in!W14</f>
        <v>1</v>
      </c>
      <c r="N14" s="1">
        <f>in!X14</f>
        <v>1</v>
      </c>
      <c r="O14" s="1">
        <f>in!Y14</f>
        <v>1</v>
      </c>
      <c r="P14" s="1">
        <f>in!Z14</f>
        <v>0</v>
      </c>
      <c r="Q14" s="1">
        <f>in!AA14</f>
        <v>0</v>
      </c>
      <c r="R14" s="1">
        <f>in!AB14</f>
        <v>0</v>
      </c>
      <c r="S14" s="1">
        <f>in!AC14</f>
        <v>1</v>
      </c>
      <c r="T14" s="1">
        <f>in!AD14</f>
        <v>0</v>
      </c>
      <c r="U14" s="1">
        <f>in!AE14</f>
        <v>1</v>
      </c>
      <c r="V14" s="1">
        <f>in!AF14</f>
        <v>0</v>
      </c>
      <c r="W14" s="1">
        <f>in!AG14</f>
        <v>0</v>
      </c>
      <c r="X14" s="1">
        <f>in!AH14</f>
        <v>0</v>
      </c>
      <c r="Y14" s="1">
        <f>in!AI14</f>
        <v>0</v>
      </c>
      <c r="Z14" s="1">
        <f>in!AJ14</f>
        <v>0</v>
      </c>
      <c r="AA14" s="1">
        <f>in!AK14</f>
        <v>0</v>
      </c>
      <c r="AB14" s="3">
        <f t="shared" si="6"/>
        <v>8</v>
      </c>
      <c r="AC14" s="3">
        <f t="shared" si="7"/>
        <v>32</v>
      </c>
      <c r="AD14" s="1">
        <f>in!AL14</f>
        <v>0</v>
      </c>
      <c r="AE14" s="1">
        <f>in!AM14</f>
        <v>0</v>
      </c>
      <c r="AF14" s="1">
        <f>in!AN14</f>
        <v>0</v>
      </c>
      <c r="AG14" s="1">
        <f>in!AO14</f>
        <v>0</v>
      </c>
      <c r="AH14" s="1">
        <f>in!AP14</f>
        <v>0</v>
      </c>
      <c r="AI14" s="1">
        <f>in!AQ14</f>
        <v>0</v>
      </c>
      <c r="AJ14" s="1">
        <f>in!AR14</f>
        <v>1</v>
      </c>
      <c r="AK14" s="1">
        <f>in!AS14</f>
        <v>0</v>
      </c>
      <c r="AL14" s="1">
        <f>in!AT14</f>
        <v>0</v>
      </c>
      <c r="AM14" s="1">
        <f>in!AU14</f>
        <v>1</v>
      </c>
      <c r="AN14" s="1">
        <f>in!AV14</f>
        <v>0</v>
      </c>
      <c r="AO14" s="1">
        <f>in!AW14</f>
        <v>1</v>
      </c>
      <c r="AP14" s="1">
        <f>in!AX14</f>
        <v>0</v>
      </c>
      <c r="AQ14" s="1">
        <f>in!AY14</f>
        <v>0</v>
      </c>
      <c r="AR14" s="1">
        <f>in!AZ14</f>
        <v>0</v>
      </c>
      <c r="AS14" s="1">
        <f>in!BA14</f>
        <v>1</v>
      </c>
      <c r="AT14" s="1">
        <f>in!BB14</f>
        <v>0</v>
      </c>
      <c r="AU14" s="1">
        <f>in!BC14</f>
        <v>0</v>
      </c>
      <c r="AV14" s="1">
        <f>in!BD14</f>
        <v>0</v>
      </c>
      <c r="AW14" s="1">
        <f>in!BE14</f>
        <v>0</v>
      </c>
      <c r="AX14" s="1">
        <f>in!BF14</f>
        <v>0</v>
      </c>
      <c r="AY14" s="1">
        <f>in!BG14</f>
        <v>1</v>
      </c>
      <c r="AZ14" s="1">
        <f>in!BH14</f>
        <v>1</v>
      </c>
      <c r="BA14" s="1">
        <f>in!BI14</f>
        <v>0</v>
      </c>
      <c r="BB14" s="1">
        <f>in!BJ14</f>
        <v>0</v>
      </c>
      <c r="BC14" s="1">
        <f>in!BK14</f>
        <v>0</v>
      </c>
      <c r="BD14" s="1">
        <f>in!BL14</f>
        <v>0</v>
      </c>
      <c r="BE14" s="1">
        <f>in!BM14</f>
        <v>1</v>
      </c>
      <c r="BF14" s="1">
        <f>in!BN14</f>
        <v>1</v>
      </c>
      <c r="BG14" s="1">
        <f>in!BO14</f>
        <v>0</v>
      </c>
      <c r="BH14" s="1">
        <f>in!BP14</f>
        <v>0</v>
      </c>
      <c r="BI14" s="1">
        <f>in!BQ14</f>
        <v>0</v>
      </c>
      <c r="BJ14" s="1">
        <f>in!BR14</f>
        <v>1</v>
      </c>
      <c r="BK14" s="1">
        <f>in!BS14</f>
        <v>0</v>
      </c>
      <c r="BL14" s="1">
        <f>in!BT14</f>
        <v>0</v>
      </c>
      <c r="BM14" s="1">
        <f>in!BU14</f>
        <v>1</v>
      </c>
      <c r="BN14" s="1">
        <f>in!BV14</f>
        <v>0</v>
      </c>
      <c r="BO14" s="1">
        <f>in!BW14</f>
        <v>0</v>
      </c>
      <c r="BP14" s="1">
        <f>in!BX14</f>
        <v>0</v>
      </c>
      <c r="BQ14" s="1">
        <f>in!BY14</f>
        <v>1</v>
      </c>
      <c r="BR14" s="1">
        <f>in!BZ14</f>
        <v>0</v>
      </c>
      <c r="BS14" s="4">
        <f t="shared" si="8"/>
        <v>11</v>
      </c>
      <c r="BT14" s="19">
        <f t="shared" si="9"/>
        <v>26.829268292682926</v>
      </c>
      <c r="BU14" s="1">
        <f>in!CA14</f>
        <v>0</v>
      </c>
      <c r="BV14" s="1">
        <f>in!CB14</f>
        <v>0</v>
      </c>
      <c r="BW14" s="1">
        <f>in!CC14</f>
        <v>0</v>
      </c>
      <c r="BX14" s="1">
        <f>in!CD14</f>
        <v>0</v>
      </c>
      <c r="BY14" s="1">
        <f>in!CE14</f>
        <v>1</v>
      </c>
      <c r="BZ14" s="1">
        <f>in!CF14</f>
        <v>0</v>
      </c>
      <c r="CA14" s="1">
        <f>in!CG14</f>
        <v>0</v>
      </c>
      <c r="CB14" s="1">
        <f>in!CH14</f>
        <v>1</v>
      </c>
      <c r="CC14" s="1">
        <f>in!CI14</f>
        <v>0</v>
      </c>
      <c r="CD14" s="1">
        <f>in!CJ14</f>
        <v>1</v>
      </c>
      <c r="CE14" s="1">
        <f>in!CK14</f>
        <v>0</v>
      </c>
      <c r="CF14" s="1">
        <f>in!CL14</f>
        <v>1</v>
      </c>
      <c r="CG14" s="1">
        <f>in!CM14</f>
        <v>0</v>
      </c>
      <c r="CH14" s="1">
        <f>in!CN14</f>
        <v>0</v>
      </c>
      <c r="CI14" s="1">
        <f>in!CO14</f>
        <v>0</v>
      </c>
      <c r="CJ14" s="1">
        <f>in!CP14</f>
        <v>0</v>
      </c>
      <c r="CK14" s="1">
        <f>in!CQ14</f>
        <v>1</v>
      </c>
      <c r="CL14" s="1">
        <f>in!CR14</f>
        <v>1</v>
      </c>
      <c r="CM14" s="1">
        <f>in!CS14</f>
        <v>0</v>
      </c>
      <c r="CN14" s="1">
        <f>in!CT14</f>
        <v>0</v>
      </c>
      <c r="CO14" s="1">
        <f>in!CU14</f>
        <v>1</v>
      </c>
      <c r="CP14" s="1">
        <f>in!CV14</f>
        <v>1</v>
      </c>
      <c r="CQ14" s="1">
        <f>in!CW14</f>
        <v>0</v>
      </c>
      <c r="CR14" s="1">
        <f>in!CX14</f>
        <v>0</v>
      </c>
      <c r="CS14" s="1">
        <f>in!CY14</f>
        <v>0</v>
      </c>
      <c r="CT14" s="5">
        <f t="shared" si="10"/>
        <v>8</v>
      </c>
      <c r="CU14" s="5">
        <f t="shared" si="11"/>
        <v>32</v>
      </c>
      <c r="CV14" s="1">
        <f>in!CZ14</f>
        <v>0</v>
      </c>
      <c r="CW14" s="1">
        <f>in!DA14</f>
        <v>1</v>
      </c>
      <c r="CX14" s="1">
        <f>in!DB14</f>
        <v>0</v>
      </c>
      <c r="CY14" s="1">
        <f>in!DC14</f>
        <v>0</v>
      </c>
      <c r="CZ14" s="1">
        <f>in!DD14</f>
        <v>0</v>
      </c>
      <c r="DA14" s="1">
        <f>in!DE14</f>
        <v>0</v>
      </c>
      <c r="DB14" s="1">
        <f>in!DF14</f>
        <v>0</v>
      </c>
      <c r="DC14" s="1">
        <f>in!DG14</f>
        <v>0</v>
      </c>
      <c r="DD14" s="1">
        <f>in!DH14</f>
        <v>0</v>
      </c>
      <c r="DE14" s="1">
        <f>in!DI14</f>
        <v>0</v>
      </c>
      <c r="DF14" s="1">
        <f>in!DJ14</f>
        <v>0</v>
      </c>
      <c r="DG14" s="1">
        <f>in!DK14</f>
        <v>1</v>
      </c>
      <c r="DH14" s="14">
        <f t="shared" si="12"/>
        <v>2</v>
      </c>
      <c r="DI14" s="14">
        <f t="shared" si="13"/>
        <v>16.666666666666668</v>
      </c>
      <c r="DJ14" s="1">
        <f>in!DL14</f>
        <v>0</v>
      </c>
      <c r="DK14" s="1">
        <f>in!DM14</f>
        <v>0</v>
      </c>
      <c r="DL14" s="1">
        <f>in!DN14</f>
        <v>1</v>
      </c>
      <c r="DM14" s="1">
        <f>in!DO14</f>
        <v>0</v>
      </c>
      <c r="DN14" s="1">
        <f>in!DP14</f>
        <v>0</v>
      </c>
      <c r="DO14" s="1">
        <f>in!DQ14</f>
        <v>1</v>
      </c>
      <c r="DP14" s="11">
        <f t="shared" si="0"/>
        <v>2</v>
      </c>
      <c r="DQ14" s="16">
        <f t="shared" si="1"/>
        <v>33.333333333333336</v>
      </c>
      <c r="DR14" s="1">
        <f>in!DR14</f>
        <v>0</v>
      </c>
      <c r="DS14" s="1">
        <f>in!DS14</f>
        <v>0</v>
      </c>
      <c r="DT14" s="1">
        <f>in!DT14</f>
        <v>0</v>
      </c>
      <c r="DU14" s="1">
        <f>in!DU14</f>
        <v>0</v>
      </c>
      <c r="DV14" s="1">
        <f>in!DV14</f>
        <v>1</v>
      </c>
      <c r="DW14" s="1">
        <f>in!DW14</f>
        <v>1</v>
      </c>
      <c r="DX14" s="1">
        <f>in!DX14</f>
        <v>0</v>
      </c>
      <c r="DY14" s="1">
        <f>in!DY14</f>
        <v>0</v>
      </c>
      <c r="DZ14" s="15">
        <f t="shared" si="2"/>
        <v>2</v>
      </c>
      <c r="EA14" s="15">
        <f t="shared" si="3"/>
        <v>25</v>
      </c>
      <c r="EB14" s="1">
        <f>in!DZ14</f>
        <v>0</v>
      </c>
      <c r="EC14" s="1">
        <f>in!EA14</f>
        <v>0</v>
      </c>
      <c r="ED14" s="1">
        <f>in!EB14</f>
        <v>0</v>
      </c>
      <c r="EE14" s="20">
        <f t="shared" si="4"/>
        <v>0</v>
      </c>
      <c r="EF14" s="20">
        <f t="shared" si="5"/>
        <v>0</v>
      </c>
    </row>
    <row r="15" spans="1:136" x14ac:dyDescent="0.35">
      <c r="A15" s="43" t="str">
        <f>in!D15</f>
        <v xml:space="preserve">CAUSIL RAMOS SANTIAGO DAVID  </v>
      </c>
      <c r="B15" s="43">
        <f>in!E15</f>
        <v>5803</v>
      </c>
      <c r="C15" s="1">
        <f>in!M15</f>
        <v>0</v>
      </c>
      <c r="D15" s="1">
        <f>in!N15</f>
        <v>1</v>
      </c>
      <c r="E15" s="1">
        <f>in!O15</f>
        <v>0</v>
      </c>
      <c r="F15" s="1">
        <f>in!P15</f>
        <v>0</v>
      </c>
      <c r="G15" s="1">
        <f>in!Q15</f>
        <v>0</v>
      </c>
      <c r="H15" s="1">
        <f>in!R15</f>
        <v>0</v>
      </c>
      <c r="I15" s="1">
        <f>in!S15</f>
        <v>0</v>
      </c>
      <c r="J15" s="1">
        <f>in!T15</f>
        <v>1</v>
      </c>
      <c r="K15" s="1">
        <f>in!U15</f>
        <v>0</v>
      </c>
      <c r="L15" s="1">
        <f>in!V15</f>
        <v>0</v>
      </c>
      <c r="M15" s="1">
        <f>in!W15</f>
        <v>0</v>
      </c>
      <c r="N15" s="1">
        <f>in!X15</f>
        <v>0</v>
      </c>
      <c r="O15" s="1">
        <f>in!Y15</f>
        <v>0</v>
      </c>
      <c r="P15" s="1">
        <f>in!Z15</f>
        <v>1</v>
      </c>
      <c r="Q15" s="1">
        <f>in!AA15</f>
        <v>0</v>
      </c>
      <c r="R15" s="1">
        <f>in!AB15</f>
        <v>0</v>
      </c>
      <c r="S15" s="1">
        <f>in!AC15</f>
        <v>0</v>
      </c>
      <c r="T15" s="1">
        <f>in!AD15</f>
        <v>0</v>
      </c>
      <c r="U15" s="1">
        <f>in!AE15</f>
        <v>0</v>
      </c>
      <c r="V15" s="1">
        <f>in!AF15</f>
        <v>0</v>
      </c>
      <c r="W15" s="1">
        <f>in!AG15</f>
        <v>0</v>
      </c>
      <c r="X15" s="1">
        <f>in!AH15</f>
        <v>1</v>
      </c>
      <c r="Y15" s="1">
        <f>in!AI15</f>
        <v>0</v>
      </c>
      <c r="Z15" s="1">
        <f>in!AJ15</f>
        <v>0</v>
      </c>
      <c r="AA15" s="1">
        <f>in!AK15</f>
        <v>1</v>
      </c>
      <c r="AB15" s="3">
        <f t="shared" si="6"/>
        <v>5</v>
      </c>
      <c r="AC15" s="3">
        <f t="shared" si="7"/>
        <v>20</v>
      </c>
      <c r="AD15" s="1">
        <f>in!AL15</f>
        <v>1</v>
      </c>
      <c r="AE15" s="1">
        <f>in!AM15</f>
        <v>0</v>
      </c>
      <c r="AF15" s="1">
        <f>in!AN15</f>
        <v>0</v>
      </c>
      <c r="AG15" s="1">
        <f>in!AO15</f>
        <v>1</v>
      </c>
      <c r="AH15" s="1">
        <f>in!AP15</f>
        <v>0</v>
      </c>
      <c r="AI15" s="1">
        <f>in!AQ15</f>
        <v>0</v>
      </c>
      <c r="AJ15" s="1">
        <f>in!AR15</f>
        <v>1</v>
      </c>
      <c r="AK15" s="1">
        <f>in!AS15</f>
        <v>0</v>
      </c>
      <c r="AL15" s="1">
        <f>in!AT15</f>
        <v>0</v>
      </c>
      <c r="AM15" s="1">
        <f>in!AU15</f>
        <v>1</v>
      </c>
      <c r="AN15" s="1">
        <f>in!AV15</f>
        <v>1</v>
      </c>
      <c r="AO15" s="1">
        <f>in!AW15</f>
        <v>0</v>
      </c>
      <c r="AP15" s="1">
        <f>in!AX15</f>
        <v>0</v>
      </c>
      <c r="AQ15" s="1">
        <f>in!AY15</f>
        <v>0</v>
      </c>
      <c r="AR15" s="1">
        <f>in!AZ15</f>
        <v>0</v>
      </c>
      <c r="AS15" s="1">
        <f>in!BA15</f>
        <v>0</v>
      </c>
      <c r="AT15" s="1">
        <f>in!BB15</f>
        <v>0</v>
      </c>
      <c r="AU15" s="1">
        <f>in!BC15</f>
        <v>0</v>
      </c>
      <c r="AV15" s="1">
        <f>in!BD15</f>
        <v>0</v>
      </c>
      <c r="AW15" s="1">
        <f>in!BE15</f>
        <v>0</v>
      </c>
      <c r="AX15" s="1">
        <f>in!BF15</f>
        <v>0</v>
      </c>
      <c r="AY15" s="1">
        <f>in!BG15</f>
        <v>0</v>
      </c>
      <c r="AZ15" s="1">
        <f>in!BH15</f>
        <v>1</v>
      </c>
      <c r="BA15" s="1">
        <f>in!BI15</f>
        <v>0</v>
      </c>
      <c r="BB15" s="1">
        <f>in!BJ15</f>
        <v>0</v>
      </c>
      <c r="BC15" s="1">
        <f>in!BK15</f>
        <v>1</v>
      </c>
      <c r="BD15" s="1">
        <f>in!BL15</f>
        <v>0</v>
      </c>
      <c r="BE15" s="1">
        <f>in!BM15</f>
        <v>1</v>
      </c>
      <c r="BF15" s="1">
        <f>in!BN15</f>
        <v>0</v>
      </c>
      <c r="BG15" s="1">
        <f>in!BO15</f>
        <v>0</v>
      </c>
      <c r="BH15" s="1">
        <f>in!BP15</f>
        <v>0</v>
      </c>
      <c r="BI15" s="1">
        <f>in!BQ15</f>
        <v>0</v>
      </c>
      <c r="BJ15" s="1">
        <f>in!BR15</f>
        <v>0</v>
      </c>
      <c r="BK15" s="1">
        <f>in!BS15</f>
        <v>0</v>
      </c>
      <c r="BL15" s="1">
        <f>in!BT15</f>
        <v>0</v>
      </c>
      <c r="BM15" s="1">
        <f>in!BU15</f>
        <v>0</v>
      </c>
      <c r="BN15" s="1">
        <f>in!BV15</f>
        <v>0</v>
      </c>
      <c r="BO15" s="1">
        <f>in!BW15</f>
        <v>0</v>
      </c>
      <c r="BP15" s="1">
        <f>in!BX15</f>
        <v>0</v>
      </c>
      <c r="BQ15" s="1">
        <f>in!BY15</f>
        <v>0</v>
      </c>
      <c r="BR15" s="1">
        <f>in!BZ15</f>
        <v>0</v>
      </c>
      <c r="BS15" s="4">
        <f t="shared" si="8"/>
        <v>8</v>
      </c>
      <c r="BT15" s="19">
        <f t="shared" si="9"/>
        <v>19.512195121951219</v>
      </c>
      <c r="BU15" s="1">
        <f>in!CA15</f>
        <v>0</v>
      </c>
      <c r="BV15" s="1">
        <f>in!CB15</f>
        <v>0</v>
      </c>
      <c r="BW15" s="1">
        <f>in!CC15</f>
        <v>0</v>
      </c>
      <c r="BX15" s="1">
        <f>in!CD15</f>
        <v>0</v>
      </c>
      <c r="BY15" s="1">
        <f>in!CE15</f>
        <v>0</v>
      </c>
      <c r="BZ15" s="1">
        <f>in!CF15</f>
        <v>0</v>
      </c>
      <c r="CA15" s="1">
        <f>in!CG15</f>
        <v>0</v>
      </c>
      <c r="CB15" s="1">
        <f>in!CH15</f>
        <v>0</v>
      </c>
      <c r="CC15" s="1">
        <f>in!CI15</f>
        <v>0</v>
      </c>
      <c r="CD15" s="1">
        <f>in!CJ15</f>
        <v>0</v>
      </c>
      <c r="CE15" s="1">
        <f>in!CK15</f>
        <v>1</v>
      </c>
      <c r="CF15" s="1">
        <f>in!CL15</f>
        <v>0</v>
      </c>
      <c r="CG15" s="1">
        <f>in!CM15</f>
        <v>0</v>
      </c>
      <c r="CH15" s="1">
        <f>in!CN15</f>
        <v>1</v>
      </c>
      <c r="CI15" s="1">
        <f>in!CO15</f>
        <v>1</v>
      </c>
      <c r="CJ15" s="1">
        <f>in!CP15</f>
        <v>0</v>
      </c>
      <c r="CK15" s="1">
        <f>in!CQ15</f>
        <v>0</v>
      </c>
      <c r="CL15" s="1">
        <f>in!CR15</f>
        <v>0</v>
      </c>
      <c r="CM15" s="1">
        <f>in!CS15</f>
        <v>0</v>
      </c>
      <c r="CN15" s="1">
        <f>in!CT15</f>
        <v>0</v>
      </c>
      <c r="CO15" s="1">
        <f>in!CU15</f>
        <v>1</v>
      </c>
      <c r="CP15" s="1">
        <f>in!CV15</f>
        <v>0</v>
      </c>
      <c r="CQ15" s="1">
        <f>in!CW15</f>
        <v>0</v>
      </c>
      <c r="CR15" s="1">
        <f>in!CX15</f>
        <v>0</v>
      </c>
      <c r="CS15" s="1">
        <f>in!CY15</f>
        <v>0</v>
      </c>
      <c r="CT15" s="5">
        <f t="shared" si="10"/>
        <v>4</v>
      </c>
      <c r="CU15" s="5">
        <f t="shared" si="11"/>
        <v>16</v>
      </c>
      <c r="CV15" s="1">
        <f>in!CZ15</f>
        <v>1</v>
      </c>
      <c r="CW15" s="1">
        <f>in!DA15</f>
        <v>0</v>
      </c>
      <c r="CX15" s="1">
        <f>in!DB15</f>
        <v>0</v>
      </c>
      <c r="CY15" s="1">
        <f>in!DC15</f>
        <v>1</v>
      </c>
      <c r="CZ15" s="1">
        <f>in!DD15</f>
        <v>0</v>
      </c>
      <c r="DA15" s="1">
        <f>in!DE15</f>
        <v>0</v>
      </c>
      <c r="DB15" s="1">
        <f>in!DF15</f>
        <v>1</v>
      </c>
      <c r="DC15" s="1">
        <f>in!DG15</f>
        <v>0</v>
      </c>
      <c r="DD15" s="1">
        <f>in!DH15</f>
        <v>1</v>
      </c>
      <c r="DE15" s="1">
        <f>in!DI15</f>
        <v>1</v>
      </c>
      <c r="DF15" s="1">
        <f>in!DJ15</f>
        <v>0</v>
      </c>
      <c r="DG15" s="1">
        <f>in!DK15</f>
        <v>0</v>
      </c>
      <c r="DH15" s="14">
        <f t="shared" si="12"/>
        <v>5</v>
      </c>
      <c r="DI15" s="14">
        <f t="shared" si="13"/>
        <v>41.666666666666664</v>
      </c>
      <c r="DJ15" s="1">
        <f>in!DL15</f>
        <v>0</v>
      </c>
      <c r="DK15" s="1">
        <f>in!DM15</f>
        <v>0</v>
      </c>
      <c r="DL15" s="1">
        <f>in!DN15</f>
        <v>1</v>
      </c>
      <c r="DM15" s="1">
        <f>in!DO15</f>
        <v>1</v>
      </c>
      <c r="DN15" s="1">
        <f>in!DP15</f>
        <v>1</v>
      </c>
      <c r="DO15" s="1">
        <f>in!DQ15</f>
        <v>1</v>
      </c>
      <c r="DP15" s="11">
        <f t="shared" si="0"/>
        <v>4</v>
      </c>
      <c r="DQ15" s="16">
        <f t="shared" si="1"/>
        <v>66.666666666666671</v>
      </c>
      <c r="DR15" s="1">
        <f>in!DR15</f>
        <v>0</v>
      </c>
      <c r="DS15" s="1">
        <f>in!DS15</f>
        <v>1</v>
      </c>
      <c r="DT15" s="1">
        <f>in!DT15</f>
        <v>0</v>
      </c>
      <c r="DU15" s="1">
        <f>in!DU15</f>
        <v>1</v>
      </c>
      <c r="DV15" s="1">
        <f>in!DV15</f>
        <v>0</v>
      </c>
      <c r="DW15" s="1">
        <f>in!DW15</f>
        <v>0</v>
      </c>
      <c r="DX15" s="1">
        <f>in!DX15</f>
        <v>0</v>
      </c>
      <c r="DY15" s="1">
        <f>in!DY15</f>
        <v>0</v>
      </c>
      <c r="DZ15" s="15">
        <f t="shared" si="2"/>
        <v>2</v>
      </c>
      <c r="EA15" s="15">
        <f t="shared" si="3"/>
        <v>25</v>
      </c>
      <c r="EB15" s="1">
        <f>in!DZ15</f>
        <v>1</v>
      </c>
      <c r="EC15" s="1">
        <f>in!EA15</f>
        <v>0</v>
      </c>
      <c r="ED15" s="1">
        <f>in!EB15</f>
        <v>0</v>
      </c>
      <c r="EE15" s="20">
        <f t="shared" si="4"/>
        <v>1</v>
      </c>
      <c r="EF15" s="20">
        <f t="shared" si="5"/>
        <v>33.333333333333336</v>
      </c>
    </row>
    <row r="16" spans="1:136" x14ac:dyDescent="0.35">
      <c r="A16" s="43" t="str">
        <f>in!D16</f>
        <v xml:space="preserve">CHAMORRO ARTEAGA JUAN DAVID  </v>
      </c>
      <c r="B16" s="43">
        <f>in!E16</f>
        <v>5804</v>
      </c>
      <c r="C16" s="1">
        <f>in!M16</f>
        <v>1</v>
      </c>
      <c r="D16" s="1">
        <f>in!N16</f>
        <v>1</v>
      </c>
      <c r="E16" s="1">
        <f>in!O16</f>
        <v>0</v>
      </c>
      <c r="F16" s="1">
        <f>in!P16</f>
        <v>0</v>
      </c>
      <c r="G16" s="1">
        <f>in!Q16</f>
        <v>0</v>
      </c>
      <c r="H16" s="1">
        <f>in!R16</f>
        <v>1</v>
      </c>
      <c r="I16" s="1">
        <f>in!S16</f>
        <v>1</v>
      </c>
      <c r="J16" s="1">
        <f>in!T16</f>
        <v>0</v>
      </c>
      <c r="K16" s="1">
        <f>in!U16</f>
        <v>1</v>
      </c>
      <c r="L16" s="1">
        <f>in!V16</f>
        <v>0</v>
      </c>
      <c r="M16" s="1">
        <f>in!W16</f>
        <v>0</v>
      </c>
      <c r="N16" s="1">
        <f>in!X16</f>
        <v>0</v>
      </c>
      <c r="O16" s="1">
        <f>in!Y16</f>
        <v>1</v>
      </c>
      <c r="P16" s="1">
        <f>in!Z16</f>
        <v>0</v>
      </c>
      <c r="Q16" s="1">
        <f>in!AA16</f>
        <v>1</v>
      </c>
      <c r="R16" s="1">
        <f>in!AB16</f>
        <v>0</v>
      </c>
      <c r="S16" s="1">
        <f>in!AC16</f>
        <v>0</v>
      </c>
      <c r="T16" s="1">
        <f>in!AD16</f>
        <v>0</v>
      </c>
      <c r="U16" s="1">
        <f>in!AE16</f>
        <v>1</v>
      </c>
      <c r="V16" s="1">
        <f>in!AF16</f>
        <v>0</v>
      </c>
      <c r="W16" s="1">
        <f>in!AG16</f>
        <v>0</v>
      </c>
      <c r="X16" s="1">
        <f>in!AH16</f>
        <v>0</v>
      </c>
      <c r="Y16" s="1">
        <f>in!AI16</f>
        <v>1</v>
      </c>
      <c r="Z16" s="1">
        <f>in!AJ16</f>
        <v>0</v>
      </c>
      <c r="AA16" s="1">
        <f>in!AK16</f>
        <v>1</v>
      </c>
      <c r="AB16" s="3">
        <f t="shared" si="6"/>
        <v>10</v>
      </c>
      <c r="AC16" s="3">
        <f t="shared" si="7"/>
        <v>40</v>
      </c>
      <c r="AD16" s="1">
        <f>in!AL16</f>
        <v>1</v>
      </c>
      <c r="AE16" s="1">
        <f>in!AM16</f>
        <v>0</v>
      </c>
      <c r="AF16" s="1">
        <f>in!AN16</f>
        <v>1</v>
      </c>
      <c r="AG16" s="1">
        <f>in!AO16</f>
        <v>1</v>
      </c>
      <c r="AH16" s="1">
        <f>in!AP16</f>
        <v>1</v>
      </c>
      <c r="AI16" s="1">
        <f>in!AQ16</f>
        <v>0</v>
      </c>
      <c r="AJ16" s="1">
        <f>in!AR16</f>
        <v>0</v>
      </c>
      <c r="AK16" s="1">
        <f>in!AS16</f>
        <v>1</v>
      </c>
      <c r="AL16" s="1">
        <f>in!AT16</f>
        <v>1</v>
      </c>
      <c r="AM16" s="1">
        <f>in!AU16</f>
        <v>0</v>
      </c>
      <c r="AN16" s="1">
        <f>in!AV16</f>
        <v>0</v>
      </c>
      <c r="AO16" s="1">
        <f>in!AW16</f>
        <v>1</v>
      </c>
      <c r="AP16" s="1">
        <f>in!AX16</f>
        <v>0</v>
      </c>
      <c r="AQ16" s="1">
        <f>in!AY16</f>
        <v>0</v>
      </c>
      <c r="AR16" s="1">
        <f>in!AZ16</f>
        <v>0</v>
      </c>
      <c r="AS16" s="1">
        <f>in!BA16</f>
        <v>0</v>
      </c>
      <c r="AT16" s="1">
        <f>in!BB16</f>
        <v>0</v>
      </c>
      <c r="AU16" s="1">
        <f>in!BC16</f>
        <v>0</v>
      </c>
      <c r="AV16" s="1">
        <f>in!BD16</f>
        <v>0</v>
      </c>
      <c r="AW16" s="1">
        <f>in!BE16</f>
        <v>0</v>
      </c>
      <c r="AX16" s="1">
        <f>in!BF16</f>
        <v>0</v>
      </c>
      <c r="AY16" s="1">
        <f>in!BG16</f>
        <v>0</v>
      </c>
      <c r="AZ16" s="1">
        <f>in!BH16</f>
        <v>1</v>
      </c>
      <c r="BA16" s="1">
        <f>in!BI16</f>
        <v>1</v>
      </c>
      <c r="BB16" s="1">
        <f>in!BJ16</f>
        <v>0</v>
      </c>
      <c r="BC16" s="1">
        <f>in!BK16</f>
        <v>0</v>
      </c>
      <c r="BD16" s="1">
        <f>in!BL16</f>
        <v>1</v>
      </c>
      <c r="BE16" s="1">
        <f>in!BM16</f>
        <v>0</v>
      </c>
      <c r="BF16" s="1">
        <f>in!BN16</f>
        <v>1</v>
      </c>
      <c r="BG16" s="1">
        <f>in!BO16</f>
        <v>0</v>
      </c>
      <c r="BH16" s="1">
        <f>in!BP16</f>
        <v>0</v>
      </c>
      <c r="BI16" s="1">
        <f>in!BQ16</f>
        <v>0</v>
      </c>
      <c r="BJ16" s="1">
        <f>in!BR16</f>
        <v>0</v>
      </c>
      <c r="BK16" s="1">
        <f>in!BS16</f>
        <v>0</v>
      </c>
      <c r="BL16" s="1">
        <f>in!BT16</f>
        <v>0</v>
      </c>
      <c r="BM16" s="1">
        <f>in!BU16</f>
        <v>0</v>
      </c>
      <c r="BN16" s="1">
        <f>in!BV16</f>
        <v>0</v>
      </c>
      <c r="BO16" s="1">
        <f>in!BW16</f>
        <v>0</v>
      </c>
      <c r="BP16" s="1">
        <f>in!BX16</f>
        <v>0</v>
      </c>
      <c r="BQ16" s="1">
        <f>in!BY16</f>
        <v>0</v>
      </c>
      <c r="BR16" s="1">
        <f>in!BZ16</f>
        <v>1</v>
      </c>
      <c r="BS16" s="4">
        <f t="shared" si="8"/>
        <v>12</v>
      </c>
      <c r="BT16" s="19">
        <f t="shared" si="9"/>
        <v>29.26829268292683</v>
      </c>
      <c r="BU16" s="1">
        <f>in!CA16</f>
        <v>0</v>
      </c>
      <c r="BV16" s="1">
        <f>in!CB16</f>
        <v>1</v>
      </c>
      <c r="BW16" s="1">
        <f>in!CC16</f>
        <v>1</v>
      </c>
      <c r="BX16" s="1">
        <f>in!CD16</f>
        <v>1</v>
      </c>
      <c r="BY16" s="1">
        <f>in!CE16</f>
        <v>0</v>
      </c>
      <c r="BZ16" s="1">
        <f>in!CF16</f>
        <v>0</v>
      </c>
      <c r="CA16" s="1">
        <f>in!CG16</f>
        <v>0</v>
      </c>
      <c r="CB16" s="1">
        <f>in!CH16</f>
        <v>0</v>
      </c>
      <c r="CC16" s="1">
        <f>in!CI16</f>
        <v>0</v>
      </c>
      <c r="CD16" s="1">
        <f>in!CJ16</f>
        <v>1</v>
      </c>
      <c r="CE16" s="1">
        <f>in!CK16</f>
        <v>1</v>
      </c>
      <c r="CF16" s="1">
        <f>in!CL16</f>
        <v>0</v>
      </c>
      <c r="CG16" s="1">
        <f>in!CM16</f>
        <v>0</v>
      </c>
      <c r="CH16" s="1">
        <f>in!CN16</f>
        <v>1</v>
      </c>
      <c r="CI16" s="1">
        <f>in!CO16</f>
        <v>0</v>
      </c>
      <c r="CJ16" s="1">
        <f>in!CP16</f>
        <v>0</v>
      </c>
      <c r="CK16" s="1">
        <f>in!CQ16</f>
        <v>1</v>
      </c>
      <c r="CL16" s="1">
        <f>in!CR16</f>
        <v>0</v>
      </c>
      <c r="CM16" s="1">
        <f>in!CS16</f>
        <v>1</v>
      </c>
      <c r="CN16" s="1">
        <f>in!CT16</f>
        <v>1</v>
      </c>
      <c r="CO16" s="1">
        <f>in!CU16</f>
        <v>0</v>
      </c>
      <c r="CP16" s="1">
        <f>in!CV16</f>
        <v>0</v>
      </c>
      <c r="CQ16" s="1">
        <f>in!CW16</f>
        <v>0</v>
      </c>
      <c r="CR16" s="1">
        <f>in!CX16</f>
        <v>0</v>
      </c>
      <c r="CS16" s="1">
        <f>in!CY16</f>
        <v>0</v>
      </c>
      <c r="CT16" s="5">
        <f t="shared" si="10"/>
        <v>9</v>
      </c>
      <c r="CU16" s="5">
        <f t="shared" si="11"/>
        <v>36</v>
      </c>
      <c r="CV16" s="1">
        <f>in!CZ16</f>
        <v>1</v>
      </c>
      <c r="CW16" s="1">
        <f>in!DA16</f>
        <v>0</v>
      </c>
      <c r="CX16" s="1">
        <f>in!DB16</f>
        <v>0</v>
      </c>
      <c r="CY16" s="1">
        <f>in!DC16</f>
        <v>0</v>
      </c>
      <c r="CZ16" s="1">
        <f>in!DD16</f>
        <v>0</v>
      </c>
      <c r="DA16" s="1">
        <f>in!DE16</f>
        <v>0</v>
      </c>
      <c r="DB16" s="1">
        <f>in!DF16</f>
        <v>0</v>
      </c>
      <c r="DC16" s="1">
        <f>in!DG16</f>
        <v>0</v>
      </c>
      <c r="DD16" s="1">
        <f>in!DH16</f>
        <v>0</v>
      </c>
      <c r="DE16" s="1">
        <f>in!DI16</f>
        <v>0</v>
      </c>
      <c r="DF16" s="1">
        <f>in!DJ16</f>
        <v>0</v>
      </c>
      <c r="DG16" s="1">
        <f>in!DK16</f>
        <v>0</v>
      </c>
      <c r="DH16" s="14">
        <f t="shared" si="12"/>
        <v>1</v>
      </c>
      <c r="DI16" s="14">
        <f t="shared" si="13"/>
        <v>8.3333333333333339</v>
      </c>
      <c r="DJ16" s="1">
        <f>in!DL16</f>
        <v>1</v>
      </c>
      <c r="DK16" s="1">
        <f>in!DM16</f>
        <v>0</v>
      </c>
      <c r="DL16" s="1">
        <f>in!DN16</f>
        <v>0</v>
      </c>
      <c r="DM16" s="1">
        <f>in!DO16</f>
        <v>0</v>
      </c>
      <c r="DN16" s="1">
        <f>in!DP16</f>
        <v>0</v>
      </c>
      <c r="DO16" s="1">
        <f>in!DQ16</f>
        <v>0</v>
      </c>
      <c r="DP16" s="11">
        <f t="shared" si="0"/>
        <v>1</v>
      </c>
      <c r="DQ16" s="16">
        <f t="shared" si="1"/>
        <v>16.666666666666668</v>
      </c>
      <c r="DR16" s="1">
        <f>in!DR16</f>
        <v>1</v>
      </c>
      <c r="DS16" s="1">
        <f>in!DS16</f>
        <v>1</v>
      </c>
      <c r="DT16" s="1">
        <f>in!DT16</f>
        <v>0</v>
      </c>
      <c r="DU16" s="1">
        <f>in!DU16</f>
        <v>0</v>
      </c>
      <c r="DV16" s="1">
        <f>in!DV16</f>
        <v>0</v>
      </c>
      <c r="DW16" s="1">
        <f>in!DW16</f>
        <v>0</v>
      </c>
      <c r="DX16" s="1">
        <f>in!DX16</f>
        <v>1</v>
      </c>
      <c r="DY16" s="1">
        <f>in!DY16</f>
        <v>1</v>
      </c>
      <c r="DZ16" s="15">
        <f t="shared" si="2"/>
        <v>4</v>
      </c>
      <c r="EA16" s="15">
        <f t="shared" si="3"/>
        <v>50</v>
      </c>
      <c r="EB16" s="1">
        <f>in!DZ16</f>
        <v>1</v>
      </c>
      <c r="EC16" s="1">
        <f>in!EA16</f>
        <v>0</v>
      </c>
      <c r="ED16" s="1">
        <f>in!EB16</f>
        <v>1</v>
      </c>
      <c r="EE16" s="20">
        <f t="shared" si="4"/>
        <v>2</v>
      </c>
      <c r="EF16" s="20">
        <f t="shared" si="5"/>
        <v>66.666666666666671</v>
      </c>
    </row>
    <row r="17" spans="1:136" x14ac:dyDescent="0.35">
      <c r="A17" s="43" t="str">
        <f>in!D17</f>
        <v xml:space="preserve">FLOREZ HERNANDEZ BRAYAN ANDRES  </v>
      </c>
      <c r="B17" s="43">
        <f>in!E17</f>
        <v>5850</v>
      </c>
      <c r="C17" s="1">
        <f>in!M17</f>
        <v>1</v>
      </c>
      <c r="D17" s="1">
        <f>in!N17</f>
        <v>0</v>
      </c>
      <c r="E17" s="1">
        <f>in!O17</f>
        <v>0</v>
      </c>
      <c r="F17" s="1">
        <f>in!P17</f>
        <v>0</v>
      </c>
      <c r="G17" s="1">
        <f>in!Q17</f>
        <v>1</v>
      </c>
      <c r="H17" s="1">
        <f>in!R17</f>
        <v>0</v>
      </c>
      <c r="I17" s="1">
        <f>in!S17</f>
        <v>0</v>
      </c>
      <c r="J17" s="1">
        <f>in!T17</f>
        <v>0</v>
      </c>
      <c r="K17" s="1">
        <f>in!U17</f>
        <v>0</v>
      </c>
      <c r="L17" s="1">
        <f>in!V17</f>
        <v>0</v>
      </c>
      <c r="M17" s="1">
        <f>in!W17</f>
        <v>0</v>
      </c>
      <c r="N17" s="1">
        <f>in!X17</f>
        <v>1</v>
      </c>
      <c r="O17" s="1">
        <f>in!Y17</f>
        <v>0</v>
      </c>
      <c r="P17" s="1">
        <f>in!Z17</f>
        <v>0</v>
      </c>
      <c r="Q17" s="1">
        <f>in!AA17</f>
        <v>0</v>
      </c>
      <c r="R17" s="1">
        <f>in!AB17</f>
        <v>0</v>
      </c>
      <c r="S17" s="1">
        <f>in!AC17</f>
        <v>0</v>
      </c>
      <c r="T17" s="1">
        <f>in!AD17</f>
        <v>0</v>
      </c>
      <c r="U17" s="1">
        <f>in!AE17</f>
        <v>1</v>
      </c>
      <c r="V17" s="1">
        <f>in!AF17</f>
        <v>0</v>
      </c>
      <c r="W17" s="1">
        <f>in!AG17</f>
        <v>1</v>
      </c>
      <c r="X17" s="1">
        <f>in!AH17</f>
        <v>1</v>
      </c>
      <c r="Y17" s="1">
        <f>in!AI17</f>
        <v>0</v>
      </c>
      <c r="Z17" s="1">
        <f>in!AJ17</f>
        <v>0</v>
      </c>
      <c r="AA17" s="1">
        <f>in!AK17</f>
        <v>0</v>
      </c>
      <c r="AB17" s="3">
        <f t="shared" si="6"/>
        <v>6</v>
      </c>
      <c r="AC17" s="3">
        <f t="shared" si="7"/>
        <v>24</v>
      </c>
      <c r="AD17" s="1">
        <f>in!AL17</f>
        <v>1</v>
      </c>
      <c r="AE17" s="1">
        <f>in!AM17</f>
        <v>0</v>
      </c>
      <c r="AF17" s="1">
        <f>in!AN17</f>
        <v>0</v>
      </c>
      <c r="AG17" s="1">
        <f>in!AO17</f>
        <v>1</v>
      </c>
      <c r="AH17" s="1">
        <f>in!AP17</f>
        <v>0</v>
      </c>
      <c r="AI17" s="1">
        <f>in!AQ17</f>
        <v>1</v>
      </c>
      <c r="AJ17" s="1">
        <f>in!AR17</f>
        <v>1</v>
      </c>
      <c r="AK17" s="1">
        <f>in!AS17</f>
        <v>0</v>
      </c>
      <c r="AL17" s="1">
        <f>in!AT17</f>
        <v>0</v>
      </c>
      <c r="AM17" s="1">
        <f>in!AU17</f>
        <v>1</v>
      </c>
      <c r="AN17" s="1">
        <f>in!AV17</f>
        <v>1</v>
      </c>
      <c r="AO17" s="1">
        <f>in!AW17</f>
        <v>1</v>
      </c>
      <c r="AP17" s="1">
        <f>in!AX17</f>
        <v>0</v>
      </c>
      <c r="AQ17" s="1">
        <f>in!AY17</f>
        <v>1</v>
      </c>
      <c r="AR17" s="1">
        <f>in!AZ17</f>
        <v>0</v>
      </c>
      <c r="AS17" s="1">
        <f>in!BA17</f>
        <v>0</v>
      </c>
      <c r="AT17" s="1">
        <f>in!BB17</f>
        <v>1</v>
      </c>
      <c r="AU17" s="1">
        <f>in!BC17</f>
        <v>1</v>
      </c>
      <c r="AV17" s="1">
        <f>in!BD17</f>
        <v>0</v>
      </c>
      <c r="AW17" s="1">
        <f>in!BE17</f>
        <v>0</v>
      </c>
      <c r="AX17" s="1">
        <f>in!BF17</f>
        <v>0</v>
      </c>
      <c r="AY17" s="1">
        <f>in!BG17</f>
        <v>0</v>
      </c>
      <c r="AZ17" s="1">
        <f>in!BH17</f>
        <v>1</v>
      </c>
      <c r="BA17" s="1">
        <f>in!BI17</f>
        <v>1</v>
      </c>
      <c r="BB17" s="1">
        <f>in!BJ17</f>
        <v>0</v>
      </c>
      <c r="BC17" s="1">
        <f>in!BK17</f>
        <v>0</v>
      </c>
      <c r="BD17" s="1">
        <f>in!BL17</f>
        <v>1</v>
      </c>
      <c r="BE17" s="1">
        <f>in!BM17</f>
        <v>1</v>
      </c>
      <c r="BF17" s="1">
        <f>in!BN17</f>
        <v>0</v>
      </c>
      <c r="BG17" s="1">
        <f>in!BO17</f>
        <v>1</v>
      </c>
      <c r="BH17" s="1">
        <f>in!BP17</f>
        <v>1</v>
      </c>
      <c r="BI17" s="1">
        <f>in!BQ17</f>
        <v>1</v>
      </c>
      <c r="BJ17" s="1">
        <f>in!BR17</f>
        <v>1</v>
      </c>
      <c r="BK17" s="1">
        <f>in!BS17</f>
        <v>0</v>
      </c>
      <c r="BL17" s="1">
        <f>in!BT17</f>
        <v>0</v>
      </c>
      <c r="BM17" s="1">
        <f>in!BU17</f>
        <v>0</v>
      </c>
      <c r="BN17" s="1">
        <f>in!BV17</f>
        <v>1</v>
      </c>
      <c r="BO17" s="1">
        <f>in!BW17</f>
        <v>1</v>
      </c>
      <c r="BP17" s="1">
        <f>in!BX17</f>
        <v>1</v>
      </c>
      <c r="BQ17" s="1">
        <f>in!BY17</f>
        <v>0</v>
      </c>
      <c r="BR17" s="1">
        <f>in!BZ17</f>
        <v>1</v>
      </c>
      <c r="BS17" s="4">
        <f t="shared" si="8"/>
        <v>22</v>
      </c>
      <c r="BT17" s="19">
        <f t="shared" si="9"/>
        <v>53.658536585365852</v>
      </c>
      <c r="BU17" s="1">
        <f>in!CA17</f>
        <v>0</v>
      </c>
      <c r="BV17" s="1">
        <f>in!CB17</f>
        <v>1</v>
      </c>
      <c r="BW17" s="1">
        <f>in!CC17</f>
        <v>1</v>
      </c>
      <c r="BX17" s="1">
        <f>in!CD17</f>
        <v>0</v>
      </c>
      <c r="BY17" s="1">
        <f>in!CE17</f>
        <v>1</v>
      </c>
      <c r="BZ17" s="1">
        <f>in!CF17</f>
        <v>0</v>
      </c>
      <c r="CA17" s="1">
        <f>in!CG17</f>
        <v>0</v>
      </c>
      <c r="CB17" s="1">
        <f>in!CH17</f>
        <v>1</v>
      </c>
      <c r="CC17" s="1">
        <f>in!CI17</f>
        <v>1</v>
      </c>
      <c r="CD17" s="1">
        <f>in!CJ17</f>
        <v>0</v>
      </c>
      <c r="CE17" s="1">
        <f>in!CK17</f>
        <v>1</v>
      </c>
      <c r="CF17" s="1">
        <f>in!CL17</f>
        <v>1</v>
      </c>
      <c r="CG17" s="1">
        <f>in!CM17</f>
        <v>0</v>
      </c>
      <c r="CH17" s="1">
        <f>in!CN17</f>
        <v>1</v>
      </c>
      <c r="CI17" s="1">
        <f>in!CO17</f>
        <v>1</v>
      </c>
      <c r="CJ17" s="1">
        <f>in!CP17</f>
        <v>0</v>
      </c>
      <c r="CK17" s="1">
        <f>in!CQ17</f>
        <v>1</v>
      </c>
      <c r="CL17" s="1">
        <f>in!CR17</f>
        <v>0</v>
      </c>
      <c r="CM17" s="1">
        <f>in!CS17</f>
        <v>1</v>
      </c>
      <c r="CN17" s="1">
        <f>in!CT17</f>
        <v>1</v>
      </c>
      <c r="CO17" s="1">
        <f>in!CU17</f>
        <v>0</v>
      </c>
      <c r="CP17" s="1">
        <f>in!CV17</f>
        <v>0</v>
      </c>
      <c r="CQ17" s="1">
        <f>in!CW17</f>
        <v>0</v>
      </c>
      <c r="CR17" s="1">
        <f>in!CX17</f>
        <v>0</v>
      </c>
      <c r="CS17" s="1">
        <f>in!CY17</f>
        <v>0</v>
      </c>
      <c r="CT17" s="5">
        <f t="shared" si="10"/>
        <v>12</v>
      </c>
      <c r="CU17" s="5">
        <f t="shared" si="11"/>
        <v>48</v>
      </c>
      <c r="CV17" s="1">
        <f>in!CZ17</f>
        <v>1</v>
      </c>
      <c r="CW17" s="1">
        <f>in!DA17</f>
        <v>0</v>
      </c>
      <c r="CX17" s="1">
        <f>in!DB17</f>
        <v>0</v>
      </c>
      <c r="CY17" s="1">
        <f>in!DC17</f>
        <v>0</v>
      </c>
      <c r="CZ17" s="1">
        <f>in!DD17</f>
        <v>1</v>
      </c>
      <c r="DA17" s="1">
        <f>in!DE17</f>
        <v>0</v>
      </c>
      <c r="DB17" s="1">
        <f>in!DF17</f>
        <v>1</v>
      </c>
      <c r="DC17" s="1">
        <f>in!DG17</f>
        <v>1</v>
      </c>
      <c r="DD17" s="1">
        <f>in!DH17</f>
        <v>1</v>
      </c>
      <c r="DE17" s="1">
        <f>in!DI17</f>
        <v>1</v>
      </c>
      <c r="DF17" s="1">
        <f>in!DJ17</f>
        <v>0</v>
      </c>
      <c r="DG17" s="1">
        <f>in!DK17</f>
        <v>1</v>
      </c>
      <c r="DH17" s="14">
        <f t="shared" si="12"/>
        <v>7</v>
      </c>
      <c r="DI17" s="14">
        <f t="shared" si="13"/>
        <v>58.333333333333336</v>
      </c>
      <c r="DJ17" s="1">
        <f>in!DL17</f>
        <v>0</v>
      </c>
      <c r="DK17" s="1">
        <f>in!DM17</f>
        <v>0</v>
      </c>
      <c r="DL17" s="1">
        <f>in!DN17</f>
        <v>1</v>
      </c>
      <c r="DM17" s="1">
        <f>in!DO17</f>
        <v>0</v>
      </c>
      <c r="DN17" s="1">
        <f>in!DP17</f>
        <v>1</v>
      </c>
      <c r="DO17" s="1">
        <f>in!DQ17</f>
        <v>0</v>
      </c>
      <c r="DP17" s="11">
        <f t="shared" si="0"/>
        <v>2</v>
      </c>
      <c r="DQ17" s="16">
        <f t="shared" si="1"/>
        <v>33.333333333333336</v>
      </c>
      <c r="DR17" s="1">
        <f>in!DR17</f>
        <v>1</v>
      </c>
      <c r="DS17" s="1">
        <f>in!DS17</f>
        <v>0</v>
      </c>
      <c r="DT17" s="1">
        <f>in!DT17</f>
        <v>0</v>
      </c>
      <c r="DU17" s="1">
        <f>in!DU17</f>
        <v>0</v>
      </c>
      <c r="DV17" s="1">
        <f>in!DV17</f>
        <v>1</v>
      </c>
      <c r="DW17" s="1">
        <f>in!DW17</f>
        <v>0</v>
      </c>
      <c r="DX17" s="1">
        <f>in!DX17</f>
        <v>1</v>
      </c>
      <c r="DY17" s="1">
        <f>in!DY17</f>
        <v>0</v>
      </c>
      <c r="DZ17" s="15">
        <f t="shared" si="2"/>
        <v>3</v>
      </c>
      <c r="EA17" s="15">
        <f t="shared" si="3"/>
        <v>37.5</v>
      </c>
      <c r="EB17" s="1">
        <f>in!DZ17</f>
        <v>1</v>
      </c>
      <c r="EC17" s="1">
        <f>in!EA17</f>
        <v>1</v>
      </c>
      <c r="ED17" s="1">
        <f>in!EB17</f>
        <v>1</v>
      </c>
      <c r="EE17" s="20">
        <f t="shared" si="4"/>
        <v>3</v>
      </c>
      <c r="EF17" s="20">
        <f t="shared" si="5"/>
        <v>100</v>
      </c>
    </row>
    <row r="18" spans="1:136" x14ac:dyDescent="0.35">
      <c r="A18" s="43" t="str">
        <f>in!D18</f>
        <v xml:space="preserve">LOZANO BENITEZ HECTOR DAVID  </v>
      </c>
      <c r="B18" s="43">
        <f>in!E18</f>
        <v>5806</v>
      </c>
      <c r="C18" s="1">
        <f>in!M18</f>
        <v>1</v>
      </c>
      <c r="D18" s="1">
        <f>in!N18</f>
        <v>0</v>
      </c>
      <c r="E18" s="1">
        <f>in!O18</f>
        <v>0</v>
      </c>
      <c r="F18" s="1">
        <f>in!P18</f>
        <v>0</v>
      </c>
      <c r="G18" s="1">
        <f>in!Q18</f>
        <v>0</v>
      </c>
      <c r="H18" s="1">
        <f>in!R18</f>
        <v>0</v>
      </c>
      <c r="I18" s="1">
        <f>in!S18</f>
        <v>0</v>
      </c>
      <c r="J18" s="1">
        <f>in!T18</f>
        <v>1</v>
      </c>
      <c r="K18" s="1">
        <f>in!U18</f>
        <v>1</v>
      </c>
      <c r="L18" s="1">
        <f>in!V18</f>
        <v>1</v>
      </c>
      <c r="M18" s="1">
        <f>in!W18</f>
        <v>1</v>
      </c>
      <c r="N18" s="1">
        <f>in!X18</f>
        <v>0</v>
      </c>
      <c r="O18" s="1">
        <f>in!Y18</f>
        <v>0</v>
      </c>
      <c r="P18" s="1">
        <f>in!Z18</f>
        <v>0</v>
      </c>
      <c r="Q18" s="1">
        <f>in!AA18</f>
        <v>0</v>
      </c>
      <c r="R18" s="1">
        <f>in!AB18</f>
        <v>1</v>
      </c>
      <c r="S18" s="1">
        <f>in!AC18</f>
        <v>1</v>
      </c>
      <c r="T18" s="1">
        <f>in!AD18</f>
        <v>0</v>
      </c>
      <c r="U18" s="1">
        <f>in!AE18</f>
        <v>0</v>
      </c>
      <c r="V18" s="1">
        <f>in!AF18</f>
        <v>1</v>
      </c>
      <c r="W18" s="1">
        <f>in!AG18</f>
        <v>0</v>
      </c>
      <c r="X18" s="1">
        <f>in!AH18</f>
        <v>1</v>
      </c>
      <c r="Y18" s="1">
        <f>in!AI18</f>
        <v>0</v>
      </c>
      <c r="Z18" s="1">
        <f>in!AJ18</f>
        <v>1</v>
      </c>
      <c r="AA18" s="1">
        <f>in!AK18</f>
        <v>1</v>
      </c>
      <c r="AB18" s="3">
        <f t="shared" si="6"/>
        <v>11</v>
      </c>
      <c r="AC18" s="3">
        <f t="shared" si="7"/>
        <v>44</v>
      </c>
      <c r="AD18" s="1">
        <f>in!AL18</f>
        <v>0</v>
      </c>
      <c r="AE18" s="1">
        <f>in!AM18</f>
        <v>0</v>
      </c>
      <c r="AF18" s="1">
        <f>in!AN18</f>
        <v>1</v>
      </c>
      <c r="AG18" s="1">
        <f>in!AO18</f>
        <v>1</v>
      </c>
      <c r="AH18" s="1">
        <f>in!AP18</f>
        <v>0</v>
      </c>
      <c r="AI18" s="1">
        <f>in!AQ18</f>
        <v>1</v>
      </c>
      <c r="AJ18" s="1">
        <f>in!AR18</f>
        <v>1</v>
      </c>
      <c r="AK18" s="1">
        <f>in!AS18</f>
        <v>1</v>
      </c>
      <c r="AL18" s="1">
        <f>in!AT18</f>
        <v>0</v>
      </c>
      <c r="AM18" s="1">
        <f>in!AU18</f>
        <v>1</v>
      </c>
      <c r="AN18" s="1">
        <f>in!AV18</f>
        <v>1</v>
      </c>
      <c r="AO18" s="1">
        <f>in!AW18</f>
        <v>0</v>
      </c>
      <c r="AP18" s="1">
        <f>in!AX18</f>
        <v>0</v>
      </c>
      <c r="AQ18" s="1">
        <f>in!AY18</f>
        <v>0</v>
      </c>
      <c r="AR18" s="1">
        <f>in!AZ18</f>
        <v>1</v>
      </c>
      <c r="AS18" s="1">
        <f>in!BA18</f>
        <v>1</v>
      </c>
      <c r="AT18" s="1">
        <f>in!BB18</f>
        <v>0</v>
      </c>
      <c r="AU18" s="1">
        <f>in!BC18</f>
        <v>0</v>
      </c>
      <c r="AV18" s="1">
        <f>in!BD18</f>
        <v>1</v>
      </c>
      <c r="AW18" s="1">
        <f>in!BE18</f>
        <v>1</v>
      </c>
      <c r="AX18" s="1">
        <f>in!BF18</f>
        <v>0</v>
      </c>
      <c r="AY18" s="1">
        <f>in!BG18</f>
        <v>0</v>
      </c>
      <c r="AZ18" s="1">
        <f>in!BH18</f>
        <v>1</v>
      </c>
      <c r="BA18" s="1">
        <f>in!BI18</f>
        <v>1</v>
      </c>
      <c r="BB18" s="1">
        <f>in!BJ18</f>
        <v>0</v>
      </c>
      <c r="BC18" s="1">
        <f>in!BK18</f>
        <v>1</v>
      </c>
      <c r="BD18" s="1">
        <f>in!BL18</f>
        <v>0</v>
      </c>
      <c r="BE18" s="1">
        <f>in!BM18</f>
        <v>0</v>
      </c>
      <c r="BF18" s="1">
        <f>in!BN18</f>
        <v>1</v>
      </c>
      <c r="BG18" s="1">
        <f>in!BO18</f>
        <v>0</v>
      </c>
      <c r="BH18" s="1">
        <f>in!BP18</f>
        <v>0</v>
      </c>
      <c r="BI18" s="1">
        <f>in!BQ18</f>
        <v>0</v>
      </c>
      <c r="BJ18" s="1">
        <f>in!BR18</f>
        <v>1</v>
      </c>
      <c r="BK18" s="1">
        <f>in!BS18</f>
        <v>0</v>
      </c>
      <c r="BL18" s="1">
        <f>in!BT18</f>
        <v>0</v>
      </c>
      <c r="BM18" s="1">
        <f>in!BU18</f>
        <v>0</v>
      </c>
      <c r="BN18" s="1">
        <f>in!BV18</f>
        <v>0</v>
      </c>
      <c r="BO18" s="1">
        <f>in!BW18</f>
        <v>0</v>
      </c>
      <c r="BP18" s="1">
        <f>in!BX18</f>
        <v>0</v>
      </c>
      <c r="BQ18" s="1">
        <f>in!BY18</f>
        <v>0</v>
      </c>
      <c r="BR18" s="1">
        <f>in!BZ18</f>
        <v>0</v>
      </c>
      <c r="BS18" s="4">
        <f t="shared" si="8"/>
        <v>16</v>
      </c>
      <c r="BT18" s="19">
        <f t="shared" si="9"/>
        <v>39.024390243902438</v>
      </c>
      <c r="BU18" s="1">
        <f>in!CA18</f>
        <v>0</v>
      </c>
      <c r="BV18" s="1">
        <f>in!CB18</f>
        <v>1</v>
      </c>
      <c r="BW18" s="1">
        <f>in!CC18</f>
        <v>0</v>
      </c>
      <c r="BX18" s="1">
        <f>in!CD18</f>
        <v>0</v>
      </c>
      <c r="BY18" s="1">
        <f>in!CE18</f>
        <v>1</v>
      </c>
      <c r="BZ18" s="1">
        <f>in!CF18</f>
        <v>1</v>
      </c>
      <c r="CA18" s="1">
        <f>in!CG18</f>
        <v>0</v>
      </c>
      <c r="CB18" s="1">
        <f>in!CH18</f>
        <v>0</v>
      </c>
      <c r="CC18" s="1">
        <f>in!CI18</f>
        <v>0</v>
      </c>
      <c r="CD18" s="1">
        <f>in!CJ18</f>
        <v>0</v>
      </c>
      <c r="CE18" s="1">
        <f>in!CK18</f>
        <v>0</v>
      </c>
      <c r="CF18" s="1">
        <f>in!CL18</f>
        <v>0</v>
      </c>
      <c r="CG18" s="1">
        <f>in!CM18</f>
        <v>0</v>
      </c>
      <c r="CH18" s="1">
        <f>in!CN18</f>
        <v>0</v>
      </c>
      <c r="CI18" s="1">
        <f>in!CO18</f>
        <v>0</v>
      </c>
      <c r="CJ18" s="1">
        <f>in!CP18</f>
        <v>0</v>
      </c>
      <c r="CK18" s="1">
        <f>in!CQ18</f>
        <v>0</v>
      </c>
      <c r="CL18" s="1">
        <f>in!CR18</f>
        <v>0</v>
      </c>
      <c r="CM18" s="1">
        <f>in!CS18</f>
        <v>0</v>
      </c>
      <c r="CN18" s="1">
        <f>in!CT18</f>
        <v>1</v>
      </c>
      <c r="CO18" s="1">
        <f>in!CU18</f>
        <v>0</v>
      </c>
      <c r="CP18" s="1">
        <f>in!CV18</f>
        <v>0</v>
      </c>
      <c r="CQ18" s="1">
        <f>in!CW18</f>
        <v>0</v>
      </c>
      <c r="CR18" s="1">
        <f>in!CX18</f>
        <v>0</v>
      </c>
      <c r="CS18" s="1">
        <f>in!CY18</f>
        <v>1</v>
      </c>
      <c r="CT18" s="5">
        <f t="shared" si="10"/>
        <v>5</v>
      </c>
      <c r="CU18" s="5">
        <f t="shared" si="11"/>
        <v>20</v>
      </c>
      <c r="CV18" s="1">
        <f>in!CZ18</f>
        <v>1</v>
      </c>
      <c r="CW18" s="1">
        <f>in!DA18</f>
        <v>0</v>
      </c>
      <c r="CX18" s="1">
        <f>in!DB18</f>
        <v>1</v>
      </c>
      <c r="CY18" s="1">
        <f>in!DC18</f>
        <v>0</v>
      </c>
      <c r="CZ18" s="1">
        <f>in!DD18</f>
        <v>0</v>
      </c>
      <c r="DA18" s="1">
        <f>in!DE18</f>
        <v>0</v>
      </c>
      <c r="DB18" s="1">
        <f>in!DF18</f>
        <v>1</v>
      </c>
      <c r="DC18" s="1">
        <f>in!DG18</f>
        <v>0</v>
      </c>
      <c r="DD18" s="1">
        <f>in!DH18</f>
        <v>1</v>
      </c>
      <c r="DE18" s="1">
        <f>in!DI18</f>
        <v>0</v>
      </c>
      <c r="DF18" s="1">
        <f>in!DJ18</f>
        <v>0</v>
      </c>
      <c r="DG18" s="1">
        <f>in!DK18</f>
        <v>0</v>
      </c>
      <c r="DH18" s="14">
        <f t="shared" si="12"/>
        <v>4</v>
      </c>
      <c r="DI18" s="14">
        <f t="shared" si="13"/>
        <v>33.333333333333336</v>
      </c>
      <c r="DJ18" s="1">
        <f>in!DL18</f>
        <v>0</v>
      </c>
      <c r="DK18" s="1">
        <f>in!DM18</f>
        <v>1</v>
      </c>
      <c r="DL18" s="1">
        <f>in!DN18</f>
        <v>0</v>
      </c>
      <c r="DM18" s="1">
        <f>in!DO18</f>
        <v>1</v>
      </c>
      <c r="DN18" s="1">
        <f>in!DP18</f>
        <v>1</v>
      </c>
      <c r="DO18" s="1">
        <f>in!DQ18</f>
        <v>0</v>
      </c>
      <c r="DP18" s="11">
        <f t="shared" si="0"/>
        <v>3</v>
      </c>
      <c r="DQ18" s="16">
        <f t="shared" si="1"/>
        <v>50</v>
      </c>
      <c r="DR18" s="1">
        <f>in!DR18</f>
        <v>0</v>
      </c>
      <c r="DS18" s="1">
        <f>in!DS18</f>
        <v>0</v>
      </c>
      <c r="DT18" s="1">
        <f>in!DT18</f>
        <v>0</v>
      </c>
      <c r="DU18" s="1">
        <f>in!DU18</f>
        <v>0</v>
      </c>
      <c r="DV18" s="1">
        <f>in!DV18</f>
        <v>1</v>
      </c>
      <c r="DW18" s="1">
        <f>in!DW18</f>
        <v>0</v>
      </c>
      <c r="DX18" s="1">
        <f>in!DX18</f>
        <v>0</v>
      </c>
      <c r="DY18" s="1">
        <f>in!DY18</f>
        <v>0</v>
      </c>
      <c r="DZ18" s="15">
        <f t="shared" si="2"/>
        <v>1</v>
      </c>
      <c r="EA18" s="15">
        <f t="shared" si="3"/>
        <v>12.5</v>
      </c>
      <c r="EB18" s="1">
        <f>in!DZ18</f>
        <v>0</v>
      </c>
      <c r="EC18" s="1">
        <f>in!EA18</f>
        <v>1</v>
      </c>
      <c r="ED18" s="1">
        <f>in!EB18</f>
        <v>1</v>
      </c>
      <c r="EE18" s="20">
        <f t="shared" si="4"/>
        <v>2</v>
      </c>
      <c r="EF18" s="20">
        <f t="shared" si="5"/>
        <v>66.666666666666671</v>
      </c>
    </row>
    <row r="19" spans="1:136" x14ac:dyDescent="0.35">
      <c r="A19" s="43" t="str">
        <f>in!D19</f>
        <v xml:space="preserve">MACHADO CARVAJAL YANDRI VANESSA  </v>
      </c>
      <c r="B19" s="43">
        <f>in!E19</f>
        <v>5807</v>
      </c>
      <c r="C19" s="1">
        <f>in!M19</f>
        <v>1</v>
      </c>
      <c r="D19" s="1">
        <f>in!N19</f>
        <v>1</v>
      </c>
      <c r="E19" s="1">
        <f>in!O19</f>
        <v>0</v>
      </c>
      <c r="F19" s="1">
        <f>in!P19</f>
        <v>0</v>
      </c>
      <c r="G19" s="1">
        <f>in!Q19</f>
        <v>0</v>
      </c>
      <c r="H19" s="1">
        <f>in!R19</f>
        <v>1</v>
      </c>
      <c r="I19" s="1">
        <f>in!S19</f>
        <v>0</v>
      </c>
      <c r="J19" s="1">
        <f>in!T19</f>
        <v>1</v>
      </c>
      <c r="K19" s="1">
        <f>in!U19</f>
        <v>1</v>
      </c>
      <c r="L19" s="1">
        <f>in!V19</f>
        <v>1</v>
      </c>
      <c r="M19" s="1">
        <f>in!W19</f>
        <v>0</v>
      </c>
      <c r="N19" s="1">
        <f>in!X19</f>
        <v>0</v>
      </c>
      <c r="O19" s="1">
        <f>in!Y19</f>
        <v>0</v>
      </c>
      <c r="P19" s="1">
        <f>in!Z19</f>
        <v>0</v>
      </c>
      <c r="Q19" s="1">
        <f>in!AA19</f>
        <v>1</v>
      </c>
      <c r="R19" s="1">
        <f>in!AB19</f>
        <v>0</v>
      </c>
      <c r="S19" s="1">
        <f>in!AC19</f>
        <v>0</v>
      </c>
      <c r="T19" s="1">
        <f>in!AD19</f>
        <v>0</v>
      </c>
      <c r="U19" s="1">
        <f>in!AE19</f>
        <v>1</v>
      </c>
      <c r="V19" s="1">
        <f>in!AF19</f>
        <v>0</v>
      </c>
      <c r="W19" s="1">
        <f>in!AG19</f>
        <v>1</v>
      </c>
      <c r="X19" s="1">
        <f>in!AH19</f>
        <v>0</v>
      </c>
      <c r="Y19" s="1">
        <f>in!AI19</f>
        <v>1</v>
      </c>
      <c r="Z19" s="1">
        <f>in!AJ19</f>
        <v>1</v>
      </c>
      <c r="AA19" s="1">
        <f>in!AK19</f>
        <v>0</v>
      </c>
      <c r="AB19" s="3">
        <f t="shared" si="6"/>
        <v>11</v>
      </c>
      <c r="AC19" s="3">
        <f t="shared" si="7"/>
        <v>44</v>
      </c>
      <c r="AD19" s="1">
        <f>in!AL19</f>
        <v>1</v>
      </c>
      <c r="AE19" s="1">
        <f>in!AM19</f>
        <v>1</v>
      </c>
      <c r="AF19" s="1">
        <f>in!AN19</f>
        <v>0</v>
      </c>
      <c r="AG19" s="1">
        <f>in!AO19</f>
        <v>0</v>
      </c>
      <c r="AH19" s="1">
        <f>in!AP19</f>
        <v>0</v>
      </c>
      <c r="AI19" s="1">
        <f>in!AQ19</f>
        <v>1</v>
      </c>
      <c r="AJ19" s="1">
        <f>in!AR19</f>
        <v>0</v>
      </c>
      <c r="AK19" s="1">
        <f>in!AS19</f>
        <v>1</v>
      </c>
      <c r="AL19" s="1">
        <f>in!AT19</f>
        <v>0</v>
      </c>
      <c r="AM19" s="1">
        <f>in!AU19</f>
        <v>0</v>
      </c>
      <c r="AN19" s="1">
        <f>in!AV19</f>
        <v>0</v>
      </c>
      <c r="AO19" s="1">
        <f>in!AW19</f>
        <v>0</v>
      </c>
      <c r="AP19" s="1">
        <f>in!AX19</f>
        <v>0</v>
      </c>
      <c r="AQ19" s="1">
        <f>in!AY19</f>
        <v>0</v>
      </c>
      <c r="AR19" s="1">
        <f>in!AZ19</f>
        <v>0</v>
      </c>
      <c r="AS19" s="1">
        <f>in!BA19</f>
        <v>0</v>
      </c>
      <c r="AT19" s="1">
        <f>in!BB19</f>
        <v>0</v>
      </c>
      <c r="AU19" s="1">
        <f>in!BC19</f>
        <v>0</v>
      </c>
      <c r="AV19" s="1">
        <f>in!BD19</f>
        <v>1</v>
      </c>
      <c r="AW19" s="1">
        <f>in!BE19</f>
        <v>0</v>
      </c>
      <c r="AX19" s="1">
        <f>in!BF19</f>
        <v>0</v>
      </c>
      <c r="AY19" s="1">
        <f>in!BG19</f>
        <v>0</v>
      </c>
      <c r="AZ19" s="1">
        <f>in!BH19</f>
        <v>1</v>
      </c>
      <c r="BA19" s="1">
        <f>in!BI19</f>
        <v>1</v>
      </c>
      <c r="BB19" s="1">
        <f>in!BJ19</f>
        <v>1</v>
      </c>
      <c r="BC19" s="1">
        <f>in!BK19</f>
        <v>0</v>
      </c>
      <c r="BD19" s="1">
        <f>in!BL19</f>
        <v>1</v>
      </c>
      <c r="BE19" s="1">
        <f>in!BM19</f>
        <v>1</v>
      </c>
      <c r="BF19" s="1">
        <f>in!BN19</f>
        <v>1</v>
      </c>
      <c r="BG19" s="1">
        <f>in!BO19</f>
        <v>0</v>
      </c>
      <c r="BH19" s="1">
        <f>in!BP19</f>
        <v>0</v>
      </c>
      <c r="BI19" s="1">
        <f>in!BQ19</f>
        <v>1</v>
      </c>
      <c r="BJ19" s="1">
        <f>in!BR19</f>
        <v>0</v>
      </c>
      <c r="BK19" s="1">
        <f>in!BS19</f>
        <v>1</v>
      </c>
      <c r="BL19" s="1">
        <f>in!BT19</f>
        <v>0</v>
      </c>
      <c r="BM19" s="1">
        <f>in!BU19</f>
        <v>0</v>
      </c>
      <c r="BN19" s="1">
        <f>in!BV19</f>
        <v>0</v>
      </c>
      <c r="BO19" s="1">
        <f>in!BW19</f>
        <v>1</v>
      </c>
      <c r="BP19" s="1">
        <f>in!BX19</f>
        <v>0</v>
      </c>
      <c r="BQ19" s="1">
        <f>in!BY19</f>
        <v>1</v>
      </c>
      <c r="BR19" s="1">
        <f>in!BZ19</f>
        <v>1</v>
      </c>
      <c r="BS19" s="4">
        <f t="shared" si="8"/>
        <v>16</v>
      </c>
      <c r="BT19" s="19">
        <f t="shared" si="9"/>
        <v>39.024390243902438</v>
      </c>
      <c r="BU19" s="1">
        <f>in!CA19</f>
        <v>1</v>
      </c>
      <c r="BV19" s="1">
        <f>in!CB19</f>
        <v>0</v>
      </c>
      <c r="BW19" s="1">
        <f>in!CC19</f>
        <v>0</v>
      </c>
      <c r="BX19" s="1">
        <f>in!CD19</f>
        <v>1</v>
      </c>
      <c r="BY19" s="1">
        <f>in!CE19</f>
        <v>0</v>
      </c>
      <c r="BZ19" s="1">
        <f>in!CF19</f>
        <v>1</v>
      </c>
      <c r="CA19" s="1">
        <f>in!CG19</f>
        <v>0</v>
      </c>
      <c r="CB19" s="1">
        <f>in!CH19</f>
        <v>0</v>
      </c>
      <c r="CC19" s="1">
        <f>in!CI19</f>
        <v>1</v>
      </c>
      <c r="CD19" s="1">
        <f>in!CJ19</f>
        <v>0</v>
      </c>
      <c r="CE19" s="1">
        <f>in!CK19</f>
        <v>1</v>
      </c>
      <c r="CF19" s="1">
        <f>in!CL19</f>
        <v>0</v>
      </c>
      <c r="CG19" s="1">
        <f>in!CM19</f>
        <v>0</v>
      </c>
      <c r="CH19" s="1">
        <f>in!CN19</f>
        <v>0</v>
      </c>
      <c r="CI19" s="1">
        <f>in!CO19</f>
        <v>0</v>
      </c>
      <c r="CJ19" s="1">
        <f>in!CP19</f>
        <v>0</v>
      </c>
      <c r="CK19" s="1">
        <f>in!CQ19</f>
        <v>1</v>
      </c>
      <c r="CL19" s="1">
        <f>in!CR19</f>
        <v>1</v>
      </c>
      <c r="CM19" s="1">
        <f>in!CS19</f>
        <v>0</v>
      </c>
      <c r="CN19" s="1">
        <f>in!CT19</f>
        <v>0</v>
      </c>
      <c r="CO19" s="1">
        <f>in!CU19</f>
        <v>0</v>
      </c>
      <c r="CP19" s="1">
        <f>in!CV19</f>
        <v>0</v>
      </c>
      <c r="CQ19" s="1">
        <f>in!CW19</f>
        <v>0</v>
      </c>
      <c r="CR19" s="1">
        <f>in!CX19</f>
        <v>0</v>
      </c>
      <c r="CS19" s="1">
        <f>in!CY19</f>
        <v>0</v>
      </c>
      <c r="CT19" s="5">
        <f t="shared" si="10"/>
        <v>7</v>
      </c>
      <c r="CU19" s="5">
        <f t="shared" si="11"/>
        <v>28</v>
      </c>
      <c r="CV19" s="1">
        <f>in!CZ19</f>
        <v>1</v>
      </c>
      <c r="CW19" s="1">
        <f>in!DA19</f>
        <v>0</v>
      </c>
      <c r="CX19" s="1">
        <f>in!DB19</f>
        <v>1</v>
      </c>
      <c r="CY19" s="1">
        <f>in!DC19</f>
        <v>0</v>
      </c>
      <c r="CZ19" s="1">
        <f>in!DD19</f>
        <v>0</v>
      </c>
      <c r="DA19" s="1">
        <f>in!DE19</f>
        <v>0</v>
      </c>
      <c r="DB19" s="1">
        <f>in!DF19</f>
        <v>0</v>
      </c>
      <c r="DC19" s="1">
        <f>in!DG19</f>
        <v>0</v>
      </c>
      <c r="DD19" s="1">
        <f>in!DH19</f>
        <v>0</v>
      </c>
      <c r="DE19" s="1">
        <f>in!DI19</f>
        <v>0</v>
      </c>
      <c r="DF19" s="1">
        <f>in!DJ19</f>
        <v>0</v>
      </c>
      <c r="DG19" s="1">
        <f>in!DK19</f>
        <v>0</v>
      </c>
      <c r="DH19" s="14">
        <f t="shared" si="12"/>
        <v>2</v>
      </c>
      <c r="DI19" s="14">
        <f t="shared" si="13"/>
        <v>16.666666666666668</v>
      </c>
      <c r="DJ19" s="1">
        <f>in!DL19</f>
        <v>1</v>
      </c>
      <c r="DK19" s="1">
        <f>in!DM19</f>
        <v>0</v>
      </c>
      <c r="DL19" s="1">
        <f>in!DN19</f>
        <v>0</v>
      </c>
      <c r="DM19" s="1">
        <f>in!DO19</f>
        <v>0</v>
      </c>
      <c r="DN19" s="1">
        <f>in!DP19</f>
        <v>1</v>
      </c>
      <c r="DO19" s="1">
        <f>in!DQ19</f>
        <v>0</v>
      </c>
      <c r="DP19" s="11">
        <f t="shared" si="0"/>
        <v>2</v>
      </c>
      <c r="DQ19" s="16">
        <f t="shared" si="1"/>
        <v>33.333333333333336</v>
      </c>
      <c r="DR19" s="1">
        <f>in!DR19</f>
        <v>0</v>
      </c>
      <c r="DS19" s="1">
        <f>in!DS19</f>
        <v>0</v>
      </c>
      <c r="DT19" s="1">
        <f>in!DT19</f>
        <v>0</v>
      </c>
      <c r="DU19" s="1">
        <f>in!DU19</f>
        <v>1</v>
      </c>
      <c r="DV19" s="1">
        <f>in!DV19</f>
        <v>0</v>
      </c>
      <c r="DW19" s="1">
        <f>in!DW19</f>
        <v>1</v>
      </c>
      <c r="DX19" s="1">
        <f>in!DX19</f>
        <v>0</v>
      </c>
      <c r="DY19" s="1">
        <f>in!DY19</f>
        <v>0</v>
      </c>
      <c r="DZ19" s="15">
        <f t="shared" si="2"/>
        <v>2</v>
      </c>
      <c r="EA19" s="15">
        <f t="shared" si="3"/>
        <v>25</v>
      </c>
      <c r="EB19" s="1">
        <f>in!DZ19</f>
        <v>1</v>
      </c>
      <c r="EC19" s="1">
        <f>in!EA19</f>
        <v>0</v>
      </c>
      <c r="ED19" s="1">
        <f>in!EB19</f>
        <v>1</v>
      </c>
      <c r="EE19" s="20">
        <f t="shared" si="4"/>
        <v>2</v>
      </c>
      <c r="EF19" s="20">
        <f t="shared" si="5"/>
        <v>66.666666666666671</v>
      </c>
    </row>
    <row r="20" spans="1:136" x14ac:dyDescent="0.35">
      <c r="A20" s="43" t="str">
        <f>in!D20</f>
        <v xml:space="preserve">MARTINEZ CAUCIL SARETH MILENA  </v>
      </c>
      <c r="B20" s="43">
        <f>in!E20</f>
        <v>5808</v>
      </c>
      <c r="C20" s="1">
        <f>in!M20</f>
        <v>0</v>
      </c>
      <c r="D20" s="1">
        <f>in!N20</f>
        <v>1</v>
      </c>
      <c r="E20" s="1">
        <f>in!O20</f>
        <v>0</v>
      </c>
      <c r="F20" s="1">
        <f>in!P20</f>
        <v>0</v>
      </c>
      <c r="G20" s="1">
        <f>in!Q20</f>
        <v>0</v>
      </c>
      <c r="H20" s="1">
        <f>in!R20</f>
        <v>0</v>
      </c>
      <c r="I20" s="1">
        <f>in!S20</f>
        <v>0</v>
      </c>
      <c r="J20" s="1">
        <f>in!T20</f>
        <v>1</v>
      </c>
      <c r="K20" s="1">
        <f>in!U20</f>
        <v>0</v>
      </c>
      <c r="L20" s="1">
        <f>in!V20</f>
        <v>1</v>
      </c>
      <c r="M20" s="1">
        <f>in!W20</f>
        <v>1</v>
      </c>
      <c r="N20" s="1">
        <f>in!X20</f>
        <v>0</v>
      </c>
      <c r="O20" s="1">
        <f>in!Y20</f>
        <v>1</v>
      </c>
      <c r="P20" s="1">
        <f>in!Z20</f>
        <v>1</v>
      </c>
      <c r="Q20" s="1">
        <f>in!AA20</f>
        <v>0</v>
      </c>
      <c r="R20" s="1">
        <f>in!AB20</f>
        <v>0</v>
      </c>
      <c r="S20" s="1">
        <f>in!AC20</f>
        <v>0</v>
      </c>
      <c r="T20" s="1">
        <f>in!AD20</f>
        <v>0</v>
      </c>
      <c r="U20" s="1">
        <f>in!AE20</f>
        <v>0</v>
      </c>
      <c r="V20" s="1">
        <f>in!AF20</f>
        <v>1</v>
      </c>
      <c r="W20" s="1">
        <f>in!AG20</f>
        <v>1</v>
      </c>
      <c r="X20" s="1">
        <f>in!AH20</f>
        <v>0</v>
      </c>
      <c r="Y20" s="1">
        <f>in!AI20</f>
        <v>0</v>
      </c>
      <c r="Z20" s="1">
        <f>in!AJ20</f>
        <v>0</v>
      </c>
      <c r="AA20" s="1">
        <f>in!AK20</f>
        <v>0</v>
      </c>
      <c r="AB20" s="3">
        <f t="shared" si="6"/>
        <v>8</v>
      </c>
      <c r="AC20" s="3">
        <f t="shared" si="7"/>
        <v>32</v>
      </c>
      <c r="AD20" s="1">
        <f>in!AL20</f>
        <v>0</v>
      </c>
      <c r="AE20" s="1">
        <f>in!AM20</f>
        <v>1</v>
      </c>
      <c r="AF20" s="1">
        <f>in!AN20</f>
        <v>0</v>
      </c>
      <c r="AG20" s="1">
        <f>in!AO20</f>
        <v>0</v>
      </c>
      <c r="AH20" s="1">
        <f>in!AP20</f>
        <v>1</v>
      </c>
      <c r="AI20" s="1">
        <f>in!AQ20</f>
        <v>0</v>
      </c>
      <c r="AJ20" s="1">
        <f>in!AR20</f>
        <v>0</v>
      </c>
      <c r="AK20" s="1">
        <f>in!AS20</f>
        <v>0</v>
      </c>
      <c r="AL20" s="1">
        <f>in!AT20</f>
        <v>1</v>
      </c>
      <c r="AM20" s="1">
        <f>in!AU20</f>
        <v>1</v>
      </c>
      <c r="AN20" s="1">
        <f>in!AV20</f>
        <v>1</v>
      </c>
      <c r="AO20" s="1">
        <f>in!AW20</f>
        <v>0</v>
      </c>
      <c r="AP20" s="1">
        <f>in!AX20</f>
        <v>0</v>
      </c>
      <c r="AQ20" s="1">
        <f>in!AY20</f>
        <v>1</v>
      </c>
      <c r="AR20" s="1">
        <f>in!AZ20</f>
        <v>0</v>
      </c>
      <c r="AS20" s="1">
        <f>in!BA20</f>
        <v>0</v>
      </c>
      <c r="AT20" s="1">
        <f>in!BB20</f>
        <v>0</v>
      </c>
      <c r="AU20" s="1">
        <f>in!BC20</f>
        <v>0</v>
      </c>
      <c r="AV20" s="1">
        <f>in!BD20</f>
        <v>0</v>
      </c>
      <c r="AW20" s="1">
        <f>in!BE20</f>
        <v>0</v>
      </c>
      <c r="AX20" s="1">
        <f>in!BF20</f>
        <v>0</v>
      </c>
      <c r="AY20" s="1">
        <f>in!BG20</f>
        <v>0</v>
      </c>
      <c r="AZ20" s="1">
        <f>in!BH20</f>
        <v>1</v>
      </c>
      <c r="BA20" s="1">
        <f>in!BI20</f>
        <v>1</v>
      </c>
      <c r="BB20" s="1">
        <f>in!BJ20</f>
        <v>1</v>
      </c>
      <c r="BC20" s="1">
        <f>in!BK20</f>
        <v>0</v>
      </c>
      <c r="BD20" s="1">
        <f>in!BL20</f>
        <v>0</v>
      </c>
      <c r="BE20" s="1">
        <f>in!BM20</f>
        <v>0</v>
      </c>
      <c r="BF20" s="1">
        <f>in!BN20</f>
        <v>0</v>
      </c>
      <c r="BG20" s="1">
        <f>in!BO20</f>
        <v>0</v>
      </c>
      <c r="BH20" s="1">
        <f>in!BP20</f>
        <v>0</v>
      </c>
      <c r="BI20" s="1">
        <f>in!BQ20</f>
        <v>0</v>
      </c>
      <c r="BJ20" s="1">
        <f>in!BR20</f>
        <v>0</v>
      </c>
      <c r="BK20" s="1">
        <f>in!BS20</f>
        <v>0</v>
      </c>
      <c r="BL20" s="1">
        <f>in!BT20</f>
        <v>0</v>
      </c>
      <c r="BM20" s="1">
        <f>in!BU20</f>
        <v>0</v>
      </c>
      <c r="BN20" s="1">
        <f>in!BV20</f>
        <v>0</v>
      </c>
      <c r="BO20" s="1">
        <f>in!BW20</f>
        <v>0</v>
      </c>
      <c r="BP20" s="1">
        <f>in!BX20</f>
        <v>1</v>
      </c>
      <c r="BQ20" s="1">
        <f>in!BY20</f>
        <v>0</v>
      </c>
      <c r="BR20" s="1">
        <f>in!BZ20</f>
        <v>0</v>
      </c>
      <c r="BS20" s="4">
        <f t="shared" si="8"/>
        <v>10</v>
      </c>
      <c r="BT20" s="19">
        <f t="shared" si="9"/>
        <v>24.390243902439025</v>
      </c>
      <c r="BU20" s="1">
        <f>in!CA20</f>
        <v>0</v>
      </c>
      <c r="BV20" s="1">
        <f>in!CB20</f>
        <v>0</v>
      </c>
      <c r="BW20" s="1">
        <f>in!CC20</f>
        <v>1</v>
      </c>
      <c r="BX20" s="1">
        <f>in!CD20</f>
        <v>0</v>
      </c>
      <c r="BY20" s="1">
        <f>in!CE20</f>
        <v>0</v>
      </c>
      <c r="BZ20" s="1">
        <f>in!CF20</f>
        <v>0</v>
      </c>
      <c r="CA20" s="1">
        <f>in!CG20</f>
        <v>1</v>
      </c>
      <c r="CB20" s="1">
        <f>in!CH20</f>
        <v>1</v>
      </c>
      <c r="CC20" s="1">
        <f>in!CI20</f>
        <v>0</v>
      </c>
      <c r="CD20" s="1">
        <f>in!CJ20</f>
        <v>0</v>
      </c>
      <c r="CE20" s="1">
        <f>in!CK20</f>
        <v>0</v>
      </c>
      <c r="CF20" s="1">
        <f>in!CL20</f>
        <v>0</v>
      </c>
      <c r="CG20" s="1">
        <f>in!CM20</f>
        <v>0</v>
      </c>
      <c r="CH20" s="1">
        <f>in!CN20</f>
        <v>0</v>
      </c>
      <c r="CI20" s="1">
        <f>in!CO20</f>
        <v>0</v>
      </c>
      <c r="CJ20" s="1">
        <f>in!CP20</f>
        <v>0</v>
      </c>
      <c r="CK20" s="1">
        <f>in!CQ20</f>
        <v>0</v>
      </c>
      <c r="CL20" s="1">
        <f>in!CR20</f>
        <v>1</v>
      </c>
      <c r="CM20" s="1">
        <f>in!CS20</f>
        <v>0</v>
      </c>
      <c r="CN20" s="1">
        <f>in!CT20</f>
        <v>0</v>
      </c>
      <c r="CO20" s="1">
        <f>in!CU20</f>
        <v>0</v>
      </c>
      <c r="CP20" s="1">
        <f>in!CV20</f>
        <v>1</v>
      </c>
      <c r="CQ20" s="1">
        <f>in!CW20</f>
        <v>0</v>
      </c>
      <c r="CR20" s="1">
        <f>in!CX20</f>
        <v>0</v>
      </c>
      <c r="CS20" s="1">
        <f>in!CY20</f>
        <v>0</v>
      </c>
      <c r="CT20" s="5">
        <f t="shared" si="10"/>
        <v>5</v>
      </c>
      <c r="CU20" s="5">
        <f t="shared" si="11"/>
        <v>20</v>
      </c>
      <c r="CV20" s="1">
        <f>in!CZ20</f>
        <v>0</v>
      </c>
      <c r="CW20" s="1">
        <f>in!DA20</f>
        <v>0</v>
      </c>
      <c r="CX20" s="1">
        <f>in!DB20</f>
        <v>1</v>
      </c>
      <c r="CY20" s="1">
        <f>in!DC20</f>
        <v>1</v>
      </c>
      <c r="CZ20" s="1">
        <f>in!DD20</f>
        <v>0</v>
      </c>
      <c r="DA20" s="1">
        <f>in!DE20</f>
        <v>0</v>
      </c>
      <c r="DB20" s="1">
        <f>in!DF20</f>
        <v>0</v>
      </c>
      <c r="DC20" s="1">
        <f>in!DG20</f>
        <v>1</v>
      </c>
      <c r="DD20" s="1">
        <f>in!DH20</f>
        <v>1</v>
      </c>
      <c r="DE20" s="1">
        <f>in!DI20</f>
        <v>0</v>
      </c>
      <c r="DF20" s="1">
        <f>in!DJ20</f>
        <v>1</v>
      </c>
      <c r="DG20" s="1">
        <f>in!DK20</f>
        <v>1</v>
      </c>
      <c r="DH20" s="14">
        <f t="shared" si="12"/>
        <v>6</v>
      </c>
      <c r="DI20" s="14">
        <f t="shared" si="13"/>
        <v>50</v>
      </c>
      <c r="DJ20" s="1">
        <f>in!DL20</f>
        <v>0</v>
      </c>
      <c r="DK20" s="1">
        <f>in!DM20</f>
        <v>1</v>
      </c>
      <c r="DL20" s="1">
        <f>in!DN20</f>
        <v>0</v>
      </c>
      <c r="DM20" s="1">
        <f>in!DO20</f>
        <v>1</v>
      </c>
      <c r="DN20" s="1">
        <f>in!DP20</f>
        <v>1</v>
      </c>
      <c r="DO20" s="1">
        <f>in!DQ20</f>
        <v>1</v>
      </c>
      <c r="DP20" s="11">
        <f t="shared" si="0"/>
        <v>4</v>
      </c>
      <c r="DQ20" s="16">
        <f t="shared" si="1"/>
        <v>66.666666666666671</v>
      </c>
      <c r="DR20" s="1">
        <f>in!DR20</f>
        <v>1</v>
      </c>
      <c r="DS20" s="1">
        <f>in!DS20</f>
        <v>0</v>
      </c>
      <c r="DT20" s="1">
        <f>in!DT20</f>
        <v>0</v>
      </c>
      <c r="DU20" s="1">
        <f>in!DU20</f>
        <v>1</v>
      </c>
      <c r="DV20" s="1">
        <f>in!DV20</f>
        <v>1</v>
      </c>
      <c r="DW20" s="1">
        <f>in!DW20</f>
        <v>0</v>
      </c>
      <c r="DX20" s="1">
        <f>in!DX20</f>
        <v>0</v>
      </c>
      <c r="DY20" s="1">
        <f>in!DY20</f>
        <v>0</v>
      </c>
      <c r="DZ20" s="15">
        <f t="shared" si="2"/>
        <v>3</v>
      </c>
      <c r="EA20" s="15">
        <f t="shared" si="3"/>
        <v>37.5</v>
      </c>
      <c r="EB20" s="1">
        <f>in!DZ20</f>
        <v>1</v>
      </c>
      <c r="EC20" s="1">
        <f>in!EA20</f>
        <v>0</v>
      </c>
      <c r="ED20" s="1">
        <f>in!EB20</f>
        <v>0</v>
      </c>
      <c r="EE20" s="20">
        <f t="shared" si="4"/>
        <v>1</v>
      </c>
      <c r="EF20" s="20">
        <f t="shared" si="5"/>
        <v>33.333333333333336</v>
      </c>
    </row>
    <row r="21" spans="1:136" x14ac:dyDescent="0.35">
      <c r="A21" s="43" t="str">
        <f>in!D21</f>
        <v xml:space="preserve">MERCADO RAMOS DANIELA SOFIA  </v>
      </c>
      <c r="B21" s="43">
        <f>in!E21</f>
        <v>5810</v>
      </c>
      <c r="C21" s="1">
        <f>in!M21</f>
        <v>0</v>
      </c>
      <c r="D21" s="1">
        <f>in!N21</f>
        <v>1</v>
      </c>
      <c r="E21" s="1">
        <f>in!O21</f>
        <v>0</v>
      </c>
      <c r="F21" s="1">
        <f>in!P21</f>
        <v>0</v>
      </c>
      <c r="G21" s="1">
        <f>in!Q21</f>
        <v>0</v>
      </c>
      <c r="H21" s="1">
        <f>in!R21</f>
        <v>1</v>
      </c>
      <c r="I21" s="1">
        <f>in!S21</f>
        <v>0</v>
      </c>
      <c r="J21" s="1">
        <f>in!T21</f>
        <v>0</v>
      </c>
      <c r="K21" s="1">
        <f>in!U21</f>
        <v>0</v>
      </c>
      <c r="L21" s="1">
        <f>in!V21</f>
        <v>0</v>
      </c>
      <c r="M21" s="1">
        <f>in!W21</f>
        <v>0</v>
      </c>
      <c r="N21" s="1">
        <f>in!X21</f>
        <v>1</v>
      </c>
      <c r="O21" s="1">
        <f>in!Y21</f>
        <v>1</v>
      </c>
      <c r="P21" s="1">
        <f>in!Z21</f>
        <v>0</v>
      </c>
      <c r="Q21" s="1">
        <f>in!AA21</f>
        <v>1</v>
      </c>
      <c r="R21" s="1">
        <f>in!AB21</f>
        <v>0</v>
      </c>
      <c r="S21" s="1">
        <f>in!AC21</f>
        <v>0</v>
      </c>
      <c r="T21" s="1">
        <f>in!AD21</f>
        <v>0</v>
      </c>
      <c r="U21" s="1">
        <f>in!AE21</f>
        <v>0</v>
      </c>
      <c r="V21" s="1">
        <f>in!AF21</f>
        <v>0</v>
      </c>
      <c r="W21" s="1">
        <f>in!AG21</f>
        <v>0</v>
      </c>
      <c r="X21" s="1">
        <f>in!AH21</f>
        <v>0</v>
      </c>
      <c r="Y21" s="1">
        <f>in!AI21</f>
        <v>0</v>
      </c>
      <c r="Z21" s="1">
        <f>in!AJ21</f>
        <v>0</v>
      </c>
      <c r="AA21" s="1">
        <f>in!AK21</f>
        <v>1</v>
      </c>
      <c r="AB21" s="3">
        <f t="shared" si="6"/>
        <v>6</v>
      </c>
      <c r="AC21" s="3">
        <f t="shared" si="7"/>
        <v>24</v>
      </c>
      <c r="AD21" s="1">
        <f>in!AL21</f>
        <v>1</v>
      </c>
      <c r="AE21" s="1">
        <f>in!AM21</f>
        <v>0</v>
      </c>
      <c r="AF21" s="1">
        <f>in!AN21</f>
        <v>0</v>
      </c>
      <c r="AG21" s="1">
        <f>in!AO21</f>
        <v>1</v>
      </c>
      <c r="AH21" s="1">
        <f>in!AP21</f>
        <v>0</v>
      </c>
      <c r="AI21" s="1">
        <f>in!AQ21</f>
        <v>0</v>
      </c>
      <c r="AJ21" s="1">
        <f>in!AR21</f>
        <v>0</v>
      </c>
      <c r="AK21" s="1">
        <f>in!AS21</f>
        <v>0</v>
      </c>
      <c r="AL21" s="1">
        <f>in!AT21</f>
        <v>0</v>
      </c>
      <c r="AM21" s="1">
        <f>in!AU21</f>
        <v>0</v>
      </c>
      <c r="AN21" s="1">
        <f>in!AV21</f>
        <v>0</v>
      </c>
      <c r="AO21" s="1">
        <f>in!AW21</f>
        <v>0</v>
      </c>
      <c r="AP21" s="1">
        <f>in!AX21</f>
        <v>0</v>
      </c>
      <c r="AQ21" s="1">
        <f>in!AY21</f>
        <v>0</v>
      </c>
      <c r="AR21" s="1">
        <f>in!AZ21</f>
        <v>1</v>
      </c>
      <c r="AS21" s="1">
        <f>in!BA21</f>
        <v>0</v>
      </c>
      <c r="AT21" s="1">
        <f>in!BB21</f>
        <v>0</v>
      </c>
      <c r="AU21" s="1">
        <f>in!BC21</f>
        <v>0</v>
      </c>
      <c r="AV21" s="1">
        <f>in!BD21</f>
        <v>0</v>
      </c>
      <c r="AW21" s="1">
        <f>in!BE21</f>
        <v>0</v>
      </c>
      <c r="AX21" s="1">
        <f>in!BF21</f>
        <v>0</v>
      </c>
      <c r="AY21" s="1">
        <f>in!BG21</f>
        <v>0</v>
      </c>
      <c r="AZ21" s="1">
        <f>in!BH21</f>
        <v>1</v>
      </c>
      <c r="BA21" s="1">
        <f>in!BI21</f>
        <v>0</v>
      </c>
      <c r="BB21" s="1">
        <f>in!BJ21</f>
        <v>0</v>
      </c>
      <c r="BC21" s="1">
        <f>in!BK21</f>
        <v>0</v>
      </c>
      <c r="BD21" s="1">
        <f>in!BL21</f>
        <v>1</v>
      </c>
      <c r="BE21" s="1">
        <f>in!BM21</f>
        <v>0</v>
      </c>
      <c r="BF21" s="1">
        <f>in!BN21</f>
        <v>0</v>
      </c>
      <c r="BG21" s="1">
        <f>in!BO21</f>
        <v>0</v>
      </c>
      <c r="BH21" s="1">
        <f>in!BP21</f>
        <v>1</v>
      </c>
      <c r="BI21" s="1">
        <f>in!BQ21</f>
        <v>0</v>
      </c>
      <c r="BJ21" s="1">
        <f>in!BR21</f>
        <v>0</v>
      </c>
      <c r="BK21" s="1">
        <f>in!BS21</f>
        <v>0</v>
      </c>
      <c r="BL21" s="1">
        <f>in!BT21</f>
        <v>0</v>
      </c>
      <c r="BM21" s="1">
        <f>in!BU21</f>
        <v>0</v>
      </c>
      <c r="BN21" s="1">
        <f>in!BV21</f>
        <v>0</v>
      </c>
      <c r="BO21" s="1">
        <f>in!BW21</f>
        <v>0</v>
      </c>
      <c r="BP21" s="1">
        <f>in!BX21</f>
        <v>0</v>
      </c>
      <c r="BQ21" s="1">
        <f>in!BY21</f>
        <v>0</v>
      </c>
      <c r="BR21" s="1">
        <f>in!BZ21</f>
        <v>1</v>
      </c>
      <c r="BS21" s="4">
        <f t="shared" si="8"/>
        <v>7</v>
      </c>
      <c r="BT21" s="19">
        <f t="shared" si="9"/>
        <v>17.073170731707318</v>
      </c>
      <c r="BU21" s="1">
        <f>in!CA21</f>
        <v>1</v>
      </c>
      <c r="BV21" s="1">
        <f>in!CB21</f>
        <v>0</v>
      </c>
      <c r="BW21" s="1">
        <f>in!CC21</f>
        <v>0</v>
      </c>
      <c r="BX21" s="1">
        <f>in!CD21</f>
        <v>1</v>
      </c>
      <c r="BY21" s="1">
        <f>in!CE21</f>
        <v>0</v>
      </c>
      <c r="BZ21" s="1">
        <f>in!CF21</f>
        <v>0</v>
      </c>
      <c r="CA21" s="1">
        <f>in!CG21</f>
        <v>1</v>
      </c>
      <c r="CB21" s="1">
        <f>in!CH21</f>
        <v>1</v>
      </c>
      <c r="CC21" s="1">
        <f>in!CI21</f>
        <v>0</v>
      </c>
      <c r="CD21" s="1">
        <f>in!CJ21</f>
        <v>0</v>
      </c>
      <c r="CE21" s="1">
        <f>in!CK21</f>
        <v>0</v>
      </c>
      <c r="CF21" s="1">
        <f>in!CL21</f>
        <v>0</v>
      </c>
      <c r="CG21" s="1">
        <f>in!CM21</f>
        <v>0</v>
      </c>
      <c r="CH21" s="1">
        <f>in!CN21</f>
        <v>0</v>
      </c>
      <c r="CI21" s="1">
        <f>in!CO21</f>
        <v>0</v>
      </c>
      <c r="CJ21" s="1">
        <f>in!CP21</f>
        <v>1</v>
      </c>
      <c r="CK21" s="1">
        <f>in!CQ21</f>
        <v>0</v>
      </c>
      <c r="CL21" s="1">
        <f>in!CR21</f>
        <v>0</v>
      </c>
      <c r="CM21" s="1">
        <f>in!CS21</f>
        <v>1</v>
      </c>
      <c r="CN21" s="1">
        <f>in!CT21</f>
        <v>0</v>
      </c>
      <c r="CO21" s="1">
        <f>in!CU21</f>
        <v>1</v>
      </c>
      <c r="CP21" s="1">
        <f>in!CV21</f>
        <v>0</v>
      </c>
      <c r="CQ21" s="1">
        <f>in!CW21</f>
        <v>0</v>
      </c>
      <c r="CR21" s="1">
        <f>in!CX21</f>
        <v>0</v>
      </c>
      <c r="CS21" s="1">
        <f>in!CY21</f>
        <v>0</v>
      </c>
      <c r="CT21" s="5">
        <f t="shared" si="10"/>
        <v>7</v>
      </c>
      <c r="CU21" s="5">
        <f t="shared" si="11"/>
        <v>28</v>
      </c>
      <c r="CV21" s="1">
        <f>in!CZ21</f>
        <v>0</v>
      </c>
      <c r="CW21" s="1">
        <f>in!DA21</f>
        <v>0</v>
      </c>
      <c r="CX21" s="1">
        <f>in!DB21</f>
        <v>0</v>
      </c>
      <c r="CY21" s="1">
        <f>in!DC21</f>
        <v>0</v>
      </c>
      <c r="CZ21" s="1">
        <f>in!DD21</f>
        <v>0</v>
      </c>
      <c r="DA21" s="1">
        <f>in!DE21</f>
        <v>0</v>
      </c>
      <c r="DB21" s="1">
        <f>in!DF21</f>
        <v>0</v>
      </c>
      <c r="DC21" s="1">
        <f>in!DG21</f>
        <v>0</v>
      </c>
      <c r="DD21" s="1">
        <f>in!DH21</f>
        <v>0</v>
      </c>
      <c r="DE21" s="1">
        <f>in!DI21</f>
        <v>0</v>
      </c>
      <c r="DF21" s="1">
        <f>in!DJ21</f>
        <v>1</v>
      </c>
      <c r="DG21" s="1">
        <f>in!DK21</f>
        <v>1</v>
      </c>
      <c r="DH21" s="14">
        <f t="shared" si="12"/>
        <v>2</v>
      </c>
      <c r="DI21" s="14">
        <f t="shared" si="13"/>
        <v>16.666666666666668</v>
      </c>
      <c r="DJ21" s="1">
        <f>in!DL21</f>
        <v>0</v>
      </c>
      <c r="DK21" s="1">
        <f>in!DM21</f>
        <v>0</v>
      </c>
      <c r="DL21" s="1">
        <f>in!DN21</f>
        <v>0</v>
      </c>
      <c r="DM21" s="1">
        <f>in!DO21</f>
        <v>0</v>
      </c>
      <c r="DN21" s="1">
        <f>in!DP21</f>
        <v>1</v>
      </c>
      <c r="DO21" s="1">
        <f>in!DQ21</f>
        <v>1</v>
      </c>
      <c r="DP21" s="11">
        <f t="shared" si="0"/>
        <v>2</v>
      </c>
      <c r="DQ21" s="16">
        <f t="shared" si="1"/>
        <v>33.333333333333336</v>
      </c>
      <c r="DR21" s="1">
        <f>in!DR21</f>
        <v>1</v>
      </c>
      <c r="DS21" s="1">
        <f>in!DS21</f>
        <v>0</v>
      </c>
      <c r="DT21" s="1">
        <f>in!DT21</f>
        <v>0</v>
      </c>
      <c r="DU21" s="1">
        <f>in!DU21</f>
        <v>0</v>
      </c>
      <c r="DV21" s="1">
        <f>in!DV21</f>
        <v>0</v>
      </c>
      <c r="DW21" s="1">
        <f>in!DW21</f>
        <v>0</v>
      </c>
      <c r="DX21" s="1">
        <f>in!DX21</f>
        <v>0</v>
      </c>
      <c r="DY21" s="1">
        <f>in!DY21</f>
        <v>0</v>
      </c>
      <c r="DZ21" s="15">
        <f t="shared" si="2"/>
        <v>1</v>
      </c>
      <c r="EA21" s="15">
        <f t="shared" si="3"/>
        <v>12.5</v>
      </c>
      <c r="EB21" s="1">
        <f>in!DZ21</f>
        <v>0</v>
      </c>
      <c r="EC21" s="1">
        <f>in!EA21</f>
        <v>0</v>
      </c>
      <c r="ED21" s="1">
        <f>in!EB21</f>
        <v>0</v>
      </c>
      <c r="EE21" s="20">
        <f t="shared" si="4"/>
        <v>0</v>
      </c>
      <c r="EF21" s="20">
        <f t="shared" si="5"/>
        <v>0</v>
      </c>
    </row>
    <row r="22" spans="1:136" x14ac:dyDescent="0.35">
      <c r="A22" s="43" t="str">
        <f>in!D22</f>
        <v xml:space="preserve">RAMOS MESTRA FABIAN DE JESUS  </v>
      </c>
      <c r="B22" s="43">
        <f>in!E22</f>
        <v>5811</v>
      </c>
      <c r="C22" s="1">
        <f>in!M22</f>
        <v>1</v>
      </c>
      <c r="D22" s="1">
        <f>in!N22</f>
        <v>1</v>
      </c>
      <c r="E22" s="1">
        <f>in!O22</f>
        <v>0</v>
      </c>
      <c r="F22" s="1">
        <f>in!P22</f>
        <v>1</v>
      </c>
      <c r="G22" s="1">
        <f>in!Q22</f>
        <v>1</v>
      </c>
      <c r="H22" s="1">
        <f>in!R22</f>
        <v>1</v>
      </c>
      <c r="I22" s="1">
        <f>in!S22</f>
        <v>0</v>
      </c>
      <c r="J22" s="1">
        <f>in!T22</f>
        <v>0</v>
      </c>
      <c r="K22" s="1">
        <f>in!U22</f>
        <v>1</v>
      </c>
      <c r="L22" s="1">
        <f>in!V22</f>
        <v>0</v>
      </c>
      <c r="M22" s="1">
        <f>in!W22</f>
        <v>1</v>
      </c>
      <c r="N22" s="1">
        <f>in!X22</f>
        <v>1</v>
      </c>
      <c r="O22" s="1">
        <f>in!Y22</f>
        <v>0</v>
      </c>
      <c r="P22" s="1">
        <f>in!Z22</f>
        <v>0</v>
      </c>
      <c r="Q22" s="1">
        <f>in!AA22</f>
        <v>1</v>
      </c>
      <c r="R22" s="1">
        <f>in!AB22</f>
        <v>0</v>
      </c>
      <c r="S22" s="1">
        <f>in!AC22</f>
        <v>1</v>
      </c>
      <c r="T22" s="1">
        <f>in!AD22</f>
        <v>0</v>
      </c>
      <c r="U22" s="1">
        <f>in!AE22</f>
        <v>1</v>
      </c>
      <c r="V22" s="1">
        <f>in!AF22</f>
        <v>0</v>
      </c>
      <c r="W22" s="1">
        <f>in!AG22</f>
        <v>1</v>
      </c>
      <c r="X22" s="1">
        <f>in!AH22</f>
        <v>0</v>
      </c>
      <c r="Y22" s="1">
        <f>in!AI22</f>
        <v>0</v>
      </c>
      <c r="Z22" s="1">
        <f>in!AJ22</f>
        <v>0</v>
      </c>
      <c r="AA22" s="1">
        <f>in!AK22</f>
        <v>0</v>
      </c>
      <c r="AB22" s="3">
        <f t="shared" si="6"/>
        <v>12</v>
      </c>
      <c r="AC22" s="3">
        <f t="shared" si="7"/>
        <v>48</v>
      </c>
      <c r="AD22" s="1">
        <f>in!AL22</f>
        <v>1</v>
      </c>
      <c r="AE22" s="1">
        <f>in!AM22</f>
        <v>0</v>
      </c>
      <c r="AF22" s="1">
        <f>in!AN22</f>
        <v>0</v>
      </c>
      <c r="AG22" s="1">
        <f>in!AO22</f>
        <v>1</v>
      </c>
      <c r="AH22" s="1">
        <f>in!AP22</f>
        <v>0</v>
      </c>
      <c r="AI22" s="1">
        <f>in!AQ22</f>
        <v>0</v>
      </c>
      <c r="AJ22" s="1">
        <f>in!AR22</f>
        <v>0</v>
      </c>
      <c r="AK22" s="1">
        <f>in!AS22</f>
        <v>0</v>
      </c>
      <c r="AL22" s="1">
        <f>in!AT22</f>
        <v>1</v>
      </c>
      <c r="AM22" s="1">
        <f>in!AU22</f>
        <v>0</v>
      </c>
      <c r="AN22" s="1">
        <f>in!AV22</f>
        <v>0</v>
      </c>
      <c r="AO22" s="1">
        <f>in!AW22</f>
        <v>0</v>
      </c>
      <c r="AP22" s="1">
        <f>in!AX22</f>
        <v>0</v>
      </c>
      <c r="AQ22" s="1">
        <f>in!AY22</f>
        <v>1</v>
      </c>
      <c r="AR22" s="1">
        <f>in!AZ22</f>
        <v>0</v>
      </c>
      <c r="AS22" s="1">
        <f>in!BA22</f>
        <v>1</v>
      </c>
      <c r="AT22" s="1">
        <f>in!BB22</f>
        <v>0</v>
      </c>
      <c r="AU22" s="1">
        <f>in!BC22</f>
        <v>0</v>
      </c>
      <c r="AV22" s="1">
        <f>in!BD22</f>
        <v>1</v>
      </c>
      <c r="AW22" s="1">
        <f>in!BE22</f>
        <v>0</v>
      </c>
      <c r="AX22" s="1">
        <f>in!BF22</f>
        <v>0</v>
      </c>
      <c r="AY22" s="1">
        <f>in!BG22</f>
        <v>0</v>
      </c>
      <c r="AZ22" s="1">
        <f>in!BH22</f>
        <v>1</v>
      </c>
      <c r="BA22" s="1">
        <f>in!BI22</f>
        <v>0</v>
      </c>
      <c r="BB22" s="1">
        <f>in!BJ22</f>
        <v>0</v>
      </c>
      <c r="BC22" s="1">
        <f>in!BK22</f>
        <v>1</v>
      </c>
      <c r="BD22" s="1">
        <f>in!BL22</f>
        <v>0</v>
      </c>
      <c r="BE22" s="1">
        <f>in!BM22</f>
        <v>0</v>
      </c>
      <c r="BF22" s="1">
        <f>in!BN22</f>
        <v>0</v>
      </c>
      <c r="BG22" s="1">
        <f>in!BO22</f>
        <v>0</v>
      </c>
      <c r="BH22" s="1">
        <f>in!BP22</f>
        <v>1</v>
      </c>
      <c r="BI22" s="1">
        <f>in!BQ22</f>
        <v>0</v>
      </c>
      <c r="BJ22" s="1">
        <f>in!BR22</f>
        <v>0</v>
      </c>
      <c r="BK22" s="1">
        <f>in!BS22</f>
        <v>0</v>
      </c>
      <c r="BL22" s="1">
        <f>in!BT22</f>
        <v>0</v>
      </c>
      <c r="BM22" s="1">
        <f>in!BU22</f>
        <v>0</v>
      </c>
      <c r="BN22" s="1">
        <f>in!BV22</f>
        <v>0</v>
      </c>
      <c r="BO22" s="1">
        <f>in!BW22</f>
        <v>0</v>
      </c>
      <c r="BP22" s="1">
        <f>in!BX22</f>
        <v>0</v>
      </c>
      <c r="BQ22" s="1">
        <f>in!BY22</f>
        <v>0</v>
      </c>
      <c r="BR22" s="1">
        <f>in!BZ22</f>
        <v>0</v>
      </c>
      <c r="BS22" s="4">
        <f t="shared" si="8"/>
        <v>9</v>
      </c>
      <c r="BT22" s="19">
        <f t="shared" si="9"/>
        <v>21.951219512195124</v>
      </c>
      <c r="BU22" s="1">
        <f>in!CA22</f>
        <v>0</v>
      </c>
      <c r="BV22" s="1">
        <f>in!CB22</f>
        <v>0</v>
      </c>
      <c r="BW22" s="1">
        <f>in!CC22</f>
        <v>1</v>
      </c>
      <c r="BX22" s="1">
        <f>in!CD22</f>
        <v>0</v>
      </c>
      <c r="BY22" s="1">
        <f>in!CE22</f>
        <v>0</v>
      </c>
      <c r="BZ22" s="1">
        <f>in!CF22</f>
        <v>0</v>
      </c>
      <c r="CA22" s="1">
        <f>in!CG22</f>
        <v>0</v>
      </c>
      <c r="CB22" s="1">
        <f>in!CH22</f>
        <v>0</v>
      </c>
      <c r="CC22" s="1">
        <f>in!CI22</f>
        <v>0</v>
      </c>
      <c r="CD22" s="1">
        <f>in!CJ22</f>
        <v>0</v>
      </c>
      <c r="CE22" s="1">
        <f>in!CK22</f>
        <v>0</v>
      </c>
      <c r="CF22" s="1">
        <f>in!CL22</f>
        <v>1</v>
      </c>
      <c r="CG22" s="1">
        <f>in!CM22</f>
        <v>1</v>
      </c>
      <c r="CH22" s="1">
        <f>in!CN22</f>
        <v>1</v>
      </c>
      <c r="CI22" s="1">
        <f>in!CO22</f>
        <v>0</v>
      </c>
      <c r="CJ22" s="1">
        <f>in!CP22</f>
        <v>0</v>
      </c>
      <c r="CK22" s="1">
        <f>in!CQ22</f>
        <v>0</v>
      </c>
      <c r="CL22" s="1">
        <f>in!CR22</f>
        <v>0</v>
      </c>
      <c r="CM22" s="1">
        <f>in!CS22</f>
        <v>0</v>
      </c>
      <c r="CN22" s="1">
        <f>in!CT22</f>
        <v>0</v>
      </c>
      <c r="CO22" s="1">
        <f>in!CU22</f>
        <v>1</v>
      </c>
      <c r="CP22" s="1">
        <f>in!CV22</f>
        <v>0</v>
      </c>
      <c r="CQ22" s="1">
        <f>in!CW22</f>
        <v>1</v>
      </c>
      <c r="CR22" s="1">
        <f>in!CX22</f>
        <v>0</v>
      </c>
      <c r="CS22" s="1">
        <f>in!CY22</f>
        <v>0</v>
      </c>
      <c r="CT22" s="5">
        <f t="shared" si="10"/>
        <v>6</v>
      </c>
      <c r="CU22" s="5">
        <f t="shared" si="11"/>
        <v>24</v>
      </c>
      <c r="CV22" s="1">
        <f>in!CZ22</f>
        <v>0</v>
      </c>
      <c r="CW22" s="1">
        <f>in!DA22</f>
        <v>0</v>
      </c>
      <c r="CX22" s="1">
        <f>in!DB22</f>
        <v>0</v>
      </c>
      <c r="CY22" s="1">
        <f>in!DC22</f>
        <v>0</v>
      </c>
      <c r="CZ22" s="1">
        <f>in!DD22</f>
        <v>0</v>
      </c>
      <c r="DA22" s="1">
        <f>in!DE22</f>
        <v>0</v>
      </c>
      <c r="DB22" s="1">
        <f>in!DF22</f>
        <v>1</v>
      </c>
      <c r="DC22" s="1">
        <f>in!DG22</f>
        <v>0</v>
      </c>
      <c r="DD22" s="1">
        <f>in!DH22</f>
        <v>0</v>
      </c>
      <c r="DE22" s="1">
        <f>in!DI22</f>
        <v>1</v>
      </c>
      <c r="DF22" s="1">
        <f>in!DJ22</f>
        <v>0</v>
      </c>
      <c r="DG22" s="1">
        <f>in!DK22</f>
        <v>0</v>
      </c>
      <c r="DH22" s="14">
        <f t="shared" si="12"/>
        <v>2</v>
      </c>
      <c r="DI22" s="14">
        <f t="shared" si="13"/>
        <v>16.666666666666668</v>
      </c>
      <c r="DJ22" s="1">
        <f>in!DL22</f>
        <v>0</v>
      </c>
      <c r="DK22" s="1">
        <f>in!DM22</f>
        <v>1</v>
      </c>
      <c r="DL22" s="1">
        <f>in!DN22</f>
        <v>0</v>
      </c>
      <c r="DM22" s="1">
        <f>in!DO22</f>
        <v>0</v>
      </c>
      <c r="DN22" s="1">
        <f>in!DP22</f>
        <v>1</v>
      </c>
      <c r="DO22" s="1">
        <f>in!DQ22</f>
        <v>1</v>
      </c>
      <c r="DP22" s="11">
        <f t="shared" si="0"/>
        <v>3</v>
      </c>
      <c r="DQ22" s="16">
        <f t="shared" si="1"/>
        <v>50</v>
      </c>
      <c r="DR22" s="1">
        <f>in!DR22</f>
        <v>0</v>
      </c>
      <c r="DS22" s="1">
        <f>in!DS22</f>
        <v>0</v>
      </c>
      <c r="DT22" s="1">
        <f>in!DT22</f>
        <v>0</v>
      </c>
      <c r="DU22" s="1">
        <f>in!DU22</f>
        <v>0</v>
      </c>
      <c r="DV22" s="1">
        <f>in!DV22</f>
        <v>1</v>
      </c>
      <c r="DW22" s="1">
        <f>in!DW22</f>
        <v>0</v>
      </c>
      <c r="DX22" s="1">
        <f>in!DX22</f>
        <v>0</v>
      </c>
      <c r="DY22" s="1">
        <f>in!DY22</f>
        <v>0</v>
      </c>
      <c r="DZ22" s="15">
        <f t="shared" si="2"/>
        <v>1</v>
      </c>
      <c r="EA22" s="15">
        <f t="shared" si="3"/>
        <v>12.5</v>
      </c>
      <c r="EB22" s="1">
        <f>in!DZ22</f>
        <v>0</v>
      </c>
      <c r="EC22" s="1">
        <f>in!EA22</f>
        <v>0</v>
      </c>
      <c r="ED22" s="1">
        <f>in!EB22</f>
        <v>0</v>
      </c>
      <c r="EE22" s="20">
        <f t="shared" si="4"/>
        <v>0</v>
      </c>
      <c r="EF22" s="20">
        <f t="shared" si="5"/>
        <v>0</v>
      </c>
    </row>
    <row r="23" spans="1:136" x14ac:dyDescent="0.35">
      <c r="A23" s="43" t="str">
        <f>in!D23</f>
        <v xml:space="preserve">RAMOS RAMOS SEBASTIAN ANDRES  </v>
      </c>
      <c r="B23" s="43">
        <f>in!E23</f>
        <v>5812</v>
      </c>
      <c r="C23" s="1">
        <f>in!M23</f>
        <v>0</v>
      </c>
      <c r="D23" s="1">
        <f>in!N23</f>
        <v>0</v>
      </c>
      <c r="E23" s="1">
        <f>in!O23</f>
        <v>0</v>
      </c>
      <c r="F23" s="1">
        <f>in!P23</f>
        <v>0</v>
      </c>
      <c r="G23" s="1">
        <f>in!Q23</f>
        <v>0</v>
      </c>
      <c r="H23" s="1">
        <f>in!R23</f>
        <v>0</v>
      </c>
      <c r="I23" s="1">
        <f>in!S23</f>
        <v>0</v>
      </c>
      <c r="J23" s="1">
        <f>in!T23</f>
        <v>1</v>
      </c>
      <c r="K23" s="1">
        <f>in!U23</f>
        <v>1</v>
      </c>
      <c r="L23" s="1">
        <f>in!V23</f>
        <v>0</v>
      </c>
      <c r="M23" s="1">
        <f>in!W23</f>
        <v>0</v>
      </c>
      <c r="N23" s="1">
        <f>in!X23</f>
        <v>1</v>
      </c>
      <c r="O23" s="1">
        <f>in!Y23</f>
        <v>0</v>
      </c>
      <c r="P23" s="1">
        <f>in!Z23</f>
        <v>0</v>
      </c>
      <c r="Q23" s="1">
        <f>in!AA23</f>
        <v>0</v>
      </c>
      <c r="R23" s="1">
        <f>in!AB23</f>
        <v>0</v>
      </c>
      <c r="S23" s="1">
        <f>in!AC23</f>
        <v>0</v>
      </c>
      <c r="T23" s="1">
        <f>in!AD23</f>
        <v>1</v>
      </c>
      <c r="U23" s="1">
        <f>in!AE23</f>
        <v>0</v>
      </c>
      <c r="V23" s="1">
        <f>in!AF23</f>
        <v>1</v>
      </c>
      <c r="W23" s="1">
        <f>in!AG23</f>
        <v>1</v>
      </c>
      <c r="X23" s="1">
        <f>in!AH23</f>
        <v>0</v>
      </c>
      <c r="Y23" s="1">
        <f>in!AI23</f>
        <v>0</v>
      </c>
      <c r="Z23" s="1">
        <f>in!AJ23</f>
        <v>0</v>
      </c>
      <c r="AA23" s="1">
        <f>in!AK23</f>
        <v>0</v>
      </c>
      <c r="AB23" s="3">
        <f t="shared" si="6"/>
        <v>6</v>
      </c>
      <c r="AC23" s="3">
        <f t="shared" si="7"/>
        <v>24</v>
      </c>
      <c r="AD23" s="1">
        <f>in!AL23</f>
        <v>0</v>
      </c>
      <c r="AE23" s="1">
        <f>in!AM23</f>
        <v>0</v>
      </c>
      <c r="AF23" s="1">
        <f>in!AN23</f>
        <v>0</v>
      </c>
      <c r="AG23" s="1">
        <f>in!AO23</f>
        <v>0</v>
      </c>
      <c r="AH23" s="1">
        <f>in!AP23</f>
        <v>0</v>
      </c>
      <c r="AI23" s="1">
        <f>in!AQ23</f>
        <v>0</v>
      </c>
      <c r="AJ23" s="1">
        <f>in!AR23</f>
        <v>0</v>
      </c>
      <c r="AK23" s="1">
        <f>in!AS23</f>
        <v>0</v>
      </c>
      <c r="AL23" s="1">
        <f>in!AT23</f>
        <v>0</v>
      </c>
      <c r="AM23" s="1">
        <f>in!AU23</f>
        <v>1</v>
      </c>
      <c r="AN23" s="1">
        <f>in!AV23</f>
        <v>0</v>
      </c>
      <c r="AO23" s="1">
        <f>in!AW23</f>
        <v>1</v>
      </c>
      <c r="AP23" s="1">
        <f>in!AX23</f>
        <v>0</v>
      </c>
      <c r="AQ23" s="1">
        <f>in!AY23</f>
        <v>0</v>
      </c>
      <c r="AR23" s="1">
        <f>in!AZ23</f>
        <v>0</v>
      </c>
      <c r="AS23" s="1">
        <f>in!BA23</f>
        <v>0</v>
      </c>
      <c r="AT23" s="1">
        <f>in!BB23</f>
        <v>0</v>
      </c>
      <c r="AU23" s="1">
        <f>in!BC23</f>
        <v>0</v>
      </c>
      <c r="AV23" s="1">
        <f>in!BD23</f>
        <v>0</v>
      </c>
      <c r="AW23" s="1">
        <f>in!BE23</f>
        <v>0</v>
      </c>
      <c r="AX23" s="1">
        <f>in!BF23</f>
        <v>0</v>
      </c>
      <c r="AY23" s="1">
        <f>in!BG23</f>
        <v>0</v>
      </c>
      <c r="AZ23" s="1">
        <f>in!BH23</f>
        <v>1</v>
      </c>
      <c r="BA23" s="1">
        <f>in!BI23</f>
        <v>0</v>
      </c>
      <c r="BB23" s="1">
        <f>in!BJ23</f>
        <v>0</v>
      </c>
      <c r="BC23" s="1">
        <f>in!BK23</f>
        <v>0</v>
      </c>
      <c r="BD23" s="1">
        <f>in!BL23</f>
        <v>0</v>
      </c>
      <c r="BE23" s="1">
        <f>in!BM23</f>
        <v>1</v>
      </c>
      <c r="BF23" s="1">
        <f>in!BN23</f>
        <v>0</v>
      </c>
      <c r="BG23" s="1">
        <f>in!BO23</f>
        <v>0</v>
      </c>
      <c r="BH23" s="1">
        <f>in!BP23</f>
        <v>0</v>
      </c>
      <c r="BI23" s="1">
        <f>in!BQ23</f>
        <v>0</v>
      </c>
      <c r="BJ23" s="1">
        <f>in!BR23</f>
        <v>0</v>
      </c>
      <c r="BK23" s="1">
        <f>in!BS23</f>
        <v>1</v>
      </c>
      <c r="BL23" s="1">
        <f>in!BT23</f>
        <v>0</v>
      </c>
      <c r="BM23" s="1">
        <f>in!BU23</f>
        <v>0</v>
      </c>
      <c r="BN23" s="1">
        <f>in!BV23</f>
        <v>0</v>
      </c>
      <c r="BO23" s="1">
        <f>in!BW23</f>
        <v>0</v>
      </c>
      <c r="BP23" s="1">
        <f>in!BX23</f>
        <v>0</v>
      </c>
      <c r="BQ23" s="1">
        <f>in!BY23</f>
        <v>0</v>
      </c>
      <c r="BR23" s="1">
        <f>in!BZ23</f>
        <v>1</v>
      </c>
      <c r="BS23" s="4">
        <f t="shared" si="8"/>
        <v>6</v>
      </c>
      <c r="BT23" s="19">
        <f t="shared" si="9"/>
        <v>14.634146341463415</v>
      </c>
      <c r="BU23" s="1">
        <f>in!CA23</f>
        <v>0</v>
      </c>
      <c r="BV23" s="1">
        <f>in!CB23</f>
        <v>1</v>
      </c>
      <c r="BW23" s="1">
        <f>in!CC23</f>
        <v>0</v>
      </c>
      <c r="BX23" s="1">
        <f>in!CD23</f>
        <v>1</v>
      </c>
      <c r="BY23" s="1">
        <f>in!CE23</f>
        <v>1</v>
      </c>
      <c r="BZ23" s="1">
        <f>in!CF23</f>
        <v>1</v>
      </c>
      <c r="CA23" s="1">
        <f>in!CG23</f>
        <v>0</v>
      </c>
      <c r="CB23" s="1">
        <f>in!CH23</f>
        <v>1</v>
      </c>
      <c r="CC23" s="1">
        <f>in!CI23</f>
        <v>0</v>
      </c>
      <c r="CD23" s="1">
        <f>in!CJ23</f>
        <v>0</v>
      </c>
      <c r="CE23" s="1">
        <f>in!CK23</f>
        <v>0</v>
      </c>
      <c r="CF23" s="1">
        <f>in!CL23</f>
        <v>0</v>
      </c>
      <c r="CG23" s="1">
        <f>in!CM23</f>
        <v>0</v>
      </c>
      <c r="CH23" s="1">
        <f>in!CN23</f>
        <v>0</v>
      </c>
      <c r="CI23" s="1">
        <f>in!CO23</f>
        <v>0</v>
      </c>
      <c r="CJ23" s="1">
        <f>in!CP23</f>
        <v>0</v>
      </c>
      <c r="CK23" s="1">
        <f>in!CQ23</f>
        <v>1</v>
      </c>
      <c r="CL23" s="1">
        <f>in!CR23</f>
        <v>0</v>
      </c>
      <c r="CM23" s="1">
        <f>in!CS23</f>
        <v>0</v>
      </c>
      <c r="CN23" s="1">
        <f>in!CT23</f>
        <v>0</v>
      </c>
      <c r="CO23" s="1">
        <f>in!CU23</f>
        <v>0</v>
      </c>
      <c r="CP23" s="1">
        <f>in!CV23</f>
        <v>0</v>
      </c>
      <c r="CQ23" s="1">
        <f>in!CW23</f>
        <v>0</v>
      </c>
      <c r="CR23" s="1">
        <f>in!CX23</f>
        <v>0</v>
      </c>
      <c r="CS23" s="1">
        <f>in!CY23</f>
        <v>1</v>
      </c>
      <c r="CT23" s="5">
        <f t="shared" si="10"/>
        <v>7</v>
      </c>
      <c r="CU23" s="5">
        <f t="shared" si="11"/>
        <v>28</v>
      </c>
      <c r="CV23" s="1">
        <f>in!CZ23</f>
        <v>0</v>
      </c>
      <c r="CW23" s="1">
        <f>in!DA23</f>
        <v>0</v>
      </c>
      <c r="CX23" s="1">
        <f>in!DB23</f>
        <v>1</v>
      </c>
      <c r="CY23" s="1">
        <f>in!DC23</f>
        <v>0</v>
      </c>
      <c r="CZ23" s="1">
        <f>in!DD23</f>
        <v>0</v>
      </c>
      <c r="DA23" s="1">
        <f>in!DE23</f>
        <v>0</v>
      </c>
      <c r="DB23" s="1">
        <f>in!DF23</f>
        <v>1</v>
      </c>
      <c r="DC23" s="1">
        <f>in!DG23</f>
        <v>1</v>
      </c>
      <c r="DD23" s="1">
        <f>in!DH23</f>
        <v>0</v>
      </c>
      <c r="DE23" s="1">
        <f>in!DI23</f>
        <v>0</v>
      </c>
      <c r="DF23" s="1">
        <f>in!DJ23</f>
        <v>0</v>
      </c>
      <c r="DG23" s="1">
        <f>in!DK23</f>
        <v>1</v>
      </c>
      <c r="DH23" s="14">
        <f t="shared" si="12"/>
        <v>4</v>
      </c>
      <c r="DI23" s="14">
        <f t="shared" si="13"/>
        <v>33.333333333333336</v>
      </c>
      <c r="DJ23" s="1">
        <f>in!DL23</f>
        <v>0</v>
      </c>
      <c r="DK23" s="1">
        <f>in!DM23</f>
        <v>0</v>
      </c>
      <c r="DL23" s="1">
        <f>in!DN23</f>
        <v>1</v>
      </c>
      <c r="DM23" s="1">
        <f>in!DO23</f>
        <v>0</v>
      </c>
      <c r="DN23" s="1">
        <f>in!DP23</f>
        <v>1</v>
      </c>
      <c r="DO23" s="1">
        <f>in!DQ23</f>
        <v>1</v>
      </c>
      <c r="DP23" s="11">
        <f t="shared" si="0"/>
        <v>3</v>
      </c>
      <c r="DQ23" s="16">
        <f t="shared" si="1"/>
        <v>50</v>
      </c>
      <c r="DR23" s="1">
        <f>in!DR23</f>
        <v>0</v>
      </c>
      <c r="DS23" s="1">
        <f>in!DS23</f>
        <v>0</v>
      </c>
      <c r="DT23" s="1">
        <f>in!DT23</f>
        <v>1</v>
      </c>
      <c r="DU23" s="1">
        <f>in!DU23</f>
        <v>0</v>
      </c>
      <c r="DV23" s="1">
        <f>in!DV23</f>
        <v>1</v>
      </c>
      <c r="DW23" s="1">
        <f>in!DW23</f>
        <v>0</v>
      </c>
      <c r="DX23" s="1">
        <f>in!DX23</f>
        <v>0</v>
      </c>
      <c r="DY23" s="1">
        <f>in!DY23</f>
        <v>0</v>
      </c>
      <c r="DZ23" s="15">
        <f t="shared" si="2"/>
        <v>2</v>
      </c>
      <c r="EA23" s="15">
        <f t="shared" si="3"/>
        <v>25</v>
      </c>
      <c r="EB23" s="1">
        <f>in!DZ23</f>
        <v>0</v>
      </c>
      <c r="EC23" s="1">
        <f>in!EA23</f>
        <v>0</v>
      </c>
      <c r="ED23" s="1">
        <f>in!EB23</f>
        <v>1</v>
      </c>
      <c r="EE23" s="20">
        <f t="shared" si="4"/>
        <v>1</v>
      </c>
      <c r="EF23" s="20">
        <f t="shared" si="5"/>
        <v>33.333333333333336</v>
      </c>
    </row>
    <row r="24" spans="1:136" x14ac:dyDescent="0.35">
      <c r="A24" s="43" t="str">
        <f>in!D24</f>
        <v>ALVAREZ MARQUEZ FRANK LUIS</v>
      </c>
      <c r="B24" s="43">
        <f>in!E24</f>
        <v>6201</v>
      </c>
      <c r="C24" s="1">
        <f>in!M24</f>
        <v>1</v>
      </c>
      <c r="D24" s="1">
        <f>in!N24</f>
        <v>0</v>
      </c>
      <c r="E24" s="1">
        <f>in!O24</f>
        <v>0</v>
      </c>
      <c r="F24" s="1">
        <f>in!P24</f>
        <v>0</v>
      </c>
      <c r="G24" s="1">
        <f>in!Q24</f>
        <v>0</v>
      </c>
      <c r="H24" s="1">
        <f>in!R24</f>
        <v>1</v>
      </c>
      <c r="I24" s="1">
        <f>in!S24</f>
        <v>0</v>
      </c>
      <c r="J24" s="1">
        <f>in!T24</f>
        <v>1</v>
      </c>
      <c r="K24" s="1">
        <f>in!U24</f>
        <v>0</v>
      </c>
      <c r="L24" s="1">
        <f>in!V24</f>
        <v>0</v>
      </c>
      <c r="M24" s="1">
        <f>in!W24</f>
        <v>0</v>
      </c>
      <c r="N24" s="1">
        <f>in!X24</f>
        <v>0</v>
      </c>
      <c r="O24" s="1">
        <f>in!Y24</f>
        <v>0</v>
      </c>
      <c r="P24" s="1">
        <f>in!Z24</f>
        <v>0</v>
      </c>
      <c r="Q24" s="1">
        <f>in!AA24</f>
        <v>1</v>
      </c>
      <c r="R24" s="1">
        <f>in!AB24</f>
        <v>1</v>
      </c>
      <c r="S24" s="1">
        <f>in!AC24</f>
        <v>0</v>
      </c>
      <c r="T24" s="1">
        <f>in!AD24</f>
        <v>0</v>
      </c>
      <c r="U24" s="1">
        <f>in!AE24</f>
        <v>1</v>
      </c>
      <c r="V24" s="1">
        <f>in!AF24</f>
        <v>1</v>
      </c>
      <c r="W24" s="1">
        <f>in!AG24</f>
        <v>1</v>
      </c>
      <c r="X24" s="1">
        <f>in!AH24</f>
        <v>0</v>
      </c>
      <c r="Y24" s="1">
        <f>in!AI24</f>
        <v>0</v>
      </c>
      <c r="Z24" s="1">
        <f>in!AJ24</f>
        <v>0</v>
      </c>
      <c r="AA24" s="1">
        <f>in!AK24</f>
        <v>0</v>
      </c>
      <c r="AB24" s="3">
        <f t="shared" si="6"/>
        <v>8</v>
      </c>
      <c r="AC24" s="3">
        <f t="shared" si="7"/>
        <v>32</v>
      </c>
      <c r="AD24" s="1">
        <f>in!AL24</f>
        <v>1</v>
      </c>
      <c r="AE24" s="1">
        <f>in!AM24</f>
        <v>1</v>
      </c>
      <c r="AF24" s="1">
        <f>in!AN24</f>
        <v>1</v>
      </c>
      <c r="AG24" s="1">
        <f>in!AO24</f>
        <v>0</v>
      </c>
      <c r="AH24" s="1">
        <f>in!AP24</f>
        <v>1</v>
      </c>
      <c r="AI24" s="1">
        <f>in!AQ24</f>
        <v>0</v>
      </c>
      <c r="AJ24" s="1">
        <f>in!AR24</f>
        <v>0</v>
      </c>
      <c r="AK24" s="1">
        <f>in!AS24</f>
        <v>1</v>
      </c>
      <c r="AL24" s="1">
        <f>in!AT24</f>
        <v>0</v>
      </c>
      <c r="AM24" s="1">
        <f>in!AU24</f>
        <v>1</v>
      </c>
      <c r="AN24" s="1">
        <f>in!AV24</f>
        <v>1</v>
      </c>
      <c r="AO24" s="1">
        <f>in!AW24</f>
        <v>0</v>
      </c>
      <c r="AP24" s="1">
        <f>in!AX24</f>
        <v>0</v>
      </c>
      <c r="AQ24" s="1">
        <f>in!AY24</f>
        <v>1</v>
      </c>
      <c r="AR24" s="1">
        <f>in!AZ24</f>
        <v>1</v>
      </c>
      <c r="AS24" s="1">
        <f>in!BA24</f>
        <v>1</v>
      </c>
      <c r="AT24" s="1">
        <f>in!BB24</f>
        <v>1</v>
      </c>
      <c r="AU24" s="1">
        <f>in!BC24</f>
        <v>1</v>
      </c>
      <c r="AV24" s="1">
        <f>in!BD24</f>
        <v>0</v>
      </c>
      <c r="AW24" s="1">
        <f>in!BE24</f>
        <v>0</v>
      </c>
      <c r="AX24" s="1">
        <f>in!BF24</f>
        <v>0</v>
      </c>
      <c r="AY24" s="1">
        <f>in!BG24</f>
        <v>1</v>
      </c>
      <c r="AZ24" s="1">
        <f>in!BH24</f>
        <v>1</v>
      </c>
      <c r="BA24" s="1">
        <f>in!BI24</f>
        <v>1</v>
      </c>
      <c r="BB24" s="1">
        <f>in!BJ24</f>
        <v>1</v>
      </c>
      <c r="BC24" s="1">
        <f>in!BK24</f>
        <v>0</v>
      </c>
      <c r="BD24" s="1">
        <f>in!BL24</f>
        <v>1</v>
      </c>
      <c r="BE24" s="1">
        <f>in!BM24</f>
        <v>0</v>
      </c>
      <c r="BF24" s="1">
        <f>in!BN24</f>
        <v>1</v>
      </c>
      <c r="BG24" s="1">
        <f>in!BO24</f>
        <v>1</v>
      </c>
      <c r="BH24" s="1">
        <f>in!BP24</f>
        <v>1</v>
      </c>
      <c r="BI24" s="1">
        <f>in!BQ24</f>
        <v>0</v>
      </c>
      <c r="BJ24" s="1">
        <f>in!BR24</f>
        <v>1</v>
      </c>
      <c r="BK24" s="1">
        <f>in!BS24</f>
        <v>1</v>
      </c>
      <c r="BL24" s="1">
        <f>in!BT24</f>
        <v>0</v>
      </c>
      <c r="BM24" s="1">
        <f>in!BU24</f>
        <v>0</v>
      </c>
      <c r="BN24" s="1">
        <f>in!BV24</f>
        <v>0</v>
      </c>
      <c r="BO24" s="1">
        <f>in!BW24</f>
        <v>0</v>
      </c>
      <c r="BP24" s="1">
        <f>in!BX24</f>
        <v>0</v>
      </c>
      <c r="BQ24" s="1">
        <f>in!BY24</f>
        <v>0</v>
      </c>
      <c r="BR24" s="1">
        <f>in!BZ24</f>
        <v>1</v>
      </c>
      <c r="BS24" s="4">
        <f t="shared" si="8"/>
        <v>23</v>
      </c>
      <c r="BT24" s="19">
        <f t="shared" si="9"/>
        <v>56.097560975609753</v>
      </c>
      <c r="BU24" s="1">
        <f>in!CA24</f>
        <v>1</v>
      </c>
      <c r="BV24" s="1">
        <f>in!CB24</f>
        <v>0</v>
      </c>
      <c r="BW24" s="1">
        <f>in!CC24</f>
        <v>0</v>
      </c>
      <c r="BX24" s="1">
        <f>in!CD24</f>
        <v>0</v>
      </c>
      <c r="BY24" s="1">
        <f>in!CE24</f>
        <v>1</v>
      </c>
      <c r="BZ24" s="1">
        <f>in!CF24</f>
        <v>0</v>
      </c>
      <c r="CA24" s="1">
        <f>in!CG24</f>
        <v>0</v>
      </c>
      <c r="CB24" s="1">
        <f>in!CH24</f>
        <v>1</v>
      </c>
      <c r="CC24" s="1">
        <f>in!CI24</f>
        <v>0</v>
      </c>
      <c r="CD24" s="1">
        <f>in!CJ24</f>
        <v>0</v>
      </c>
      <c r="CE24" s="1">
        <f>in!CK24</f>
        <v>1</v>
      </c>
      <c r="CF24" s="1">
        <f>in!CL24</f>
        <v>1</v>
      </c>
      <c r="CG24" s="1">
        <f>in!CM24</f>
        <v>0</v>
      </c>
      <c r="CH24" s="1">
        <f>in!CN24</f>
        <v>0</v>
      </c>
      <c r="CI24" s="1">
        <f>in!CO24</f>
        <v>0</v>
      </c>
      <c r="CJ24" s="1">
        <f>in!CP24</f>
        <v>0</v>
      </c>
      <c r="CK24" s="1">
        <f>in!CQ24</f>
        <v>0</v>
      </c>
      <c r="CL24" s="1">
        <f>in!CR24</f>
        <v>1</v>
      </c>
      <c r="CM24" s="1">
        <f>in!CS24</f>
        <v>1</v>
      </c>
      <c r="CN24" s="1">
        <f>in!CT24</f>
        <v>0</v>
      </c>
      <c r="CO24" s="1">
        <f>in!CU24</f>
        <v>1</v>
      </c>
      <c r="CP24" s="1">
        <f>in!CV24</f>
        <v>1</v>
      </c>
      <c r="CQ24" s="1">
        <f>in!CW24</f>
        <v>0</v>
      </c>
      <c r="CR24" s="1">
        <f>in!CX24</f>
        <v>1</v>
      </c>
      <c r="CS24" s="1">
        <f>in!CY24</f>
        <v>1</v>
      </c>
      <c r="CT24" s="5">
        <f t="shared" si="10"/>
        <v>11</v>
      </c>
      <c r="CU24" s="5">
        <f t="shared" si="11"/>
        <v>44</v>
      </c>
      <c r="CV24" s="1">
        <f>in!CZ24</f>
        <v>1</v>
      </c>
      <c r="CW24" s="1">
        <f>in!DA24</f>
        <v>1</v>
      </c>
      <c r="CX24" s="1">
        <f>in!DB24</f>
        <v>1</v>
      </c>
      <c r="CY24" s="1">
        <f>in!DC24</f>
        <v>0</v>
      </c>
      <c r="CZ24" s="1">
        <f>in!DD24</f>
        <v>0</v>
      </c>
      <c r="DA24" s="1">
        <f>in!DE24</f>
        <v>0</v>
      </c>
      <c r="DB24" s="1">
        <f>in!DF24</f>
        <v>0</v>
      </c>
      <c r="DC24" s="1">
        <f>in!DG24</f>
        <v>0</v>
      </c>
      <c r="DD24" s="1">
        <f>in!DH24</f>
        <v>0</v>
      </c>
      <c r="DE24" s="1">
        <f>in!DI24</f>
        <v>0</v>
      </c>
      <c r="DF24" s="1">
        <f>in!DJ24</f>
        <v>0</v>
      </c>
      <c r="DG24" s="1">
        <f>in!DK24</f>
        <v>0</v>
      </c>
      <c r="DH24" s="14">
        <f t="shared" si="12"/>
        <v>3</v>
      </c>
      <c r="DI24" s="14">
        <f t="shared" si="13"/>
        <v>25</v>
      </c>
      <c r="DJ24" s="1">
        <f>in!DL24</f>
        <v>0</v>
      </c>
      <c r="DK24" s="1">
        <f>in!DM24</f>
        <v>1</v>
      </c>
      <c r="DL24" s="1">
        <f>in!DN24</f>
        <v>0</v>
      </c>
      <c r="DM24" s="1">
        <f>in!DO24</f>
        <v>1</v>
      </c>
      <c r="DN24" s="1">
        <f>in!DP24</f>
        <v>1</v>
      </c>
      <c r="DO24" s="1">
        <f>in!DQ24</f>
        <v>1</v>
      </c>
      <c r="DP24" s="11">
        <f t="shared" si="0"/>
        <v>4</v>
      </c>
      <c r="DQ24" s="16">
        <f t="shared" si="1"/>
        <v>66.666666666666671</v>
      </c>
      <c r="DR24" s="1">
        <f>in!DR24</f>
        <v>0</v>
      </c>
      <c r="DS24" s="1">
        <f>in!DS24</f>
        <v>0</v>
      </c>
      <c r="DT24" s="1">
        <f>in!DT24</f>
        <v>0</v>
      </c>
      <c r="DU24" s="1">
        <f>in!DU24</f>
        <v>1</v>
      </c>
      <c r="DV24" s="1">
        <f>in!DV24</f>
        <v>0</v>
      </c>
      <c r="DW24" s="1">
        <f>in!DW24</f>
        <v>1</v>
      </c>
      <c r="DX24" s="1">
        <f>in!DX24</f>
        <v>0</v>
      </c>
      <c r="DY24" s="1">
        <f>in!DY24</f>
        <v>0</v>
      </c>
      <c r="DZ24" s="15">
        <f t="shared" si="2"/>
        <v>2</v>
      </c>
      <c r="EA24" s="15">
        <f t="shared" si="3"/>
        <v>25</v>
      </c>
      <c r="EB24" s="1">
        <f>in!DZ24</f>
        <v>1</v>
      </c>
      <c r="EC24" s="1">
        <f>in!EA24</f>
        <v>0</v>
      </c>
      <c r="ED24" s="1">
        <f>in!EB24</f>
        <v>0</v>
      </c>
      <c r="EE24" s="20">
        <f t="shared" si="4"/>
        <v>1</v>
      </c>
      <c r="EF24" s="20">
        <f t="shared" si="5"/>
        <v>33.333333333333336</v>
      </c>
    </row>
    <row r="25" spans="1:136" x14ac:dyDescent="0.35">
      <c r="A25" s="43" t="str">
        <f>in!D25</f>
        <v>BRAVO OVALLES KAMILA ANDREA</v>
      </c>
      <c r="B25" s="43">
        <f>in!E25</f>
        <v>6203</v>
      </c>
      <c r="C25" s="1">
        <f>in!M25</f>
        <v>1</v>
      </c>
      <c r="D25" s="1">
        <f>in!N25</f>
        <v>0</v>
      </c>
      <c r="E25" s="1">
        <f>in!O25</f>
        <v>1</v>
      </c>
      <c r="F25" s="1">
        <f>in!P25</f>
        <v>1</v>
      </c>
      <c r="G25" s="1">
        <f>in!Q25</f>
        <v>0</v>
      </c>
      <c r="H25" s="1">
        <f>in!R25</f>
        <v>0</v>
      </c>
      <c r="I25" s="1">
        <f>in!S25</f>
        <v>0</v>
      </c>
      <c r="J25" s="1">
        <f>in!T25</f>
        <v>0</v>
      </c>
      <c r="K25" s="1">
        <f>in!U25</f>
        <v>0</v>
      </c>
      <c r="L25" s="1">
        <f>in!V25</f>
        <v>0</v>
      </c>
      <c r="M25" s="1">
        <f>in!W25</f>
        <v>0</v>
      </c>
      <c r="N25" s="1">
        <f>in!X25</f>
        <v>0</v>
      </c>
      <c r="O25" s="1">
        <f>in!Y25</f>
        <v>1</v>
      </c>
      <c r="P25" s="1">
        <f>in!Z25</f>
        <v>0</v>
      </c>
      <c r="Q25" s="1">
        <f>in!AA25</f>
        <v>0</v>
      </c>
      <c r="R25" s="1">
        <f>in!AB25</f>
        <v>0</v>
      </c>
      <c r="S25" s="1">
        <f>in!AC25</f>
        <v>0</v>
      </c>
      <c r="T25" s="1">
        <f>in!AD25</f>
        <v>0</v>
      </c>
      <c r="U25" s="1">
        <f>in!AE25</f>
        <v>1</v>
      </c>
      <c r="V25" s="1">
        <f>in!AF25</f>
        <v>0</v>
      </c>
      <c r="W25" s="1">
        <f>in!AG25</f>
        <v>1</v>
      </c>
      <c r="X25" s="1">
        <f>in!AH25</f>
        <v>0</v>
      </c>
      <c r="Y25" s="1">
        <f>in!AI25</f>
        <v>0</v>
      </c>
      <c r="Z25" s="1">
        <f>in!AJ25</f>
        <v>0</v>
      </c>
      <c r="AA25" s="1">
        <f>in!AK25</f>
        <v>0</v>
      </c>
      <c r="AB25" s="3">
        <f t="shared" si="6"/>
        <v>6</v>
      </c>
      <c r="AC25" s="3">
        <f t="shared" si="7"/>
        <v>24</v>
      </c>
      <c r="AD25" s="1">
        <f>in!AL25</f>
        <v>1</v>
      </c>
      <c r="AE25" s="1">
        <f>in!AM25</f>
        <v>0</v>
      </c>
      <c r="AF25" s="1">
        <f>in!AN25</f>
        <v>0</v>
      </c>
      <c r="AG25" s="1">
        <f>in!AO25</f>
        <v>0</v>
      </c>
      <c r="AH25" s="1">
        <f>in!AP25</f>
        <v>1</v>
      </c>
      <c r="AI25" s="1">
        <f>in!AQ25</f>
        <v>0</v>
      </c>
      <c r="AJ25" s="1">
        <f>in!AR25</f>
        <v>1</v>
      </c>
      <c r="AK25" s="1">
        <f>in!AS25</f>
        <v>0</v>
      </c>
      <c r="AL25" s="1">
        <f>in!AT25</f>
        <v>0</v>
      </c>
      <c r="AM25" s="1">
        <f>in!AU25</f>
        <v>1</v>
      </c>
      <c r="AN25" s="1">
        <f>in!AV25</f>
        <v>1</v>
      </c>
      <c r="AO25" s="1">
        <f>in!AW25</f>
        <v>0</v>
      </c>
      <c r="AP25" s="1">
        <f>in!AX25</f>
        <v>0</v>
      </c>
      <c r="AQ25" s="1">
        <f>in!AY25</f>
        <v>0</v>
      </c>
      <c r="AR25" s="1">
        <f>in!AZ25</f>
        <v>1</v>
      </c>
      <c r="AS25" s="1">
        <f>in!BA25</f>
        <v>0</v>
      </c>
      <c r="AT25" s="1">
        <f>in!BB25</f>
        <v>1</v>
      </c>
      <c r="AU25" s="1">
        <f>in!BC25</f>
        <v>0</v>
      </c>
      <c r="AV25" s="1">
        <f>in!BD25</f>
        <v>1</v>
      </c>
      <c r="AW25" s="1">
        <f>in!BE25</f>
        <v>0</v>
      </c>
      <c r="AX25" s="1">
        <f>in!BF25</f>
        <v>0</v>
      </c>
      <c r="AY25" s="1">
        <f>in!BG25</f>
        <v>0</v>
      </c>
      <c r="AZ25" s="1">
        <f>in!BH25</f>
        <v>1</v>
      </c>
      <c r="BA25" s="1">
        <f>in!BI25</f>
        <v>1</v>
      </c>
      <c r="BB25" s="1">
        <f>in!BJ25</f>
        <v>0</v>
      </c>
      <c r="BC25" s="1">
        <f>in!BK25</f>
        <v>1</v>
      </c>
      <c r="BD25" s="1">
        <f>in!BL25</f>
        <v>1</v>
      </c>
      <c r="BE25" s="1">
        <f>in!BM25</f>
        <v>0</v>
      </c>
      <c r="BF25" s="1">
        <f>in!BN25</f>
        <v>1</v>
      </c>
      <c r="BG25" s="1">
        <f>in!BO25</f>
        <v>0</v>
      </c>
      <c r="BH25" s="1">
        <f>in!BP25</f>
        <v>1</v>
      </c>
      <c r="BI25" s="1">
        <f>in!BQ25</f>
        <v>0</v>
      </c>
      <c r="BJ25" s="1">
        <f>in!BR25</f>
        <v>0</v>
      </c>
      <c r="BK25" s="1">
        <f>in!BS25</f>
        <v>0</v>
      </c>
      <c r="BL25" s="1">
        <f>in!BT25</f>
        <v>0</v>
      </c>
      <c r="BM25" s="1">
        <f>in!BU25</f>
        <v>0</v>
      </c>
      <c r="BN25" s="1">
        <f>in!BV25</f>
        <v>0</v>
      </c>
      <c r="BO25" s="1">
        <f>in!BW25</f>
        <v>0</v>
      </c>
      <c r="BP25" s="1">
        <f>in!BX25</f>
        <v>1</v>
      </c>
      <c r="BQ25" s="1">
        <f>in!BY25</f>
        <v>0</v>
      </c>
      <c r="BR25" s="1">
        <f>in!BZ25</f>
        <v>0</v>
      </c>
      <c r="BS25" s="4">
        <f t="shared" si="8"/>
        <v>15</v>
      </c>
      <c r="BT25" s="19">
        <f t="shared" si="9"/>
        <v>36.585365853658537</v>
      </c>
      <c r="BU25" s="1">
        <f>in!CA25</f>
        <v>0</v>
      </c>
      <c r="BV25" s="1">
        <f>in!CB25</f>
        <v>0</v>
      </c>
      <c r="BW25" s="1">
        <f>in!CC25</f>
        <v>1</v>
      </c>
      <c r="BX25" s="1">
        <f>in!CD25</f>
        <v>0</v>
      </c>
      <c r="BY25" s="1">
        <f>in!CE25</f>
        <v>0</v>
      </c>
      <c r="BZ25" s="1">
        <f>in!CF25</f>
        <v>1</v>
      </c>
      <c r="CA25" s="1">
        <f>in!CG25</f>
        <v>0</v>
      </c>
      <c r="CB25" s="1">
        <f>in!CH25</f>
        <v>1</v>
      </c>
      <c r="CC25" s="1">
        <f>in!CI25</f>
        <v>1</v>
      </c>
      <c r="CD25" s="1">
        <f>in!CJ25</f>
        <v>0</v>
      </c>
      <c r="CE25" s="1">
        <f>in!CK25</f>
        <v>1</v>
      </c>
      <c r="CF25" s="1">
        <f>in!CL25</f>
        <v>0</v>
      </c>
      <c r="CG25" s="1">
        <f>in!CM25</f>
        <v>0</v>
      </c>
      <c r="CH25" s="1">
        <f>in!CN25</f>
        <v>1</v>
      </c>
      <c r="CI25" s="1">
        <f>in!CO25</f>
        <v>1</v>
      </c>
      <c r="CJ25" s="1">
        <f>in!CP25</f>
        <v>0</v>
      </c>
      <c r="CK25" s="1">
        <f>in!CQ25</f>
        <v>0</v>
      </c>
      <c r="CL25" s="1">
        <f>in!CR25</f>
        <v>0</v>
      </c>
      <c r="CM25" s="1">
        <f>in!CS25</f>
        <v>1</v>
      </c>
      <c r="CN25" s="1">
        <f>in!CT25</f>
        <v>0</v>
      </c>
      <c r="CO25" s="1">
        <f>in!CU25</f>
        <v>0</v>
      </c>
      <c r="CP25" s="1">
        <f>in!CV25</f>
        <v>0</v>
      </c>
      <c r="CQ25" s="1">
        <f>in!CW25</f>
        <v>1</v>
      </c>
      <c r="CR25" s="1">
        <f>in!CX25</f>
        <v>1</v>
      </c>
      <c r="CS25" s="1">
        <f>in!CY25</f>
        <v>0</v>
      </c>
      <c r="CT25" s="5">
        <f t="shared" si="10"/>
        <v>10</v>
      </c>
      <c r="CU25" s="5">
        <f t="shared" si="11"/>
        <v>40</v>
      </c>
      <c r="CV25" s="1">
        <f>in!CZ25</f>
        <v>0</v>
      </c>
      <c r="CW25" s="1">
        <f>in!DA25</f>
        <v>0</v>
      </c>
      <c r="CX25" s="1">
        <f>in!DB25</f>
        <v>1</v>
      </c>
      <c r="CY25" s="1">
        <f>in!DC25</f>
        <v>0</v>
      </c>
      <c r="CZ25" s="1">
        <f>in!DD25</f>
        <v>0</v>
      </c>
      <c r="DA25" s="1">
        <f>in!DE25</f>
        <v>0</v>
      </c>
      <c r="DB25" s="1">
        <f>in!DF25</f>
        <v>0</v>
      </c>
      <c r="DC25" s="1">
        <f>in!DG25</f>
        <v>1</v>
      </c>
      <c r="DD25" s="1">
        <f>in!DH25</f>
        <v>0</v>
      </c>
      <c r="DE25" s="1">
        <f>in!DI25</f>
        <v>1</v>
      </c>
      <c r="DF25" s="1">
        <f>in!DJ25</f>
        <v>0</v>
      </c>
      <c r="DG25" s="1">
        <f>in!DK25</f>
        <v>0</v>
      </c>
      <c r="DH25" s="14">
        <f t="shared" si="12"/>
        <v>3</v>
      </c>
      <c r="DI25" s="14">
        <f t="shared" si="13"/>
        <v>25</v>
      </c>
      <c r="DJ25" s="1">
        <f>in!DL25</f>
        <v>0</v>
      </c>
      <c r="DK25" s="1">
        <f>in!DM25</f>
        <v>1</v>
      </c>
      <c r="DL25" s="1">
        <f>in!DN25</f>
        <v>0</v>
      </c>
      <c r="DM25" s="1">
        <f>in!DO25</f>
        <v>0</v>
      </c>
      <c r="DN25" s="1">
        <f>in!DP25</f>
        <v>1</v>
      </c>
      <c r="DO25" s="1">
        <f>in!DQ25</f>
        <v>1</v>
      </c>
      <c r="DP25" s="11">
        <f t="shared" si="0"/>
        <v>3</v>
      </c>
      <c r="DQ25" s="16">
        <f t="shared" si="1"/>
        <v>50</v>
      </c>
      <c r="DR25" s="1">
        <f>in!DR25</f>
        <v>0</v>
      </c>
      <c r="DS25" s="1">
        <f>in!DS25</f>
        <v>1</v>
      </c>
      <c r="DT25" s="1">
        <f>in!DT25</f>
        <v>1</v>
      </c>
      <c r="DU25" s="1">
        <f>in!DU25</f>
        <v>0</v>
      </c>
      <c r="DV25" s="1">
        <f>in!DV25</f>
        <v>1</v>
      </c>
      <c r="DW25" s="1">
        <f>in!DW25</f>
        <v>0</v>
      </c>
      <c r="DX25" s="1">
        <f>in!DX25</f>
        <v>0</v>
      </c>
      <c r="DY25" s="1">
        <f>in!DY25</f>
        <v>1</v>
      </c>
      <c r="DZ25" s="15">
        <f t="shared" si="2"/>
        <v>4</v>
      </c>
      <c r="EA25" s="15">
        <f t="shared" si="3"/>
        <v>50</v>
      </c>
      <c r="EB25" s="1">
        <f>in!DZ25</f>
        <v>0</v>
      </c>
      <c r="EC25" s="1">
        <f>in!EA25</f>
        <v>1</v>
      </c>
      <c r="ED25" s="1">
        <f>in!EB25</f>
        <v>1</v>
      </c>
      <c r="EE25" s="20">
        <f t="shared" si="4"/>
        <v>2</v>
      </c>
      <c r="EF25" s="20">
        <f t="shared" si="5"/>
        <v>66.666666666666671</v>
      </c>
    </row>
    <row r="26" spans="1:136" x14ac:dyDescent="0.35">
      <c r="A26" s="43" t="str">
        <f>in!D26</f>
        <v xml:space="preserve">FLOREZ PEREIRA SARAY </v>
      </c>
      <c r="B26" s="43">
        <f>in!E26</f>
        <v>6204</v>
      </c>
      <c r="C26" s="1">
        <f>in!M26</f>
        <v>1</v>
      </c>
      <c r="D26" s="1">
        <f>in!N26</f>
        <v>0</v>
      </c>
      <c r="E26" s="1">
        <f>in!O26</f>
        <v>1</v>
      </c>
      <c r="F26" s="1">
        <f>in!P26</f>
        <v>1</v>
      </c>
      <c r="G26" s="1">
        <f>in!Q26</f>
        <v>0</v>
      </c>
      <c r="H26" s="1">
        <f>in!R26</f>
        <v>1</v>
      </c>
      <c r="I26" s="1">
        <f>in!S26</f>
        <v>0</v>
      </c>
      <c r="J26" s="1">
        <f>in!T26</f>
        <v>1</v>
      </c>
      <c r="K26" s="1">
        <f>in!U26</f>
        <v>1</v>
      </c>
      <c r="L26" s="1">
        <f>in!V26</f>
        <v>0</v>
      </c>
      <c r="M26" s="1">
        <f>in!W26</f>
        <v>0</v>
      </c>
      <c r="N26" s="1">
        <f>in!X26</f>
        <v>0</v>
      </c>
      <c r="O26" s="1">
        <f>in!Y26</f>
        <v>0</v>
      </c>
      <c r="P26" s="1">
        <f>in!Z26</f>
        <v>0</v>
      </c>
      <c r="Q26" s="1">
        <f>in!AA26</f>
        <v>0</v>
      </c>
      <c r="R26" s="1">
        <f>in!AB26</f>
        <v>1</v>
      </c>
      <c r="S26" s="1">
        <f>in!AC26</f>
        <v>0</v>
      </c>
      <c r="T26" s="1">
        <f>in!AD26</f>
        <v>1</v>
      </c>
      <c r="U26" s="1">
        <f>in!AE26</f>
        <v>1</v>
      </c>
      <c r="V26" s="1">
        <f>in!AF26</f>
        <v>0</v>
      </c>
      <c r="W26" s="1">
        <f>in!AG26</f>
        <v>1</v>
      </c>
      <c r="X26" s="1">
        <f>in!AH26</f>
        <v>1</v>
      </c>
      <c r="Y26" s="1">
        <f>in!AI26</f>
        <v>0</v>
      </c>
      <c r="Z26" s="1">
        <f>in!AJ26</f>
        <v>1</v>
      </c>
      <c r="AA26" s="1">
        <f>in!AK26</f>
        <v>0</v>
      </c>
      <c r="AB26" s="3">
        <f t="shared" si="6"/>
        <v>12</v>
      </c>
      <c r="AC26" s="3">
        <f t="shared" si="7"/>
        <v>48</v>
      </c>
      <c r="AD26" s="1">
        <f>in!AL26</f>
        <v>1</v>
      </c>
      <c r="AE26" s="1">
        <f>in!AM26</f>
        <v>0</v>
      </c>
      <c r="AF26" s="1">
        <f>in!AN26</f>
        <v>0</v>
      </c>
      <c r="AG26" s="1">
        <f>in!AO26</f>
        <v>1</v>
      </c>
      <c r="AH26" s="1">
        <f>in!AP26</f>
        <v>0</v>
      </c>
      <c r="AI26" s="1">
        <f>in!AQ26</f>
        <v>1</v>
      </c>
      <c r="AJ26" s="1">
        <f>in!AR26</f>
        <v>0</v>
      </c>
      <c r="AK26" s="1">
        <f>in!AS26</f>
        <v>1</v>
      </c>
      <c r="AL26" s="1">
        <f>in!AT26</f>
        <v>0</v>
      </c>
      <c r="AM26" s="1">
        <f>in!AU26</f>
        <v>1</v>
      </c>
      <c r="AN26" s="1">
        <f>in!AV26</f>
        <v>1</v>
      </c>
      <c r="AO26" s="1">
        <f>in!AW26</f>
        <v>1</v>
      </c>
      <c r="AP26" s="1">
        <f>in!AX26</f>
        <v>0</v>
      </c>
      <c r="AQ26" s="1">
        <f>in!AY26</f>
        <v>1</v>
      </c>
      <c r="AR26" s="1">
        <f>in!AZ26</f>
        <v>1</v>
      </c>
      <c r="AS26" s="1">
        <f>in!BA26</f>
        <v>1</v>
      </c>
      <c r="AT26" s="1">
        <f>in!BB26</f>
        <v>0</v>
      </c>
      <c r="AU26" s="1">
        <f>in!BC26</f>
        <v>0</v>
      </c>
      <c r="AV26" s="1">
        <f>in!BD26</f>
        <v>0</v>
      </c>
      <c r="AW26" s="1">
        <f>in!BE26</f>
        <v>0</v>
      </c>
      <c r="AX26" s="1">
        <f>in!BF26</f>
        <v>0</v>
      </c>
      <c r="AY26" s="1">
        <f>in!BG26</f>
        <v>0</v>
      </c>
      <c r="AZ26" s="1">
        <f>in!BH26</f>
        <v>1</v>
      </c>
      <c r="BA26" s="1">
        <f>in!BI26</f>
        <v>0</v>
      </c>
      <c r="BB26" s="1">
        <f>in!BJ26</f>
        <v>0</v>
      </c>
      <c r="BC26" s="1">
        <f>in!BK26</f>
        <v>0</v>
      </c>
      <c r="BD26" s="1">
        <f>in!BL26</f>
        <v>1</v>
      </c>
      <c r="BE26" s="1">
        <f>in!BM26</f>
        <v>1</v>
      </c>
      <c r="BF26" s="1">
        <f>in!BN26</f>
        <v>0</v>
      </c>
      <c r="BG26" s="1">
        <f>in!BO26</f>
        <v>1</v>
      </c>
      <c r="BH26" s="1">
        <f>in!BP26</f>
        <v>0</v>
      </c>
      <c r="BI26" s="1">
        <f>in!BQ26</f>
        <v>0</v>
      </c>
      <c r="BJ26" s="1">
        <f>in!BR26</f>
        <v>0</v>
      </c>
      <c r="BK26" s="1">
        <f>in!BS26</f>
        <v>1</v>
      </c>
      <c r="BL26" s="1">
        <f>in!BT26</f>
        <v>1</v>
      </c>
      <c r="BM26" s="1">
        <f>in!BU26</f>
        <v>0</v>
      </c>
      <c r="BN26" s="1">
        <f>in!BV26</f>
        <v>0</v>
      </c>
      <c r="BO26" s="1">
        <f>in!BW26</f>
        <v>0</v>
      </c>
      <c r="BP26" s="1">
        <f>in!BX26</f>
        <v>0</v>
      </c>
      <c r="BQ26" s="1">
        <f>in!BY26</f>
        <v>0</v>
      </c>
      <c r="BR26" s="1">
        <f>in!BZ26</f>
        <v>0</v>
      </c>
      <c r="BS26" s="4">
        <f t="shared" si="8"/>
        <v>16</v>
      </c>
      <c r="BT26" s="19">
        <f t="shared" si="9"/>
        <v>39.024390243902438</v>
      </c>
      <c r="BU26" s="1">
        <f>in!CA26</f>
        <v>1</v>
      </c>
      <c r="BV26" s="1">
        <f>in!CB26</f>
        <v>0</v>
      </c>
      <c r="BW26" s="1">
        <f>in!CC26</f>
        <v>1</v>
      </c>
      <c r="BX26" s="1">
        <f>in!CD26</f>
        <v>0</v>
      </c>
      <c r="BY26" s="1">
        <f>in!CE26</f>
        <v>0</v>
      </c>
      <c r="BZ26" s="1">
        <f>in!CF26</f>
        <v>0</v>
      </c>
      <c r="CA26" s="1">
        <f>in!CG26</f>
        <v>1</v>
      </c>
      <c r="CB26" s="1">
        <f>in!CH26</f>
        <v>1</v>
      </c>
      <c r="CC26" s="1">
        <f>in!CI26</f>
        <v>0</v>
      </c>
      <c r="CD26" s="1">
        <f>in!CJ26</f>
        <v>1</v>
      </c>
      <c r="CE26" s="1">
        <f>in!CK26</f>
        <v>1</v>
      </c>
      <c r="CF26" s="1">
        <f>in!CL26</f>
        <v>0</v>
      </c>
      <c r="CG26" s="1">
        <f>in!CM26</f>
        <v>0</v>
      </c>
      <c r="CH26" s="1">
        <f>in!CN26</f>
        <v>1</v>
      </c>
      <c r="CI26" s="1">
        <f>in!CO26</f>
        <v>1</v>
      </c>
      <c r="CJ26" s="1">
        <f>in!CP26</f>
        <v>0</v>
      </c>
      <c r="CK26" s="1">
        <f>in!CQ26</f>
        <v>1</v>
      </c>
      <c r="CL26" s="1">
        <f>in!CR26</f>
        <v>0</v>
      </c>
      <c r="CM26" s="1">
        <f>in!CS26</f>
        <v>0</v>
      </c>
      <c r="CN26" s="1">
        <f>in!CT26</f>
        <v>1</v>
      </c>
      <c r="CO26" s="1">
        <f>in!CU26</f>
        <v>0</v>
      </c>
      <c r="CP26" s="1">
        <f>in!CV26</f>
        <v>1</v>
      </c>
      <c r="CQ26" s="1">
        <f>in!CW26</f>
        <v>0</v>
      </c>
      <c r="CR26" s="1">
        <f>in!CX26</f>
        <v>0</v>
      </c>
      <c r="CS26" s="1">
        <f>in!CY26</f>
        <v>0</v>
      </c>
      <c r="CT26" s="5">
        <f t="shared" si="10"/>
        <v>11</v>
      </c>
      <c r="CU26" s="5">
        <f t="shared" si="11"/>
        <v>44</v>
      </c>
      <c r="CV26" s="1">
        <f>in!CZ26</f>
        <v>1</v>
      </c>
      <c r="CW26" s="1">
        <f>in!DA26</f>
        <v>0</v>
      </c>
      <c r="CX26" s="1">
        <f>in!DB26</f>
        <v>0</v>
      </c>
      <c r="CY26" s="1">
        <f>in!DC26</f>
        <v>0</v>
      </c>
      <c r="CZ26" s="1">
        <f>in!DD26</f>
        <v>0</v>
      </c>
      <c r="DA26" s="1">
        <f>in!DE26</f>
        <v>0</v>
      </c>
      <c r="DB26" s="1">
        <f>in!DF26</f>
        <v>1</v>
      </c>
      <c r="DC26" s="1">
        <f>in!DG26</f>
        <v>0</v>
      </c>
      <c r="DD26" s="1">
        <f>in!DH26</f>
        <v>1</v>
      </c>
      <c r="DE26" s="1">
        <f>in!DI26</f>
        <v>1</v>
      </c>
      <c r="DF26" s="1">
        <f>in!DJ26</f>
        <v>0</v>
      </c>
      <c r="DG26" s="1">
        <f>in!DK26</f>
        <v>0</v>
      </c>
      <c r="DH26" s="14">
        <f t="shared" si="12"/>
        <v>4</v>
      </c>
      <c r="DI26" s="14">
        <f t="shared" si="13"/>
        <v>33.333333333333336</v>
      </c>
      <c r="DJ26" s="1">
        <f>in!DL26</f>
        <v>0</v>
      </c>
      <c r="DK26" s="1">
        <f>in!DM26</f>
        <v>0</v>
      </c>
      <c r="DL26" s="1">
        <f>in!DN26</f>
        <v>0</v>
      </c>
      <c r="DM26" s="1">
        <f>in!DO26</f>
        <v>0</v>
      </c>
      <c r="DN26" s="1">
        <f>in!DP26</f>
        <v>0</v>
      </c>
      <c r="DO26" s="1">
        <f>in!DQ26</f>
        <v>0</v>
      </c>
      <c r="DP26" s="11">
        <f t="shared" si="0"/>
        <v>0</v>
      </c>
      <c r="DQ26" s="16">
        <f t="shared" si="1"/>
        <v>0</v>
      </c>
      <c r="DR26" s="1">
        <f>in!DR26</f>
        <v>0</v>
      </c>
      <c r="DS26" s="1">
        <f>in!DS26</f>
        <v>0</v>
      </c>
      <c r="DT26" s="1">
        <f>in!DT26</f>
        <v>1</v>
      </c>
      <c r="DU26" s="1">
        <f>in!DU26</f>
        <v>1</v>
      </c>
      <c r="DV26" s="1">
        <f>in!DV26</f>
        <v>0</v>
      </c>
      <c r="DW26" s="1">
        <f>in!DW26</f>
        <v>0</v>
      </c>
      <c r="DX26" s="1">
        <f>in!DX26</f>
        <v>1</v>
      </c>
      <c r="DY26" s="1">
        <f>in!DY26</f>
        <v>1</v>
      </c>
      <c r="DZ26" s="15">
        <f t="shared" si="2"/>
        <v>4</v>
      </c>
      <c r="EA26" s="15">
        <f t="shared" si="3"/>
        <v>50</v>
      </c>
      <c r="EB26" s="1">
        <f>in!DZ26</f>
        <v>1</v>
      </c>
      <c r="EC26" s="1">
        <f>in!EA26</f>
        <v>0</v>
      </c>
      <c r="ED26" s="1">
        <f>in!EB26</f>
        <v>1</v>
      </c>
      <c r="EE26" s="20">
        <f t="shared" si="4"/>
        <v>2</v>
      </c>
      <c r="EF26" s="20">
        <f t="shared" si="5"/>
        <v>66.666666666666671</v>
      </c>
    </row>
    <row r="27" spans="1:136" x14ac:dyDescent="0.35">
      <c r="A27" s="43" t="str">
        <f>in!D27</f>
        <v>MARQUEZ BARRAGAN DAIVER JOSE</v>
      </c>
      <c r="B27" s="43">
        <f>in!E27</f>
        <v>6207</v>
      </c>
      <c r="C27" s="1">
        <f>in!M27</f>
        <v>1</v>
      </c>
      <c r="D27" s="1">
        <f>in!N27</f>
        <v>0</v>
      </c>
      <c r="E27" s="1">
        <f>in!O27</f>
        <v>1</v>
      </c>
      <c r="F27" s="1">
        <f>in!P27</f>
        <v>0</v>
      </c>
      <c r="G27" s="1">
        <f>in!Q27</f>
        <v>0</v>
      </c>
      <c r="H27" s="1">
        <f>in!R27</f>
        <v>0</v>
      </c>
      <c r="I27" s="1">
        <f>in!S27</f>
        <v>0</v>
      </c>
      <c r="J27" s="1">
        <f>in!T27</f>
        <v>0</v>
      </c>
      <c r="K27" s="1">
        <f>in!U27</f>
        <v>1</v>
      </c>
      <c r="L27" s="1">
        <f>in!V27</f>
        <v>1</v>
      </c>
      <c r="M27" s="1">
        <f>in!W27</f>
        <v>1</v>
      </c>
      <c r="N27" s="1">
        <f>in!X27</f>
        <v>0</v>
      </c>
      <c r="O27" s="1">
        <f>in!Y27</f>
        <v>0</v>
      </c>
      <c r="P27" s="1">
        <f>in!Z27</f>
        <v>0</v>
      </c>
      <c r="Q27" s="1">
        <f>in!AA27</f>
        <v>0</v>
      </c>
      <c r="R27" s="1">
        <f>in!AB27</f>
        <v>1</v>
      </c>
      <c r="S27" s="1">
        <f>in!AC27</f>
        <v>0</v>
      </c>
      <c r="T27" s="1">
        <f>in!AD27</f>
        <v>0</v>
      </c>
      <c r="U27" s="1">
        <f>in!AE27</f>
        <v>1</v>
      </c>
      <c r="V27" s="1">
        <f>in!AF27</f>
        <v>0</v>
      </c>
      <c r="W27" s="1">
        <f>in!AG27</f>
        <v>0</v>
      </c>
      <c r="X27" s="1">
        <f>in!AH27</f>
        <v>1</v>
      </c>
      <c r="Y27" s="1">
        <f>in!AI27</f>
        <v>0</v>
      </c>
      <c r="Z27" s="1">
        <f>in!AJ27</f>
        <v>1</v>
      </c>
      <c r="AA27" s="1">
        <f>in!AK27</f>
        <v>0</v>
      </c>
      <c r="AB27" s="3">
        <f t="shared" si="6"/>
        <v>9</v>
      </c>
      <c r="AC27" s="3">
        <f t="shared" si="7"/>
        <v>36</v>
      </c>
      <c r="AD27" s="1">
        <f>in!AL27</f>
        <v>0</v>
      </c>
      <c r="AE27" s="1">
        <f>in!AM27</f>
        <v>0</v>
      </c>
      <c r="AF27" s="1">
        <f>in!AN27</f>
        <v>0</v>
      </c>
      <c r="AG27" s="1">
        <f>in!AO27</f>
        <v>0</v>
      </c>
      <c r="AH27" s="1">
        <f>in!AP27</f>
        <v>1</v>
      </c>
      <c r="AI27" s="1">
        <f>in!AQ27</f>
        <v>1</v>
      </c>
      <c r="AJ27" s="1">
        <f>in!AR27</f>
        <v>0</v>
      </c>
      <c r="AK27" s="1">
        <f>in!AS27</f>
        <v>0</v>
      </c>
      <c r="AL27" s="1">
        <f>in!AT27</f>
        <v>0</v>
      </c>
      <c r="AM27" s="1">
        <f>in!AU27</f>
        <v>1</v>
      </c>
      <c r="AN27" s="1">
        <f>in!AV27</f>
        <v>1</v>
      </c>
      <c r="AO27" s="1">
        <f>in!AW27</f>
        <v>1</v>
      </c>
      <c r="AP27" s="1">
        <f>in!AX27</f>
        <v>0</v>
      </c>
      <c r="AQ27" s="1">
        <f>in!AY27</f>
        <v>1</v>
      </c>
      <c r="AR27" s="1">
        <f>in!AZ27</f>
        <v>0</v>
      </c>
      <c r="AS27" s="1">
        <f>in!BA27</f>
        <v>0</v>
      </c>
      <c r="AT27" s="1">
        <f>in!BB27</f>
        <v>1</v>
      </c>
      <c r="AU27" s="1">
        <f>in!BC27</f>
        <v>1</v>
      </c>
      <c r="AV27" s="1">
        <f>in!BD27</f>
        <v>0</v>
      </c>
      <c r="AW27" s="1">
        <f>in!BE27</f>
        <v>0</v>
      </c>
      <c r="AX27" s="1">
        <f>in!BF27</f>
        <v>0</v>
      </c>
      <c r="AY27" s="1">
        <f>in!BG27</f>
        <v>0</v>
      </c>
      <c r="AZ27" s="1">
        <f>in!BH27</f>
        <v>0</v>
      </c>
      <c r="BA27" s="1">
        <f>in!BI27</f>
        <v>0</v>
      </c>
      <c r="BB27" s="1">
        <f>in!BJ27</f>
        <v>0</v>
      </c>
      <c r="BC27" s="1">
        <f>in!BK27</f>
        <v>1</v>
      </c>
      <c r="BD27" s="1">
        <f>in!BL27</f>
        <v>1</v>
      </c>
      <c r="BE27" s="1">
        <f>in!BM27</f>
        <v>1</v>
      </c>
      <c r="BF27" s="1">
        <f>in!BN27</f>
        <v>0</v>
      </c>
      <c r="BG27" s="1">
        <f>in!BO27</f>
        <v>0</v>
      </c>
      <c r="BH27" s="1">
        <f>in!BP27</f>
        <v>1</v>
      </c>
      <c r="BI27" s="1">
        <f>in!BQ27</f>
        <v>1</v>
      </c>
      <c r="BJ27" s="1">
        <f>in!BR27</f>
        <v>1</v>
      </c>
      <c r="BK27" s="1">
        <f>in!BS27</f>
        <v>0</v>
      </c>
      <c r="BL27" s="1">
        <f>in!BT27</f>
        <v>0</v>
      </c>
      <c r="BM27" s="1">
        <f>in!BU27</f>
        <v>1</v>
      </c>
      <c r="BN27" s="1">
        <f>in!BV27</f>
        <v>0</v>
      </c>
      <c r="BO27" s="1">
        <f>in!BW27</f>
        <v>0</v>
      </c>
      <c r="BP27" s="1">
        <f>in!BX27</f>
        <v>1</v>
      </c>
      <c r="BQ27" s="1">
        <f>in!BY27</f>
        <v>0</v>
      </c>
      <c r="BR27" s="1">
        <f>in!BZ27</f>
        <v>1</v>
      </c>
      <c r="BS27" s="4">
        <f t="shared" si="8"/>
        <v>17</v>
      </c>
      <c r="BT27" s="19">
        <f t="shared" si="9"/>
        <v>41.463414634146339</v>
      </c>
      <c r="BU27" s="1">
        <f>in!CA27</f>
        <v>0</v>
      </c>
      <c r="BV27" s="1">
        <f>in!CB27</f>
        <v>1</v>
      </c>
      <c r="BW27" s="1">
        <f>in!CC27</f>
        <v>1</v>
      </c>
      <c r="BX27" s="1">
        <f>in!CD27</f>
        <v>1</v>
      </c>
      <c r="BY27" s="1">
        <f>in!CE27</f>
        <v>0</v>
      </c>
      <c r="BZ27" s="1">
        <f>in!CF27</f>
        <v>0</v>
      </c>
      <c r="CA27" s="1">
        <f>in!CG27</f>
        <v>0</v>
      </c>
      <c r="CB27" s="1">
        <f>in!CH27</f>
        <v>0</v>
      </c>
      <c r="CC27" s="1">
        <f>in!CI27</f>
        <v>0</v>
      </c>
      <c r="CD27" s="1">
        <f>in!CJ27</f>
        <v>0</v>
      </c>
      <c r="CE27" s="1">
        <f>in!CK27</f>
        <v>0</v>
      </c>
      <c r="CF27" s="1">
        <f>in!CL27</f>
        <v>0</v>
      </c>
      <c r="CG27" s="1">
        <f>in!CM27</f>
        <v>0</v>
      </c>
      <c r="CH27" s="1">
        <f>in!CN27</f>
        <v>1</v>
      </c>
      <c r="CI27" s="1">
        <f>in!CO27</f>
        <v>0</v>
      </c>
      <c r="CJ27" s="1">
        <f>in!CP27</f>
        <v>0</v>
      </c>
      <c r="CK27" s="1">
        <f>in!CQ27</f>
        <v>0</v>
      </c>
      <c r="CL27" s="1">
        <f>in!CR27</f>
        <v>1</v>
      </c>
      <c r="CM27" s="1">
        <f>in!CS27</f>
        <v>0</v>
      </c>
      <c r="CN27" s="1">
        <f>in!CT27</f>
        <v>0</v>
      </c>
      <c r="CO27" s="1">
        <f>in!CU27</f>
        <v>0</v>
      </c>
      <c r="CP27" s="1">
        <f>in!CV27</f>
        <v>0</v>
      </c>
      <c r="CQ27" s="1">
        <f>in!CW27</f>
        <v>0</v>
      </c>
      <c r="CR27" s="1">
        <f>in!CX27</f>
        <v>0</v>
      </c>
      <c r="CS27" s="1">
        <f>in!CY27</f>
        <v>0</v>
      </c>
      <c r="CT27" s="5">
        <f t="shared" si="10"/>
        <v>5</v>
      </c>
      <c r="CU27" s="5">
        <f t="shared" si="11"/>
        <v>20</v>
      </c>
      <c r="CV27" s="1">
        <f>in!CZ27</f>
        <v>0</v>
      </c>
      <c r="CW27" s="1">
        <f>in!DA27</f>
        <v>1</v>
      </c>
      <c r="CX27" s="1">
        <f>in!DB27</f>
        <v>0</v>
      </c>
      <c r="CY27" s="1">
        <f>in!DC27</f>
        <v>1</v>
      </c>
      <c r="CZ27" s="1">
        <f>in!DD27</f>
        <v>0</v>
      </c>
      <c r="DA27" s="1">
        <f>in!DE27</f>
        <v>0</v>
      </c>
      <c r="DB27" s="1">
        <f>in!DF27</f>
        <v>0</v>
      </c>
      <c r="DC27" s="1">
        <f>in!DG27</f>
        <v>0</v>
      </c>
      <c r="DD27" s="1">
        <f>in!DH27</f>
        <v>0</v>
      </c>
      <c r="DE27" s="1">
        <f>in!DI27</f>
        <v>1</v>
      </c>
      <c r="DF27" s="1">
        <f>in!DJ27</f>
        <v>0</v>
      </c>
      <c r="DG27" s="1">
        <f>in!DK27</f>
        <v>0</v>
      </c>
      <c r="DH27" s="14">
        <f t="shared" si="12"/>
        <v>3</v>
      </c>
      <c r="DI27" s="14">
        <f t="shared" si="13"/>
        <v>25</v>
      </c>
      <c r="DJ27" s="1">
        <f>in!DL27</f>
        <v>0</v>
      </c>
      <c r="DK27" s="1">
        <f>in!DM27</f>
        <v>0</v>
      </c>
      <c r="DL27" s="1">
        <f>in!DN27</f>
        <v>0</v>
      </c>
      <c r="DM27" s="1">
        <f>in!DO27</f>
        <v>1</v>
      </c>
      <c r="DN27" s="1">
        <f>in!DP27</f>
        <v>1</v>
      </c>
      <c r="DO27" s="1">
        <f>in!DQ27</f>
        <v>0</v>
      </c>
      <c r="DP27" s="11">
        <f t="shared" si="0"/>
        <v>2</v>
      </c>
      <c r="DQ27" s="16">
        <f t="shared" si="1"/>
        <v>33.333333333333336</v>
      </c>
      <c r="DR27" s="1">
        <f>in!DR27</f>
        <v>1</v>
      </c>
      <c r="DS27" s="1">
        <f>in!DS27</f>
        <v>0</v>
      </c>
      <c r="DT27" s="1">
        <f>in!DT27</f>
        <v>0</v>
      </c>
      <c r="DU27" s="1">
        <f>in!DU27</f>
        <v>0</v>
      </c>
      <c r="DV27" s="1">
        <f>in!DV27</f>
        <v>1</v>
      </c>
      <c r="DW27" s="1">
        <f>in!DW27</f>
        <v>1</v>
      </c>
      <c r="DX27" s="1">
        <f>in!DX27</f>
        <v>1</v>
      </c>
      <c r="DY27" s="1">
        <f>in!DY27</f>
        <v>0</v>
      </c>
      <c r="DZ27" s="15">
        <f t="shared" si="2"/>
        <v>4</v>
      </c>
      <c r="EA27" s="15">
        <f t="shared" si="3"/>
        <v>50</v>
      </c>
      <c r="EB27" s="1">
        <f>in!DZ27</f>
        <v>0</v>
      </c>
      <c r="EC27" s="1">
        <f>in!EA27</f>
        <v>0</v>
      </c>
      <c r="ED27" s="1">
        <f>in!EB27</f>
        <v>1</v>
      </c>
      <c r="EE27" s="20">
        <f t="shared" si="4"/>
        <v>1</v>
      </c>
      <c r="EF27" s="20">
        <f t="shared" si="5"/>
        <v>33.333333333333336</v>
      </c>
    </row>
    <row r="28" spans="1:136" x14ac:dyDescent="0.35">
      <c r="A28" s="43" t="str">
        <f>in!D28</f>
        <v>MARQUEZ CERMEÑO ELY JOHANA</v>
      </c>
      <c r="B28" s="43">
        <f>in!E28</f>
        <v>6208</v>
      </c>
      <c r="C28" s="1">
        <f>in!M28</f>
        <v>0</v>
      </c>
      <c r="D28" s="1">
        <f>in!N28</f>
        <v>0</v>
      </c>
      <c r="E28" s="1">
        <f>in!O28</f>
        <v>0</v>
      </c>
      <c r="F28" s="1">
        <f>in!P28</f>
        <v>0</v>
      </c>
      <c r="G28" s="1">
        <f>in!Q28</f>
        <v>0</v>
      </c>
      <c r="H28" s="1">
        <f>in!R28</f>
        <v>0</v>
      </c>
      <c r="I28" s="1">
        <f>in!S28</f>
        <v>0</v>
      </c>
      <c r="J28" s="1">
        <f>in!T28</f>
        <v>0</v>
      </c>
      <c r="K28" s="1">
        <f>in!U28</f>
        <v>1</v>
      </c>
      <c r="L28" s="1">
        <f>in!V28</f>
        <v>1</v>
      </c>
      <c r="M28" s="1">
        <f>in!W28</f>
        <v>0</v>
      </c>
      <c r="N28" s="1">
        <f>in!X28</f>
        <v>1</v>
      </c>
      <c r="O28" s="1">
        <f>in!Y28</f>
        <v>0</v>
      </c>
      <c r="P28" s="1">
        <f>in!Z28</f>
        <v>0</v>
      </c>
      <c r="Q28" s="1">
        <f>in!AA28</f>
        <v>1</v>
      </c>
      <c r="R28" s="1">
        <f>in!AB28</f>
        <v>0</v>
      </c>
      <c r="S28" s="1">
        <f>in!AC28</f>
        <v>0</v>
      </c>
      <c r="T28" s="1">
        <f>in!AD28</f>
        <v>1</v>
      </c>
      <c r="U28" s="1">
        <f>in!AE28</f>
        <v>0</v>
      </c>
      <c r="V28" s="1">
        <f>in!AF28</f>
        <v>0</v>
      </c>
      <c r="W28" s="1">
        <f>in!AG28</f>
        <v>1</v>
      </c>
      <c r="X28" s="1">
        <f>in!AH28</f>
        <v>1</v>
      </c>
      <c r="Y28" s="1">
        <f>in!AI28</f>
        <v>0</v>
      </c>
      <c r="Z28" s="1">
        <f>in!AJ28</f>
        <v>0</v>
      </c>
      <c r="AA28" s="1">
        <f>in!AK28</f>
        <v>0</v>
      </c>
      <c r="AB28" s="3">
        <f t="shared" si="6"/>
        <v>7</v>
      </c>
      <c r="AC28" s="3">
        <f t="shared" si="7"/>
        <v>28</v>
      </c>
      <c r="AD28" s="1">
        <f>in!AL28</f>
        <v>0</v>
      </c>
      <c r="AE28" s="1">
        <f>in!AM28</f>
        <v>0</v>
      </c>
      <c r="AF28" s="1">
        <f>in!AN28</f>
        <v>0</v>
      </c>
      <c r="AG28" s="1">
        <f>in!AO28</f>
        <v>0</v>
      </c>
      <c r="AH28" s="1">
        <f>in!AP28</f>
        <v>1</v>
      </c>
      <c r="AI28" s="1">
        <f>in!AQ28</f>
        <v>0</v>
      </c>
      <c r="AJ28" s="1">
        <f>in!AR28</f>
        <v>0</v>
      </c>
      <c r="AK28" s="1">
        <f>in!AS28</f>
        <v>1</v>
      </c>
      <c r="AL28" s="1">
        <f>in!AT28</f>
        <v>0</v>
      </c>
      <c r="AM28" s="1">
        <f>in!AU28</f>
        <v>1</v>
      </c>
      <c r="AN28" s="1">
        <f>in!AV28</f>
        <v>1</v>
      </c>
      <c r="AO28" s="1">
        <f>in!AW28</f>
        <v>0</v>
      </c>
      <c r="AP28" s="1">
        <f>in!AX28</f>
        <v>1</v>
      </c>
      <c r="AQ28" s="1">
        <f>in!AY28</f>
        <v>0</v>
      </c>
      <c r="AR28" s="1">
        <f>in!AZ28</f>
        <v>1</v>
      </c>
      <c r="AS28" s="1">
        <f>in!BA28</f>
        <v>0</v>
      </c>
      <c r="AT28" s="1">
        <f>in!BB28</f>
        <v>0</v>
      </c>
      <c r="AU28" s="1">
        <f>in!BC28</f>
        <v>0</v>
      </c>
      <c r="AV28" s="1">
        <f>in!BD28</f>
        <v>0</v>
      </c>
      <c r="AW28" s="1">
        <f>in!BE28</f>
        <v>0</v>
      </c>
      <c r="AX28" s="1">
        <f>in!BF28</f>
        <v>0</v>
      </c>
      <c r="AY28" s="1">
        <f>in!BG28</f>
        <v>0</v>
      </c>
      <c r="AZ28" s="1">
        <f>in!BH28</f>
        <v>1</v>
      </c>
      <c r="BA28" s="1">
        <f>in!BI28</f>
        <v>0</v>
      </c>
      <c r="BB28" s="1">
        <f>in!BJ28</f>
        <v>1</v>
      </c>
      <c r="BC28" s="1">
        <f>in!BK28</f>
        <v>0</v>
      </c>
      <c r="BD28" s="1">
        <f>in!BL28</f>
        <v>0</v>
      </c>
      <c r="BE28" s="1">
        <f>in!BM28</f>
        <v>0</v>
      </c>
      <c r="BF28" s="1">
        <f>in!BN28</f>
        <v>0</v>
      </c>
      <c r="BG28" s="1">
        <f>in!BO28</f>
        <v>0</v>
      </c>
      <c r="BH28" s="1">
        <f>in!BP28</f>
        <v>0</v>
      </c>
      <c r="BI28" s="1">
        <f>in!BQ28</f>
        <v>0</v>
      </c>
      <c r="BJ28" s="1">
        <f>in!BR28</f>
        <v>0</v>
      </c>
      <c r="BK28" s="1">
        <f>in!BS28</f>
        <v>0</v>
      </c>
      <c r="BL28" s="1">
        <f>in!BT28</f>
        <v>0</v>
      </c>
      <c r="BM28" s="1">
        <f>in!BU28</f>
        <v>0</v>
      </c>
      <c r="BN28" s="1">
        <f>in!BV28</f>
        <v>0</v>
      </c>
      <c r="BO28" s="1">
        <f>in!BW28</f>
        <v>0</v>
      </c>
      <c r="BP28" s="1">
        <f>in!BX28</f>
        <v>1</v>
      </c>
      <c r="BQ28" s="1">
        <f>in!BY28</f>
        <v>0</v>
      </c>
      <c r="BR28" s="1">
        <f>in!BZ28</f>
        <v>0</v>
      </c>
      <c r="BS28" s="4">
        <f t="shared" si="8"/>
        <v>9</v>
      </c>
      <c r="BT28" s="19">
        <f t="shared" si="9"/>
        <v>21.951219512195124</v>
      </c>
      <c r="BU28" s="1">
        <f>in!CA28</f>
        <v>1</v>
      </c>
      <c r="BV28" s="1">
        <f>in!CB28</f>
        <v>0</v>
      </c>
      <c r="BW28" s="1">
        <f>in!CC28</f>
        <v>1</v>
      </c>
      <c r="BX28" s="1">
        <f>in!CD28</f>
        <v>0</v>
      </c>
      <c r="BY28" s="1">
        <f>in!CE28</f>
        <v>1</v>
      </c>
      <c r="BZ28" s="1">
        <f>in!CF28</f>
        <v>0</v>
      </c>
      <c r="CA28" s="1">
        <f>in!CG28</f>
        <v>0</v>
      </c>
      <c r="CB28" s="1">
        <f>in!CH28</f>
        <v>1</v>
      </c>
      <c r="CC28" s="1">
        <f>in!CI28</f>
        <v>0</v>
      </c>
      <c r="CD28" s="1">
        <f>in!CJ28</f>
        <v>0</v>
      </c>
      <c r="CE28" s="1">
        <f>in!CK28</f>
        <v>0</v>
      </c>
      <c r="CF28" s="1">
        <f>in!CL28</f>
        <v>1</v>
      </c>
      <c r="CG28" s="1">
        <f>in!CM28</f>
        <v>1</v>
      </c>
      <c r="CH28" s="1">
        <f>in!CN28</f>
        <v>1</v>
      </c>
      <c r="CI28" s="1">
        <f>in!CO28</f>
        <v>0</v>
      </c>
      <c r="CJ28" s="1">
        <f>in!CP28</f>
        <v>0</v>
      </c>
      <c r="CK28" s="1">
        <f>in!CQ28</f>
        <v>0</v>
      </c>
      <c r="CL28" s="1">
        <f>in!CR28</f>
        <v>0</v>
      </c>
      <c r="CM28" s="1">
        <f>in!CS28</f>
        <v>1</v>
      </c>
      <c r="CN28" s="1">
        <f>in!CT28</f>
        <v>1</v>
      </c>
      <c r="CO28" s="1">
        <f>in!CU28</f>
        <v>1</v>
      </c>
      <c r="CP28" s="1">
        <f>in!CV28</f>
        <v>0</v>
      </c>
      <c r="CQ28" s="1">
        <f>in!CW28</f>
        <v>1</v>
      </c>
      <c r="CR28" s="1">
        <f>in!CX28</f>
        <v>0</v>
      </c>
      <c r="CS28" s="1">
        <f>in!CY28</f>
        <v>0</v>
      </c>
      <c r="CT28" s="5">
        <f t="shared" si="10"/>
        <v>11</v>
      </c>
      <c r="CU28" s="5">
        <f t="shared" si="11"/>
        <v>44</v>
      </c>
      <c r="CV28" s="1">
        <f>in!CZ28</f>
        <v>1</v>
      </c>
      <c r="CW28" s="1">
        <f>in!DA28</f>
        <v>1</v>
      </c>
      <c r="CX28" s="1">
        <f>in!DB28</f>
        <v>0</v>
      </c>
      <c r="CY28" s="1">
        <f>in!DC28</f>
        <v>0</v>
      </c>
      <c r="CZ28" s="1">
        <f>in!DD28</f>
        <v>0</v>
      </c>
      <c r="DA28" s="1">
        <f>in!DE28</f>
        <v>1</v>
      </c>
      <c r="DB28" s="1">
        <f>in!DF28</f>
        <v>1</v>
      </c>
      <c r="DC28" s="1">
        <f>in!DG28</f>
        <v>0</v>
      </c>
      <c r="DD28" s="1">
        <f>in!DH28</f>
        <v>0</v>
      </c>
      <c r="DE28" s="1">
        <f>in!DI28</f>
        <v>0</v>
      </c>
      <c r="DF28" s="1">
        <f>in!DJ28</f>
        <v>0</v>
      </c>
      <c r="DG28" s="1">
        <f>in!DK28</f>
        <v>0</v>
      </c>
      <c r="DH28" s="14">
        <f t="shared" si="12"/>
        <v>4</v>
      </c>
      <c r="DI28" s="14">
        <f t="shared" si="13"/>
        <v>33.333333333333336</v>
      </c>
      <c r="DJ28" s="1">
        <f>in!DL28</f>
        <v>0</v>
      </c>
      <c r="DK28" s="1">
        <f>in!DM28</f>
        <v>1</v>
      </c>
      <c r="DL28" s="1">
        <f>in!DN28</f>
        <v>0</v>
      </c>
      <c r="DM28" s="1">
        <f>in!DO28</f>
        <v>1</v>
      </c>
      <c r="DN28" s="1">
        <f>in!DP28</f>
        <v>0</v>
      </c>
      <c r="DO28" s="1">
        <f>in!DQ28</f>
        <v>0</v>
      </c>
      <c r="DP28" s="11">
        <f t="shared" si="0"/>
        <v>2</v>
      </c>
      <c r="DQ28" s="16">
        <f t="shared" si="1"/>
        <v>33.333333333333336</v>
      </c>
      <c r="DR28" s="1">
        <f>in!DR28</f>
        <v>0</v>
      </c>
      <c r="DS28" s="1">
        <f>in!DS28</f>
        <v>1</v>
      </c>
      <c r="DT28" s="1">
        <f>in!DT28</f>
        <v>1</v>
      </c>
      <c r="DU28" s="1">
        <f>in!DU28</f>
        <v>0</v>
      </c>
      <c r="DV28" s="1">
        <f>in!DV28</f>
        <v>1</v>
      </c>
      <c r="DW28" s="1">
        <f>in!DW28</f>
        <v>0</v>
      </c>
      <c r="DX28" s="1">
        <f>in!DX28</f>
        <v>1</v>
      </c>
      <c r="DY28" s="1">
        <f>in!DY28</f>
        <v>0</v>
      </c>
      <c r="DZ28" s="15">
        <f t="shared" si="2"/>
        <v>4</v>
      </c>
      <c r="EA28" s="15">
        <f t="shared" si="3"/>
        <v>50</v>
      </c>
      <c r="EB28" s="1">
        <f>in!DZ28</f>
        <v>0</v>
      </c>
      <c r="EC28" s="1">
        <f>in!EA28</f>
        <v>0</v>
      </c>
      <c r="ED28" s="1">
        <f>in!EB28</f>
        <v>0</v>
      </c>
      <c r="EE28" s="20">
        <f t="shared" si="4"/>
        <v>0</v>
      </c>
      <c r="EF28" s="20">
        <f t="shared" si="5"/>
        <v>0</v>
      </c>
    </row>
    <row r="29" spans="1:136" x14ac:dyDescent="0.35">
      <c r="A29" s="43" t="str">
        <f>in!D29</f>
        <v xml:space="preserve">RUIZ OLIVARES MARISOL </v>
      </c>
      <c r="B29" s="43">
        <f>in!E29</f>
        <v>6211</v>
      </c>
      <c r="C29" s="1">
        <f>in!M29</f>
        <v>1</v>
      </c>
      <c r="D29" s="1">
        <f>in!N29</f>
        <v>1</v>
      </c>
      <c r="E29" s="1">
        <f>in!O29</f>
        <v>0</v>
      </c>
      <c r="F29" s="1">
        <f>in!P29</f>
        <v>1</v>
      </c>
      <c r="G29" s="1">
        <f>in!Q29</f>
        <v>0</v>
      </c>
      <c r="H29" s="1">
        <f>in!R29</f>
        <v>0</v>
      </c>
      <c r="I29" s="1">
        <f>in!S29</f>
        <v>0</v>
      </c>
      <c r="J29" s="1">
        <f>in!T29</f>
        <v>1</v>
      </c>
      <c r="K29" s="1">
        <f>in!U29</f>
        <v>1</v>
      </c>
      <c r="L29" s="1">
        <f>in!V29</f>
        <v>1</v>
      </c>
      <c r="M29" s="1">
        <f>in!W29</f>
        <v>0</v>
      </c>
      <c r="N29" s="1">
        <f>in!X29</f>
        <v>0</v>
      </c>
      <c r="O29" s="1">
        <f>in!Y29</f>
        <v>1</v>
      </c>
      <c r="P29" s="1">
        <f>in!Z29</f>
        <v>0</v>
      </c>
      <c r="Q29" s="1">
        <f>in!AA29</f>
        <v>0</v>
      </c>
      <c r="R29" s="1">
        <f>in!AB29</f>
        <v>0</v>
      </c>
      <c r="S29" s="1">
        <f>in!AC29</f>
        <v>0</v>
      </c>
      <c r="T29" s="1">
        <f>in!AD29</f>
        <v>0</v>
      </c>
      <c r="U29" s="1">
        <f>in!AE29</f>
        <v>0</v>
      </c>
      <c r="V29" s="1">
        <f>in!AF29</f>
        <v>1</v>
      </c>
      <c r="W29" s="1">
        <f>in!AG29</f>
        <v>1</v>
      </c>
      <c r="X29" s="1">
        <f>in!AH29</f>
        <v>1</v>
      </c>
      <c r="Y29" s="1">
        <f>in!AI29</f>
        <v>0</v>
      </c>
      <c r="Z29" s="1">
        <f>in!AJ29</f>
        <v>0</v>
      </c>
      <c r="AA29" s="1">
        <f>in!AK29</f>
        <v>1</v>
      </c>
      <c r="AB29" s="3">
        <f t="shared" si="6"/>
        <v>11</v>
      </c>
      <c r="AC29" s="3">
        <f t="shared" si="7"/>
        <v>44</v>
      </c>
      <c r="AD29" s="1">
        <f>in!AL29</f>
        <v>1</v>
      </c>
      <c r="AE29" s="1">
        <f>in!AM29</f>
        <v>1</v>
      </c>
      <c r="AF29" s="1">
        <f>in!AN29</f>
        <v>0</v>
      </c>
      <c r="AG29" s="1">
        <f>in!AO29</f>
        <v>1</v>
      </c>
      <c r="AH29" s="1">
        <f>in!AP29</f>
        <v>1</v>
      </c>
      <c r="AI29" s="1">
        <f>in!AQ29</f>
        <v>1</v>
      </c>
      <c r="AJ29" s="1">
        <f>in!AR29</f>
        <v>1</v>
      </c>
      <c r="AK29" s="1">
        <f>in!AS29</f>
        <v>1</v>
      </c>
      <c r="AL29" s="1">
        <f>in!AT29</f>
        <v>0</v>
      </c>
      <c r="AM29" s="1">
        <f>in!AU29</f>
        <v>1</v>
      </c>
      <c r="AN29" s="1">
        <f>in!AV29</f>
        <v>1</v>
      </c>
      <c r="AO29" s="1">
        <f>in!AW29</f>
        <v>1</v>
      </c>
      <c r="AP29" s="1">
        <f>in!AX29</f>
        <v>0</v>
      </c>
      <c r="AQ29" s="1">
        <f>in!AY29</f>
        <v>1</v>
      </c>
      <c r="AR29" s="1">
        <f>in!AZ29</f>
        <v>1</v>
      </c>
      <c r="AS29" s="1">
        <f>in!BA29</f>
        <v>1</v>
      </c>
      <c r="AT29" s="1">
        <f>in!BB29</f>
        <v>1</v>
      </c>
      <c r="AU29" s="1">
        <f>in!BC29</f>
        <v>0</v>
      </c>
      <c r="AV29" s="1">
        <f>in!BD29</f>
        <v>1</v>
      </c>
      <c r="AW29" s="1">
        <f>in!BE29</f>
        <v>1</v>
      </c>
      <c r="AX29" s="1">
        <f>in!BF29</f>
        <v>0</v>
      </c>
      <c r="AY29" s="1">
        <f>in!BG29</f>
        <v>0</v>
      </c>
      <c r="AZ29" s="1">
        <f>in!BH29</f>
        <v>1</v>
      </c>
      <c r="BA29" s="1">
        <f>in!BI29</f>
        <v>1</v>
      </c>
      <c r="BB29" s="1">
        <f>in!BJ29</f>
        <v>1</v>
      </c>
      <c r="BC29" s="1">
        <f>in!BK29</f>
        <v>0</v>
      </c>
      <c r="BD29" s="1">
        <f>in!BL29</f>
        <v>1</v>
      </c>
      <c r="BE29" s="1">
        <f>in!BM29</f>
        <v>1</v>
      </c>
      <c r="BF29" s="1">
        <f>in!BN29</f>
        <v>0</v>
      </c>
      <c r="BG29" s="1">
        <f>in!BO29</f>
        <v>1</v>
      </c>
      <c r="BH29" s="1">
        <f>in!BP29</f>
        <v>0</v>
      </c>
      <c r="BI29" s="1">
        <f>in!BQ29</f>
        <v>0</v>
      </c>
      <c r="BJ29" s="1">
        <f>in!BR29</f>
        <v>1</v>
      </c>
      <c r="BK29" s="1">
        <f>in!BS29</f>
        <v>1</v>
      </c>
      <c r="BL29" s="1">
        <f>in!BT29</f>
        <v>0</v>
      </c>
      <c r="BM29" s="1">
        <f>in!BU29</f>
        <v>0</v>
      </c>
      <c r="BN29" s="1">
        <f>in!BV29</f>
        <v>0</v>
      </c>
      <c r="BO29" s="1">
        <f>in!BW29</f>
        <v>0</v>
      </c>
      <c r="BP29" s="1">
        <f>in!BX29</f>
        <v>0</v>
      </c>
      <c r="BQ29" s="1">
        <f>in!BY29</f>
        <v>0</v>
      </c>
      <c r="BR29" s="1">
        <f>in!BZ29</f>
        <v>1</v>
      </c>
      <c r="BS29" s="4">
        <f t="shared" si="8"/>
        <v>25</v>
      </c>
      <c r="BT29" s="19">
        <f t="shared" si="9"/>
        <v>60.975609756097562</v>
      </c>
      <c r="BU29" s="1">
        <f>in!CA29</f>
        <v>0</v>
      </c>
      <c r="BV29" s="1">
        <f>in!CB29</f>
        <v>0</v>
      </c>
      <c r="BW29" s="1">
        <f>in!CC29</f>
        <v>1</v>
      </c>
      <c r="BX29" s="1">
        <f>in!CD29</f>
        <v>0</v>
      </c>
      <c r="BY29" s="1">
        <f>in!CE29</f>
        <v>0</v>
      </c>
      <c r="BZ29" s="1">
        <f>in!CF29</f>
        <v>0</v>
      </c>
      <c r="CA29" s="1">
        <f>in!CG29</f>
        <v>0</v>
      </c>
      <c r="CB29" s="1">
        <f>in!CH29</f>
        <v>0</v>
      </c>
      <c r="CC29" s="1">
        <f>in!CI29</f>
        <v>0</v>
      </c>
      <c r="CD29" s="1">
        <f>in!CJ29</f>
        <v>0</v>
      </c>
      <c r="CE29" s="1">
        <f>in!CK29</f>
        <v>1</v>
      </c>
      <c r="CF29" s="1">
        <f>in!CL29</f>
        <v>0</v>
      </c>
      <c r="CG29" s="1">
        <f>in!CM29</f>
        <v>1</v>
      </c>
      <c r="CH29" s="1">
        <f>in!CN29</f>
        <v>0</v>
      </c>
      <c r="CI29" s="1">
        <f>in!CO29</f>
        <v>0</v>
      </c>
      <c r="CJ29" s="1">
        <f>in!CP29</f>
        <v>0</v>
      </c>
      <c r="CK29" s="1">
        <f>in!CQ29</f>
        <v>1</v>
      </c>
      <c r="CL29" s="1">
        <f>in!CR29</f>
        <v>1</v>
      </c>
      <c r="CM29" s="1">
        <f>in!CS29</f>
        <v>0</v>
      </c>
      <c r="CN29" s="1">
        <f>in!CT29</f>
        <v>1</v>
      </c>
      <c r="CO29" s="1">
        <f>in!CU29</f>
        <v>0</v>
      </c>
      <c r="CP29" s="1">
        <f>in!CV29</f>
        <v>1</v>
      </c>
      <c r="CQ29" s="1">
        <f>in!CW29</f>
        <v>1</v>
      </c>
      <c r="CR29" s="1">
        <f>in!CX29</f>
        <v>1</v>
      </c>
      <c r="CS29" s="1">
        <f>in!CY29</f>
        <v>1</v>
      </c>
      <c r="CT29" s="5">
        <f t="shared" si="10"/>
        <v>10</v>
      </c>
      <c r="CU29" s="5">
        <f t="shared" si="11"/>
        <v>40</v>
      </c>
      <c r="CV29" s="1">
        <f>in!CZ29</f>
        <v>0</v>
      </c>
      <c r="CW29" s="1">
        <f>in!DA29</f>
        <v>0</v>
      </c>
      <c r="CX29" s="1">
        <f>in!DB29</f>
        <v>0</v>
      </c>
      <c r="CY29" s="1">
        <f>in!DC29</f>
        <v>1</v>
      </c>
      <c r="CZ29" s="1">
        <f>in!DD29</f>
        <v>1</v>
      </c>
      <c r="DA29" s="1">
        <f>in!DE29</f>
        <v>0</v>
      </c>
      <c r="DB29" s="1">
        <f>in!DF29</f>
        <v>0</v>
      </c>
      <c r="DC29" s="1">
        <f>in!DG29</f>
        <v>0</v>
      </c>
      <c r="DD29" s="1">
        <f>in!DH29</f>
        <v>1</v>
      </c>
      <c r="DE29" s="1">
        <f>in!DI29</f>
        <v>1</v>
      </c>
      <c r="DF29" s="1">
        <f>in!DJ29</f>
        <v>0</v>
      </c>
      <c r="DG29" s="1">
        <f>in!DK29</f>
        <v>0</v>
      </c>
      <c r="DH29" s="14">
        <f t="shared" si="12"/>
        <v>4</v>
      </c>
      <c r="DI29" s="14">
        <f t="shared" si="13"/>
        <v>33.333333333333336</v>
      </c>
      <c r="DJ29" s="1">
        <f>in!DL29</f>
        <v>0</v>
      </c>
      <c r="DK29" s="1">
        <f>in!DM29</f>
        <v>0</v>
      </c>
      <c r="DL29" s="1">
        <f>in!DN29</f>
        <v>1</v>
      </c>
      <c r="DM29" s="1">
        <f>in!DO29</f>
        <v>0</v>
      </c>
      <c r="DN29" s="1">
        <f>in!DP29</f>
        <v>1</v>
      </c>
      <c r="DO29" s="1">
        <f>in!DQ29</f>
        <v>0</v>
      </c>
      <c r="DP29" s="11">
        <f t="shared" si="0"/>
        <v>2</v>
      </c>
      <c r="DQ29" s="16">
        <f t="shared" si="1"/>
        <v>33.333333333333336</v>
      </c>
      <c r="DR29" s="1">
        <f>in!DR29</f>
        <v>0</v>
      </c>
      <c r="DS29" s="1">
        <f>in!DS29</f>
        <v>1</v>
      </c>
      <c r="DT29" s="1">
        <f>in!DT29</f>
        <v>1</v>
      </c>
      <c r="DU29" s="1">
        <f>in!DU29</f>
        <v>0</v>
      </c>
      <c r="DV29" s="1">
        <f>in!DV29</f>
        <v>1</v>
      </c>
      <c r="DW29" s="1">
        <f>in!DW29</f>
        <v>0</v>
      </c>
      <c r="DX29" s="1">
        <f>in!DX29</f>
        <v>0</v>
      </c>
      <c r="DY29" s="1">
        <f>in!DY29</f>
        <v>1</v>
      </c>
      <c r="DZ29" s="15">
        <f t="shared" si="2"/>
        <v>4</v>
      </c>
      <c r="EA29" s="15">
        <f t="shared" si="3"/>
        <v>50</v>
      </c>
      <c r="EB29" s="1">
        <f>in!DZ29</f>
        <v>1</v>
      </c>
      <c r="EC29" s="1">
        <f>in!EA29</f>
        <v>1</v>
      </c>
      <c r="ED29" s="1">
        <f>in!EB29</f>
        <v>1</v>
      </c>
      <c r="EE29" s="20">
        <f t="shared" si="4"/>
        <v>3</v>
      </c>
      <c r="EF29" s="20">
        <f t="shared" si="5"/>
        <v>100</v>
      </c>
    </row>
    <row r="30" spans="1:136" x14ac:dyDescent="0.35">
      <c r="A30" s="43" t="str">
        <f>in!D30</f>
        <v>SOTO MARTINEZ YURANIS PAOLA</v>
      </c>
      <c r="B30" s="43">
        <f>in!E30</f>
        <v>6212</v>
      </c>
      <c r="C30" s="1">
        <f>in!M30</f>
        <v>1</v>
      </c>
      <c r="D30" s="1">
        <f>in!N30</f>
        <v>1</v>
      </c>
      <c r="E30" s="1">
        <f>in!O30</f>
        <v>0</v>
      </c>
      <c r="F30" s="1">
        <f>in!P30</f>
        <v>1</v>
      </c>
      <c r="G30" s="1">
        <f>in!Q30</f>
        <v>0</v>
      </c>
      <c r="H30" s="1">
        <f>in!R30</f>
        <v>0</v>
      </c>
      <c r="I30" s="1">
        <f>in!S30</f>
        <v>0</v>
      </c>
      <c r="J30" s="1">
        <f>in!T30</f>
        <v>0</v>
      </c>
      <c r="K30" s="1">
        <f>in!U30</f>
        <v>0</v>
      </c>
      <c r="L30" s="1">
        <f>in!V30</f>
        <v>0</v>
      </c>
      <c r="M30" s="1">
        <f>in!W30</f>
        <v>0</v>
      </c>
      <c r="N30" s="1">
        <f>in!X30</f>
        <v>0</v>
      </c>
      <c r="O30" s="1">
        <f>in!Y30</f>
        <v>0</v>
      </c>
      <c r="P30" s="1">
        <f>in!Z30</f>
        <v>0</v>
      </c>
      <c r="Q30" s="1">
        <f>in!AA30</f>
        <v>1</v>
      </c>
      <c r="R30" s="1">
        <f>in!AB30</f>
        <v>1</v>
      </c>
      <c r="S30" s="1">
        <f>in!AC30</f>
        <v>0</v>
      </c>
      <c r="T30" s="1">
        <f>in!AD30</f>
        <v>0</v>
      </c>
      <c r="U30" s="1">
        <f>in!AE30</f>
        <v>1</v>
      </c>
      <c r="V30" s="1">
        <f>in!AF30</f>
        <v>1</v>
      </c>
      <c r="W30" s="1">
        <f>in!AG30</f>
        <v>1</v>
      </c>
      <c r="X30" s="1">
        <f>in!AH30</f>
        <v>1</v>
      </c>
      <c r="Y30" s="1">
        <f>in!AI30</f>
        <v>0</v>
      </c>
      <c r="Z30" s="1">
        <f>in!AJ30</f>
        <v>0</v>
      </c>
      <c r="AA30" s="1">
        <f>in!AK30</f>
        <v>0</v>
      </c>
      <c r="AB30" s="3">
        <f t="shared" si="6"/>
        <v>9</v>
      </c>
      <c r="AC30" s="3">
        <f t="shared" si="7"/>
        <v>36</v>
      </c>
      <c r="AD30" s="1">
        <f>in!AL30</f>
        <v>1</v>
      </c>
      <c r="AE30" s="1">
        <f>in!AM30</f>
        <v>0</v>
      </c>
      <c r="AF30" s="1">
        <f>in!AN30</f>
        <v>1</v>
      </c>
      <c r="AG30" s="1">
        <f>in!AO30</f>
        <v>1</v>
      </c>
      <c r="AH30" s="1">
        <f>in!AP30</f>
        <v>0</v>
      </c>
      <c r="AI30" s="1">
        <f>in!AQ30</f>
        <v>1</v>
      </c>
      <c r="AJ30" s="1">
        <f>in!AR30</f>
        <v>1</v>
      </c>
      <c r="AK30" s="1">
        <f>in!AS30</f>
        <v>0</v>
      </c>
      <c r="AL30" s="1">
        <f>in!AT30</f>
        <v>1</v>
      </c>
      <c r="AM30" s="1">
        <f>in!AU30</f>
        <v>0</v>
      </c>
      <c r="AN30" s="1">
        <f>in!AV30</f>
        <v>0</v>
      </c>
      <c r="AO30" s="1">
        <f>in!AW30</f>
        <v>0</v>
      </c>
      <c r="AP30" s="1">
        <f>in!AX30</f>
        <v>1</v>
      </c>
      <c r="AQ30" s="1">
        <f>in!AY30</f>
        <v>1</v>
      </c>
      <c r="AR30" s="1">
        <f>in!AZ30</f>
        <v>0</v>
      </c>
      <c r="AS30" s="1">
        <f>in!BA30</f>
        <v>0</v>
      </c>
      <c r="AT30" s="1">
        <f>in!BB30</f>
        <v>0</v>
      </c>
      <c r="AU30" s="1">
        <f>in!BC30</f>
        <v>0</v>
      </c>
      <c r="AV30" s="1">
        <f>in!BD30</f>
        <v>0</v>
      </c>
      <c r="AW30" s="1">
        <f>in!BE30</f>
        <v>0</v>
      </c>
      <c r="AX30" s="1">
        <f>in!BF30</f>
        <v>0</v>
      </c>
      <c r="AY30" s="1">
        <f>in!BG30</f>
        <v>1</v>
      </c>
      <c r="AZ30" s="1">
        <f>in!BH30</f>
        <v>0</v>
      </c>
      <c r="BA30" s="1">
        <f>in!BI30</f>
        <v>1</v>
      </c>
      <c r="BB30" s="1">
        <f>in!BJ30</f>
        <v>1</v>
      </c>
      <c r="BC30" s="1">
        <f>in!BK30</f>
        <v>1</v>
      </c>
      <c r="BD30" s="1">
        <f>in!BL30</f>
        <v>0</v>
      </c>
      <c r="BE30" s="1">
        <f>in!BM30</f>
        <v>0</v>
      </c>
      <c r="BF30" s="1">
        <f>in!BN30</f>
        <v>0</v>
      </c>
      <c r="BG30" s="1">
        <f>in!BO30</f>
        <v>1</v>
      </c>
      <c r="BH30" s="1">
        <f>in!BP30</f>
        <v>0</v>
      </c>
      <c r="BI30" s="1">
        <f>in!BQ30</f>
        <v>0</v>
      </c>
      <c r="BJ30" s="1">
        <f>in!BR30</f>
        <v>0</v>
      </c>
      <c r="BK30" s="1">
        <f>in!BS30</f>
        <v>1</v>
      </c>
      <c r="BL30" s="1">
        <f>in!BT30</f>
        <v>0</v>
      </c>
      <c r="BM30" s="1">
        <f>in!BU30</f>
        <v>0</v>
      </c>
      <c r="BN30" s="1">
        <f>in!BV30</f>
        <v>1</v>
      </c>
      <c r="BO30" s="1">
        <f>in!BW30</f>
        <v>1</v>
      </c>
      <c r="BP30" s="1">
        <f>in!BX30</f>
        <v>0</v>
      </c>
      <c r="BQ30" s="1">
        <f>in!BY30</f>
        <v>1</v>
      </c>
      <c r="BR30" s="1">
        <f>in!BZ30</f>
        <v>1</v>
      </c>
      <c r="BS30" s="4">
        <f t="shared" si="8"/>
        <v>18</v>
      </c>
      <c r="BT30" s="19">
        <f t="shared" si="9"/>
        <v>43.902439024390247</v>
      </c>
      <c r="BU30" s="1">
        <f>in!CA30</f>
        <v>0</v>
      </c>
      <c r="BV30" s="1">
        <f>in!CB30</f>
        <v>0</v>
      </c>
      <c r="BW30" s="1">
        <f>in!CC30</f>
        <v>1</v>
      </c>
      <c r="BX30" s="1">
        <f>in!CD30</f>
        <v>1</v>
      </c>
      <c r="BY30" s="1">
        <f>in!CE30</f>
        <v>0</v>
      </c>
      <c r="BZ30" s="1">
        <f>in!CF30</f>
        <v>0</v>
      </c>
      <c r="CA30" s="1">
        <f>in!CG30</f>
        <v>0</v>
      </c>
      <c r="CB30" s="1">
        <f>in!CH30</f>
        <v>0</v>
      </c>
      <c r="CC30" s="1">
        <f>in!CI30</f>
        <v>0</v>
      </c>
      <c r="CD30" s="1">
        <f>in!CJ30</f>
        <v>0</v>
      </c>
      <c r="CE30" s="1">
        <f>in!CK30</f>
        <v>0</v>
      </c>
      <c r="CF30" s="1">
        <f>in!CL30</f>
        <v>1</v>
      </c>
      <c r="CG30" s="1">
        <f>in!CM30</f>
        <v>0</v>
      </c>
      <c r="CH30" s="1">
        <f>in!CN30</f>
        <v>1</v>
      </c>
      <c r="CI30" s="1">
        <f>in!CO30</f>
        <v>1</v>
      </c>
      <c r="CJ30" s="1">
        <f>in!CP30</f>
        <v>1</v>
      </c>
      <c r="CK30" s="1">
        <f>in!CQ30</f>
        <v>0</v>
      </c>
      <c r="CL30" s="1">
        <f>in!CR30</f>
        <v>0</v>
      </c>
      <c r="CM30" s="1">
        <f>in!CS30</f>
        <v>0</v>
      </c>
      <c r="CN30" s="1">
        <f>in!CT30</f>
        <v>0</v>
      </c>
      <c r="CO30" s="1">
        <f>in!CU30</f>
        <v>0</v>
      </c>
      <c r="CP30" s="1">
        <f>in!CV30</f>
        <v>1</v>
      </c>
      <c r="CQ30" s="1">
        <f>in!CW30</f>
        <v>0</v>
      </c>
      <c r="CR30" s="1">
        <f>in!CX30</f>
        <v>0</v>
      </c>
      <c r="CS30" s="1">
        <f>in!CY30</f>
        <v>0</v>
      </c>
      <c r="CT30" s="5">
        <f t="shared" si="10"/>
        <v>7</v>
      </c>
      <c r="CU30" s="5">
        <f t="shared" si="11"/>
        <v>28</v>
      </c>
      <c r="CV30" s="1">
        <f>in!CZ30</f>
        <v>0</v>
      </c>
      <c r="CW30" s="1">
        <f>in!DA30</f>
        <v>0</v>
      </c>
      <c r="CX30" s="1">
        <f>in!DB30</f>
        <v>0</v>
      </c>
      <c r="CY30" s="1">
        <f>in!DC30</f>
        <v>0</v>
      </c>
      <c r="CZ30" s="1">
        <f>in!DD30</f>
        <v>0</v>
      </c>
      <c r="DA30" s="1">
        <f>in!DE30</f>
        <v>1</v>
      </c>
      <c r="DB30" s="1">
        <f>in!DF30</f>
        <v>1</v>
      </c>
      <c r="DC30" s="1">
        <f>in!DG30</f>
        <v>0</v>
      </c>
      <c r="DD30" s="1">
        <f>in!DH30</f>
        <v>0</v>
      </c>
      <c r="DE30" s="1">
        <f>in!DI30</f>
        <v>0</v>
      </c>
      <c r="DF30" s="1">
        <f>in!DJ30</f>
        <v>0</v>
      </c>
      <c r="DG30" s="1">
        <f>in!DK30</f>
        <v>1</v>
      </c>
      <c r="DH30" s="14">
        <f t="shared" si="12"/>
        <v>3</v>
      </c>
      <c r="DI30" s="14">
        <f t="shared" si="13"/>
        <v>25</v>
      </c>
      <c r="DJ30" s="1">
        <f>in!DL30</f>
        <v>1</v>
      </c>
      <c r="DK30" s="1">
        <f>in!DM30</f>
        <v>1</v>
      </c>
      <c r="DL30" s="1">
        <f>in!DN30</f>
        <v>0</v>
      </c>
      <c r="DM30" s="1">
        <f>in!DO30</f>
        <v>0</v>
      </c>
      <c r="DN30" s="1">
        <f>in!DP30</f>
        <v>0</v>
      </c>
      <c r="DO30" s="1">
        <f>in!DQ30</f>
        <v>0</v>
      </c>
      <c r="DP30" s="11">
        <f t="shared" si="0"/>
        <v>2</v>
      </c>
      <c r="DQ30" s="16">
        <f t="shared" si="1"/>
        <v>33.333333333333336</v>
      </c>
      <c r="DR30" s="1">
        <f>in!DR30</f>
        <v>0</v>
      </c>
      <c r="DS30" s="1">
        <f>in!DS30</f>
        <v>0</v>
      </c>
      <c r="DT30" s="1">
        <f>in!DT30</f>
        <v>0</v>
      </c>
      <c r="DU30" s="1">
        <f>in!DU30</f>
        <v>0</v>
      </c>
      <c r="DV30" s="1">
        <f>in!DV30</f>
        <v>0</v>
      </c>
      <c r="DW30" s="1">
        <f>in!DW30</f>
        <v>0</v>
      </c>
      <c r="DX30" s="1">
        <f>in!DX30</f>
        <v>1</v>
      </c>
      <c r="DY30" s="1">
        <f>in!DY30</f>
        <v>1</v>
      </c>
      <c r="DZ30" s="15">
        <f t="shared" si="2"/>
        <v>2</v>
      </c>
      <c r="EA30" s="15">
        <f t="shared" si="3"/>
        <v>25</v>
      </c>
      <c r="EB30" s="1">
        <f>in!DZ30</f>
        <v>1</v>
      </c>
      <c r="EC30" s="1">
        <f>in!EA30</f>
        <v>0</v>
      </c>
      <c r="ED30" s="1">
        <f>in!EB30</f>
        <v>0</v>
      </c>
      <c r="EE30" s="20">
        <f t="shared" si="4"/>
        <v>1</v>
      </c>
      <c r="EF30" s="20">
        <f t="shared" si="5"/>
        <v>33.333333333333336</v>
      </c>
    </row>
    <row r="31" spans="1:136" x14ac:dyDescent="0.35">
      <c r="A31" s="43" t="str">
        <f>in!D31</f>
        <v>VELASQUEZ PASCACIO ADRIANA JOSÉ</v>
      </c>
      <c r="B31" s="43">
        <f>in!E31</f>
        <v>6213</v>
      </c>
      <c r="C31" s="1">
        <f>in!M31</f>
        <v>1</v>
      </c>
      <c r="D31" s="1">
        <f>in!N31</f>
        <v>1</v>
      </c>
      <c r="E31" s="1">
        <f>in!O31</f>
        <v>0</v>
      </c>
      <c r="F31" s="1">
        <f>in!P31</f>
        <v>0</v>
      </c>
      <c r="G31" s="1">
        <f>in!Q31</f>
        <v>1</v>
      </c>
      <c r="H31" s="1">
        <f>in!R31</f>
        <v>1</v>
      </c>
      <c r="I31" s="1">
        <f>in!S31</f>
        <v>0</v>
      </c>
      <c r="J31" s="1">
        <f>in!T31</f>
        <v>1</v>
      </c>
      <c r="K31" s="1">
        <f>in!U31</f>
        <v>1</v>
      </c>
      <c r="L31" s="1">
        <f>in!V31</f>
        <v>0</v>
      </c>
      <c r="M31" s="1">
        <f>in!W31</f>
        <v>0</v>
      </c>
      <c r="N31" s="1">
        <f>in!X31</f>
        <v>0</v>
      </c>
      <c r="O31" s="1">
        <f>in!Y31</f>
        <v>0</v>
      </c>
      <c r="P31" s="1">
        <f>in!Z31</f>
        <v>0</v>
      </c>
      <c r="Q31" s="1">
        <f>in!AA31</f>
        <v>0</v>
      </c>
      <c r="R31" s="1">
        <f>in!AB31</f>
        <v>1</v>
      </c>
      <c r="S31" s="1">
        <f>in!AC31</f>
        <v>0</v>
      </c>
      <c r="T31" s="1">
        <f>in!AD31</f>
        <v>0</v>
      </c>
      <c r="U31" s="1">
        <f>in!AE31</f>
        <v>0</v>
      </c>
      <c r="V31" s="1">
        <f>in!AF31</f>
        <v>0</v>
      </c>
      <c r="W31" s="1">
        <f>in!AG31</f>
        <v>0</v>
      </c>
      <c r="X31" s="1">
        <f>in!AH31</f>
        <v>0</v>
      </c>
      <c r="Y31" s="1">
        <f>in!AI31</f>
        <v>0</v>
      </c>
      <c r="Z31" s="1">
        <f>in!AJ31</f>
        <v>0</v>
      </c>
      <c r="AA31" s="1">
        <f>in!AK31</f>
        <v>0</v>
      </c>
      <c r="AB31" s="3">
        <f t="shared" si="6"/>
        <v>7</v>
      </c>
      <c r="AC31" s="3">
        <f t="shared" si="7"/>
        <v>28</v>
      </c>
      <c r="AD31" s="1">
        <f>in!AL31</f>
        <v>1</v>
      </c>
      <c r="AE31" s="1">
        <f>in!AM31</f>
        <v>0</v>
      </c>
      <c r="AF31" s="1">
        <f>in!AN31</f>
        <v>0</v>
      </c>
      <c r="AG31" s="1">
        <f>in!AO31</f>
        <v>1</v>
      </c>
      <c r="AH31" s="1">
        <f>in!AP31</f>
        <v>0</v>
      </c>
      <c r="AI31" s="1">
        <f>in!AQ31</f>
        <v>0</v>
      </c>
      <c r="AJ31" s="1">
        <f>in!AR31</f>
        <v>0</v>
      </c>
      <c r="AK31" s="1">
        <f>in!AS31</f>
        <v>0</v>
      </c>
      <c r="AL31" s="1">
        <f>in!AT31</f>
        <v>0</v>
      </c>
      <c r="AM31" s="1">
        <f>in!AU31</f>
        <v>1</v>
      </c>
      <c r="AN31" s="1">
        <f>in!AV31</f>
        <v>0</v>
      </c>
      <c r="AO31" s="1">
        <f>in!AW31</f>
        <v>0</v>
      </c>
      <c r="AP31" s="1">
        <f>in!AX31</f>
        <v>0</v>
      </c>
      <c r="AQ31" s="1">
        <f>in!AY31</f>
        <v>0</v>
      </c>
      <c r="AR31" s="1">
        <f>in!AZ31</f>
        <v>0</v>
      </c>
      <c r="AS31" s="1">
        <f>in!BA31</f>
        <v>0</v>
      </c>
      <c r="AT31" s="1">
        <f>in!BB31</f>
        <v>0</v>
      </c>
      <c r="AU31" s="1">
        <f>in!BC31</f>
        <v>0</v>
      </c>
      <c r="AV31" s="1">
        <f>in!BD31</f>
        <v>1</v>
      </c>
      <c r="AW31" s="1">
        <f>in!BE31</f>
        <v>0</v>
      </c>
      <c r="AX31" s="1">
        <f>in!BF31</f>
        <v>0</v>
      </c>
      <c r="AY31" s="1">
        <f>in!BG31</f>
        <v>0</v>
      </c>
      <c r="AZ31" s="1">
        <f>in!BH31</f>
        <v>0</v>
      </c>
      <c r="BA31" s="1">
        <f>in!BI31</f>
        <v>0</v>
      </c>
      <c r="BB31" s="1">
        <f>in!BJ31</f>
        <v>0</v>
      </c>
      <c r="BC31" s="1">
        <f>in!BK31</f>
        <v>0</v>
      </c>
      <c r="BD31" s="1">
        <f>in!BL31</f>
        <v>0</v>
      </c>
      <c r="BE31" s="1">
        <f>in!BM31</f>
        <v>0</v>
      </c>
      <c r="BF31" s="1">
        <f>in!BN31</f>
        <v>0</v>
      </c>
      <c r="BG31" s="1">
        <f>in!BO31</f>
        <v>0</v>
      </c>
      <c r="BH31" s="1">
        <f>in!BP31</f>
        <v>1</v>
      </c>
      <c r="BI31" s="1">
        <f>in!BQ31</f>
        <v>0</v>
      </c>
      <c r="BJ31" s="1">
        <f>in!BR31</f>
        <v>0</v>
      </c>
      <c r="BK31" s="1">
        <f>in!BS31</f>
        <v>1</v>
      </c>
      <c r="BL31" s="1">
        <f>in!BT31</f>
        <v>0</v>
      </c>
      <c r="BM31" s="1">
        <f>in!BU31</f>
        <v>0</v>
      </c>
      <c r="BN31" s="1">
        <f>in!BV31</f>
        <v>0</v>
      </c>
      <c r="BO31" s="1">
        <f>in!BW31</f>
        <v>1</v>
      </c>
      <c r="BP31" s="1">
        <f>in!BX31</f>
        <v>1</v>
      </c>
      <c r="BQ31" s="1">
        <f>in!BY31</f>
        <v>0</v>
      </c>
      <c r="BR31" s="1">
        <f>in!BZ31</f>
        <v>0</v>
      </c>
      <c r="BS31" s="4">
        <f t="shared" si="8"/>
        <v>8</v>
      </c>
      <c r="BT31" s="19">
        <f t="shared" si="9"/>
        <v>19.512195121951219</v>
      </c>
      <c r="BU31" s="1">
        <f>in!CA31</f>
        <v>1</v>
      </c>
      <c r="BV31" s="1">
        <f>in!CB31</f>
        <v>0</v>
      </c>
      <c r="BW31" s="1">
        <f>in!CC31</f>
        <v>1</v>
      </c>
      <c r="BX31" s="1">
        <f>in!CD31</f>
        <v>0</v>
      </c>
      <c r="BY31" s="1">
        <f>in!CE31</f>
        <v>0</v>
      </c>
      <c r="BZ31" s="1">
        <f>in!CF31</f>
        <v>1</v>
      </c>
      <c r="CA31" s="1">
        <f>in!CG31</f>
        <v>0</v>
      </c>
      <c r="CB31" s="1">
        <f>in!CH31</f>
        <v>1</v>
      </c>
      <c r="CC31" s="1">
        <f>in!CI31</f>
        <v>0</v>
      </c>
      <c r="CD31" s="1">
        <f>in!CJ31</f>
        <v>0</v>
      </c>
      <c r="CE31" s="1">
        <f>in!CK31</f>
        <v>0</v>
      </c>
      <c r="CF31" s="1">
        <f>in!CL31</f>
        <v>0</v>
      </c>
      <c r="CG31" s="1">
        <f>in!CM31</f>
        <v>0</v>
      </c>
      <c r="CH31" s="1">
        <f>in!CN31</f>
        <v>0</v>
      </c>
      <c r="CI31" s="1">
        <f>in!CO31</f>
        <v>1</v>
      </c>
      <c r="CJ31" s="1">
        <f>in!CP31</f>
        <v>0</v>
      </c>
      <c r="CK31" s="1">
        <f>in!CQ31</f>
        <v>1</v>
      </c>
      <c r="CL31" s="1">
        <f>in!CR31</f>
        <v>1</v>
      </c>
      <c r="CM31" s="1">
        <f>in!CS31</f>
        <v>0</v>
      </c>
      <c r="CN31" s="1">
        <f>in!CT31</f>
        <v>0</v>
      </c>
      <c r="CO31" s="1">
        <f>in!CU31</f>
        <v>0</v>
      </c>
      <c r="CP31" s="1">
        <f>in!CV31</f>
        <v>1</v>
      </c>
      <c r="CQ31" s="1">
        <f>in!CW31</f>
        <v>0</v>
      </c>
      <c r="CR31" s="1">
        <f>in!CX31</f>
        <v>0</v>
      </c>
      <c r="CS31" s="1">
        <f>in!CY31</f>
        <v>0</v>
      </c>
      <c r="CT31" s="5">
        <f t="shared" si="10"/>
        <v>8</v>
      </c>
      <c r="CU31" s="5">
        <f t="shared" si="11"/>
        <v>32</v>
      </c>
      <c r="CV31" s="1">
        <f>in!CZ31</f>
        <v>0</v>
      </c>
      <c r="CW31" s="1">
        <f>in!DA31</f>
        <v>1</v>
      </c>
      <c r="CX31" s="1">
        <f>in!DB31</f>
        <v>1</v>
      </c>
      <c r="CY31" s="1">
        <f>in!DC31</f>
        <v>1</v>
      </c>
      <c r="CZ31" s="1">
        <f>in!DD31</f>
        <v>0</v>
      </c>
      <c r="DA31" s="1">
        <f>in!DE31</f>
        <v>0</v>
      </c>
      <c r="DB31" s="1">
        <f>in!DF31</f>
        <v>0</v>
      </c>
      <c r="DC31" s="1">
        <f>in!DG31</f>
        <v>0</v>
      </c>
      <c r="DD31" s="1">
        <f>in!DH31</f>
        <v>1</v>
      </c>
      <c r="DE31" s="1">
        <f>in!DI31</f>
        <v>1</v>
      </c>
      <c r="DF31" s="1">
        <f>in!DJ31</f>
        <v>0</v>
      </c>
      <c r="DG31" s="1">
        <f>in!DK31</f>
        <v>1</v>
      </c>
      <c r="DH31" s="14">
        <f t="shared" si="12"/>
        <v>6</v>
      </c>
      <c r="DI31" s="14">
        <f t="shared" si="13"/>
        <v>50</v>
      </c>
      <c r="DJ31" s="1">
        <f>in!DL31</f>
        <v>0</v>
      </c>
      <c r="DK31" s="1">
        <f>in!DM31</f>
        <v>0</v>
      </c>
      <c r="DL31" s="1">
        <f>in!DN31</f>
        <v>1</v>
      </c>
      <c r="DM31" s="1">
        <f>in!DO31</f>
        <v>0</v>
      </c>
      <c r="DN31" s="1">
        <f>in!DP31</f>
        <v>1</v>
      </c>
      <c r="DO31" s="1">
        <f>in!DQ31</f>
        <v>0</v>
      </c>
      <c r="DP31" s="11">
        <f t="shared" si="0"/>
        <v>2</v>
      </c>
      <c r="DQ31" s="16">
        <f t="shared" si="1"/>
        <v>33.333333333333336</v>
      </c>
      <c r="DR31" s="1">
        <f>in!DR31</f>
        <v>0</v>
      </c>
      <c r="DS31" s="1">
        <f>in!DS31</f>
        <v>1</v>
      </c>
      <c r="DT31" s="1">
        <f>in!DT31</f>
        <v>1</v>
      </c>
      <c r="DU31" s="1">
        <f>in!DU31</f>
        <v>0</v>
      </c>
      <c r="DV31" s="1">
        <f>in!DV31</f>
        <v>1</v>
      </c>
      <c r="DW31" s="1">
        <f>in!DW31</f>
        <v>0</v>
      </c>
      <c r="DX31" s="1">
        <f>in!DX31</f>
        <v>1</v>
      </c>
      <c r="DY31" s="1">
        <f>in!DY31</f>
        <v>1</v>
      </c>
      <c r="DZ31" s="15">
        <f t="shared" si="2"/>
        <v>5</v>
      </c>
      <c r="EA31" s="15">
        <f t="shared" si="3"/>
        <v>62.5</v>
      </c>
      <c r="EB31" s="1">
        <f>in!DZ31</f>
        <v>0</v>
      </c>
      <c r="EC31" s="1">
        <f>in!EA31</f>
        <v>0</v>
      </c>
      <c r="ED31" s="1">
        <f>in!EB31</f>
        <v>1</v>
      </c>
      <c r="EE31" s="20">
        <f t="shared" si="4"/>
        <v>1</v>
      </c>
      <c r="EF31" s="20">
        <f t="shared" si="5"/>
        <v>33.333333333333336</v>
      </c>
    </row>
    <row r="32" spans="1:136" x14ac:dyDescent="0.35">
      <c r="A32" s="27" t="s">
        <v>156</v>
      </c>
      <c r="C32" s="3">
        <f>SUM(C2:C31)</f>
        <v>25</v>
      </c>
      <c r="D32" s="3">
        <f>SUM(D2:D31)</f>
        <v>21</v>
      </c>
      <c r="E32" s="3">
        <f>SUM(E2:E31)</f>
        <v>10</v>
      </c>
      <c r="F32" s="3">
        <f>SUM(F2:F31)</f>
        <v>7</v>
      </c>
      <c r="G32" s="3">
        <f>SUM(G2:G31)</f>
        <v>6</v>
      </c>
      <c r="H32" s="3">
        <f>SUM(H2:H31)</f>
        <v>16</v>
      </c>
      <c r="I32" s="3">
        <f>SUM(I2:I31)</f>
        <v>2</v>
      </c>
      <c r="J32" s="3">
        <f>SUM(J2:J31)</f>
        <v>14</v>
      </c>
      <c r="K32" s="3">
        <f>SUM(K2:K31)</f>
        <v>19</v>
      </c>
      <c r="L32" s="3">
        <f>SUM(L2:L31)</f>
        <v>9</v>
      </c>
      <c r="M32" s="3">
        <f>SUM(M2:M31)</f>
        <v>10</v>
      </c>
      <c r="N32" s="3">
        <f>SUM(N2:N31)</f>
        <v>12</v>
      </c>
      <c r="O32" s="3">
        <f>SUM(O2:O31)</f>
        <v>14</v>
      </c>
      <c r="P32" s="3">
        <f>SUM(P2:P31)</f>
        <v>3</v>
      </c>
      <c r="Q32" s="3">
        <f>SUM(Q2:Q31)</f>
        <v>12</v>
      </c>
      <c r="R32" s="3">
        <f>SUM(R2:R31)</f>
        <v>10</v>
      </c>
      <c r="S32" s="3">
        <f>SUM(S2:S31)</f>
        <v>5</v>
      </c>
      <c r="T32" s="3">
        <f>SUM(T2:T31)</f>
        <v>5</v>
      </c>
      <c r="U32" s="3">
        <f>SUM(U2:U31)</f>
        <v>20</v>
      </c>
      <c r="V32" s="3">
        <f>SUM(V2:V31)</f>
        <v>13</v>
      </c>
      <c r="W32" s="3">
        <f>SUM(W2:W31)</f>
        <v>17</v>
      </c>
      <c r="X32" s="3">
        <f>SUM(X2:X31)</f>
        <v>14</v>
      </c>
      <c r="Y32" s="3">
        <f>SUM(Y2:Y31)</f>
        <v>5</v>
      </c>
      <c r="Z32" s="3">
        <f>SUM(Z2:Z31)</f>
        <v>8</v>
      </c>
      <c r="AA32" s="3">
        <f>SUM(AA2:AA31)</f>
        <v>9</v>
      </c>
      <c r="AB32" s="3">
        <f>SUM(AB2:AB31)</f>
        <v>286</v>
      </c>
      <c r="AC32" s="3">
        <f>AB32*100/(COUNT(C32:AA32)*COUNT(AC2:AC31))</f>
        <v>38.133333333333333</v>
      </c>
      <c r="AD32" s="4">
        <f>SUM(AD2:AD31)</f>
        <v>14</v>
      </c>
      <c r="AE32" s="4">
        <f>SUM(AE2:AE31)</f>
        <v>7</v>
      </c>
      <c r="AF32" s="4">
        <f>SUM(AF2:AF31)</f>
        <v>11</v>
      </c>
      <c r="AG32" s="4">
        <f>SUM(AG2:AG31)</f>
        <v>20</v>
      </c>
      <c r="AH32" s="4">
        <f>SUM(AH2:AH31)</f>
        <v>16</v>
      </c>
      <c r="AI32" s="4">
        <f>SUM(AI2:AI31)</f>
        <v>15</v>
      </c>
      <c r="AJ32" s="4">
        <f>SUM(AJ2:AJ31)</f>
        <v>12</v>
      </c>
      <c r="AK32" s="4">
        <f>SUM(AK2:AK31)</f>
        <v>11</v>
      </c>
      <c r="AL32" s="4">
        <f>SUM(AL2:AL31)</f>
        <v>10</v>
      </c>
      <c r="AM32" s="4">
        <f>SUM(AM2:AM31)</f>
        <v>23</v>
      </c>
      <c r="AN32" s="4">
        <f>SUM(AN2:AN31)</f>
        <v>20</v>
      </c>
      <c r="AO32" s="4">
        <f>SUM(AO2:AO31)</f>
        <v>14</v>
      </c>
      <c r="AP32" s="4">
        <f>SUM(AP2:AP31)</f>
        <v>3</v>
      </c>
      <c r="AQ32" s="4">
        <f>SUM(AQ2:AQ31)</f>
        <v>14</v>
      </c>
      <c r="AR32" s="4">
        <f>SUM(AR2:AR31)</f>
        <v>17</v>
      </c>
      <c r="AS32" s="4">
        <f>SUM(AS2:AS31)</f>
        <v>14</v>
      </c>
      <c r="AT32" s="4">
        <f>SUM(AT2:AT31)</f>
        <v>10</v>
      </c>
      <c r="AU32" s="4">
        <f>SUM(AU2:AU31)</f>
        <v>6</v>
      </c>
      <c r="AV32" s="4">
        <f>SUM(AV2:AV31)</f>
        <v>10</v>
      </c>
      <c r="AW32" s="4">
        <f>SUM(AW2:AW31)</f>
        <v>10</v>
      </c>
      <c r="AX32" s="4">
        <f>SUM(AX2:AX31)</f>
        <v>1</v>
      </c>
      <c r="AY32" s="4">
        <f>SUM(AY2:AY31)</f>
        <v>4</v>
      </c>
      <c r="AZ32" s="4">
        <f>SUM(AZ2:AZ31)</f>
        <v>26</v>
      </c>
      <c r="BA32" s="4">
        <f>SUM(BA2:BA31)</f>
        <v>17</v>
      </c>
      <c r="BB32" s="4">
        <f>SUM(BB2:BB31)</f>
        <v>11</v>
      </c>
      <c r="BC32" s="4">
        <f>SUM(BC2:BC31)</f>
        <v>13</v>
      </c>
      <c r="BD32" s="4">
        <f>SUM(BD2:BD31)</f>
        <v>13</v>
      </c>
      <c r="BE32" s="4">
        <f>SUM(BE2:BE31)</f>
        <v>16</v>
      </c>
      <c r="BF32" s="4">
        <f>SUM(BF2:BF31)</f>
        <v>11</v>
      </c>
      <c r="BG32" s="4">
        <f>SUM(BG2:BG31)</f>
        <v>12</v>
      </c>
      <c r="BH32" s="4">
        <f>SUM(BH2:BH31)</f>
        <v>13</v>
      </c>
      <c r="BI32" s="4">
        <f>SUM(BI2:BI31)</f>
        <v>6</v>
      </c>
      <c r="BJ32" s="4">
        <f>SUM(BJ2:BJ31)</f>
        <v>14</v>
      </c>
      <c r="BK32" s="4">
        <f>SUM(BK2:BK31)</f>
        <v>13</v>
      </c>
      <c r="BL32" s="4">
        <f>SUM(BL2:BL31)</f>
        <v>4</v>
      </c>
      <c r="BM32" s="4">
        <f>SUM(BM2:BM31)</f>
        <v>4</v>
      </c>
      <c r="BN32" s="4">
        <f>SUM(BN2:BN31)</f>
        <v>4</v>
      </c>
      <c r="BO32" s="4">
        <f>SUM(BO2:BO31)</f>
        <v>8</v>
      </c>
      <c r="BP32" s="4">
        <f>SUM(BP2:BP31)</f>
        <v>13</v>
      </c>
      <c r="BQ32" s="4">
        <f>SUM(BQ2:BQ31)</f>
        <v>6</v>
      </c>
      <c r="BR32" s="4">
        <f>SUM(BR2:BR31)</f>
        <v>15</v>
      </c>
      <c r="BS32" s="4">
        <f>SUM(BS2:BS31)</f>
        <v>481</v>
      </c>
      <c r="BT32" s="19">
        <f>BS32*100/(COUNT(BS2:BS31)*COUNT(AD32:BR32))</f>
        <v>39.105691056910572</v>
      </c>
      <c r="BU32" s="5">
        <f>SUM(BU2:BU31)</f>
        <v>8</v>
      </c>
      <c r="BV32" s="5">
        <f>SUM(BV2:BV31)</f>
        <v>10</v>
      </c>
      <c r="BW32" s="5">
        <f>SUM(BW2:BW31)</f>
        <v>18</v>
      </c>
      <c r="BX32" s="5">
        <f>SUM(BX2:BX31)</f>
        <v>8</v>
      </c>
      <c r="BY32" s="5">
        <f>SUM(BY2:BY31)</f>
        <v>11</v>
      </c>
      <c r="BZ32" s="5">
        <f>SUM(BZ2:BZ31)</f>
        <v>9</v>
      </c>
      <c r="CA32" s="5">
        <f>SUM(CA2:CA31)</f>
        <v>5</v>
      </c>
      <c r="CB32" s="5">
        <f>SUM(CB2:CB31)</f>
        <v>18</v>
      </c>
      <c r="CC32" s="5">
        <f>SUM(CC2:CC31)</f>
        <v>6</v>
      </c>
      <c r="CD32" s="5">
        <f>SUM(CD2:CD31)</f>
        <v>8</v>
      </c>
      <c r="CE32" s="5">
        <f>SUM(CE2:CE31)</f>
        <v>18</v>
      </c>
      <c r="CF32" s="5">
        <f>SUM(CF2:CF31)</f>
        <v>10</v>
      </c>
      <c r="CG32" s="5">
        <f>SUM(CG2:CG31)</f>
        <v>5</v>
      </c>
      <c r="CH32" s="5">
        <f>SUM(CH2:CH31)</f>
        <v>13</v>
      </c>
      <c r="CI32" s="5">
        <f>SUM(CI2:CI31)</f>
        <v>10</v>
      </c>
      <c r="CJ32" s="5">
        <f>SUM(CJ2:CJ31)</f>
        <v>5</v>
      </c>
      <c r="CK32" s="5">
        <f>SUM(CK2:CK31)</f>
        <v>12</v>
      </c>
      <c r="CL32" s="5">
        <f>SUM(CL2:CL31)</f>
        <v>13</v>
      </c>
      <c r="CM32" s="5">
        <f>SUM(CM2:CM31)</f>
        <v>12</v>
      </c>
      <c r="CN32" s="5">
        <f>SUM(CN2:CN31)</f>
        <v>14</v>
      </c>
      <c r="CO32" s="5">
        <f>SUM(CO2:CO31)</f>
        <v>9</v>
      </c>
      <c r="CP32" s="5">
        <f>SUM(CP2:CP31)</f>
        <v>10</v>
      </c>
      <c r="CQ32" s="5">
        <f>SUM(CQ2:CQ31)</f>
        <v>10</v>
      </c>
      <c r="CR32" s="5">
        <f>SUM(CR2:CR31)</f>
        <v>4</v>
      </c>
      <c r="CS32" s="5">
        <f>SUM(CS2:CS31)</f>
        <v>12</v>
      </c>
      <c r="CT32" s="5">
        <f>SUM(CT2:CT31)</f>
        <v>258</v>
      </c>
      <c r="CU32" s="5">
        <f>CT32*100/(COUNT(CT2:CT31)*COUNT(BU32:CS32))</f>
        <v>34.4</v>
      </c>
      <c r="CV32" s="13">
        <f>SUM(CV2:CV31)</f>
        <v>18</v>
      </c>
      <c r="CW32" s="13">
        <f>SUM(CW2:CW31)</f>
        <v>9</v>
      </c>
      <c r="CX32" s="13">
        <f>SUM(CX2:CX31)</f>
        <v>12</v>
      </c>
      <c r="CY32" s="13">
        <f>SUM(CY2:CY31)</f>
        <v>9</v>
      </c>
      <c r="CZ32" s="13">
        <f>SUM(CZ2:CZ31)</f>
        <v>5</v>
      </c>
      <c r="DA32" s="13">
        <f>SUM(DA2:DA31)</f>
        <v>5</v>
      </c>
      <c r="DB32" s="13">
        <f>SUM(DB2:DB31)</f>
        <v>15</v>
      </c>
      <c r="DC32" s="13">
        <f>SUM(DC2:DC31)</f>
        <v>7</v>
      </c>
      <c r="DD32" s="13">
        <f>SUM(DD2:DD31)</f>
        <v>12</v>
      </c>
      <c r="DE32" s="13">
        <f>SUM(DE2:DE31)</f>
        <v>17</v>
      </c>
      <c r="DF32" s="13">
        <f>SUM(DF2:DF31)</f>
        <v>5</v>
      </c>
      <c r="DG32" s="13">
        <f>SUM(DG2:DG31)</f>
        <v>10</v>
      </c>
      <c r="DH32" s="13">
        <f>SUM(DH2:DH31)</f>
        <v>124</v>
      </c>
      <c r="DI32" s="14">
        <f>DH32*100/(COUNT(DI2:DI31)*COUNT(CV32:DG32))</f>
        <v>34.444444444444443</v>
      </c>
      <c r="DJ32" s="11">
        <f>SUM(DJ2:DJ31)</f>
        <v>11</v>
      </c>
      <c r="DK32" s="11">
        <f>SUM(DK2:DK31)</f>
        <v>12</v>
      </c>
      <c r="DL32" s="11">
        <f>SUM(DL2:DL31)</f>
        <v>9</v>
      </c>
      <c r="DM32" s="11">
        <f>SUM(DM2:DM31)</f>
        <v>11</v>
      </c>
      <c r="DN32" s="11">
        <f>SUM(DN2:DN31)</f>
        <v>25</v>
      </c>
      <c r="DO32" s="11">
        <f>SUM(DO2:DO31)</f>
        <v>15</v>
      </c>
      <c r="DP32" s="11">
        <f>SUM(DP2:DP31)</f>
        <v>83</v>
      </c>
      <c r="DQ32" s="16">
        <f>DP32*100/(COUNT(DQ2:DQ31)*COUNT(DJ32:DO32))</f>
        <v>46.111111111111114</v>
      </c>
      <c r="DR32" s="12">
        <f>SUM(DR2:DR31)</f>
        <v>6</v>
      </c>
      <c r="DS32" s="12">
        <f>SUM(DS2:DS31)</f>
        <v>10</v>
      </c>
      <c r="DT32" s="12">
        <f>SUM(DT2:DT31)</f>
        <v>12</v>
      </c>
      <c r="DU32" s="12">
        <f>SUM(DU2:DU31)</f>
        <v>6</v>
      </c>
      <c r="DV32" s="12">
        <f>SUM(DV2:DV31)</f>
        <v>18</v>
      </c>
      <c r="DW32" s="12">
        <f>SUM(DW2:DW31)</f>
        <v>5</v>
      </c>
      <c r="DX32" s="12">
        <f>SUM(DX2:DX31)</f>
        <v>14</v>
      </c>
      <c r="DY32" s="12">
        <f>SUM(DY2:DY31)</f>
        <v>10</v>
      </c>
      <c r="DZ32" s="12">
        <f>SUM(DZ2:DZ31)</f>
        <v>81</v>
      </c>
      <c r="EA32" s="15">
        <f>DZ32*100/(COUNT(DR32:DY32)*COUNT(DZ2:DZ31))</f>
        <v>33.75</v>
      </c>
      <c r="EB32" s="17">
        <f>SUM(EB2:EB31)</f>
        <v>16</v>
      </c>
      <c r="EC32" s="17">
        <f>SUM(EC2:EC31)</f>
        <v>12</v>
      </c>
      <c r="ED32" s="17">
        <f>SUM(ED2:ED31)</f>
        <v>18</v>
      </c>
      <c r="EE32" s="17">
        <f>SUM(EE2:EE31)</f>
        <v>46</v>
      </c>
      <c r="EF32" s="20">
        <f>EE32*100/(COUNT(EE2:EE31)*COUNT(EB32:ED32))</f>
        <v>51.111111111111114</v>
      </c>
    </row>
    <row r="33" spans="1:136" x14ac:dyDescent="0.35">
      <c r="A33" s="27" t="s">
        <v>157</v>
      </c>
      <c r="C33" s="30">
        <f>(COUNT(C2:C31)-C32)*100/COUNT(C2:C31)</f>
        <v>16.666666666666668</v>
      </c>
      <c r="D33" s="30">
        <f>(COUNT(D2:D31)-D32)*100/COUNT(D2:D31)</f>
        <v>30</v>
      </c>
      <c r="E33" s="30">
        <f>(COUNT(E2:E31)-E32)*100/COUNT(E2:E31)</f>
        <v>66.666666666666671</v>
      </c>
      <c r="F33" s="30">
        <f>(COUNT(F2:F31)-F32)*100/COUNT(F2:F31)</f>
        <v>76.666666666666671</v>
      </c>
      <c r="G33" s="30">
        <f>(COUNT(G2:G31)-G32)*100/COUNT(G2:G31)</f>
        <v>80</v>
      </c>
      <c r="H33" s="30">
        <f>(COUNT(H2:H31)-H32)*100/COUNT(H2:H31)</f>
        <v>46.666666666666664</v>
      </c>
      <c r="I33" s="30">
        <f>(COUNT(I2:I31)-I32)*100/COUNT(I2:I31)</f>
        <v>93.333333333333329</v>
      </c>
      <c r="J33" s="30">
        <f>(COUNT(J2:J31)-J32)*100/COUNT(J2:J31)</f>
        <v>53.333333333333336</v>
      </c>
      <c r="K33" s="30">
        <f>(COUNT(K2:K31)-K32)*100/COUNT(K2:K31)</f>
        <v>36.666666666666664</v>
      </c>
      <c r="L33" s="30">
        <f>(COUNT(L2:L31)-L32)*100/COUNT(L2:L31)</f>
        <v>70</v>
      </c>
      <c r="M33" s="30">
        <f>(COUNT(M2:M31)-M32)*100/COUNT(M2:M31)</f>
        <v>66.666666666666671</v>
      </c>
      <c r="N33" s="30">
        <f>(COUNT(N2:N31)-N32)*100/COUNT(N2:N31)</f>
        <v>60</v>
      </c>
      <c r="O33" s="30">
        <f>(COUNT(O2:O31)-O32)*100/COUNT(O2:O31)</f>
        <v>53.333333333333336</v>
      </c>
      <c r="P33" s="30">
        <f>(COUNT(P2:P31)-P32)*100/COUNT(P2:P31)</f>
        <v>90</v>
      </c>
      <c r="Q33" s="30">
        <f>(COUNT(Q2:Q31)-Q32)*100/COUNT(Q2:Q31)</f>
        <v>60</v>
      </c>
      <c r="R33" s="30">
        <f>(COUNT(R2:R31)-R32)*100/COUNT(R2:R31)</f>
        <v>66.666666666666671</v>
      </c>
      <c r="S33" s="30">
        <f>(COUNT(S2:S31)-S32)*100/COUNT(S2:S31)</f>
        <v>83.333333333333329</v>
      </c>
      <c r="T33" s="30">
        <f>(COUNT(T2:T31)-T32)*100/COUNT(T2:T31)</f>
        <v>83.333333333333329</v>
      </c>
      <c r="U33" s="30">
        <f>(COUNT(U2:U31)-U32)*100/COUNT(U2:U31)</f>
        <v>33.333333333333336</v>
      </c>
      <c r="V33" s="30">
        <f>(COUNT(V2:V31)-V32)*100/COUNT(V2:V31)</f>
        <v>56.666666666666664</v>
      </c>
      <c r="W33" s="30">
        <f>(COUNT(W2:W31)-W32)*100/COUNT(W2:W31)</f>
        <v>43.333333333333336</v>
      </c>
      <c r="X33" s="30">
        <f>(COUNT(X2:X31)-X32)*100/COUNT(X2:X31)</f>
        <v>53.333333333333336</v>
      </c>
      <c r="Y33" s="30">
        <f>(COUNT(Y2:Y31)-Y32)*100/COUNT(Y2:Y31)</f>
        <v>83.333333333333329</v>
      </c>
      <c r="Z33" s="30">
        <f>(COUNT(Z2:Z31)-Z32)*100/COUNT(Z2:Z31)</f>
        <v>73.333333333333329</v>
      </c>
      <c r="AA33" s="30">
        <f>(COUNT(AA2:AA31)-AA32)*100/COUNT(AA2:AA31)</f>
        <v>70</v>
      </c>
      <c r="AB33" s="30">
        <f>((COUNT(AB2:AB31)*COUNT(C32:AA32))-AB32)*100/(COUNT(AB2:AB31)*COUNT(C32:AA32))</f>
        <v>61.866666666666667</v>
      </c>
      <c r="AC33" s="1"/>
      <c r="AD33" s="19">
        <f>(COUNT(AD2:AD31)-AD32)*100/COUNT(AD2:AD31)</f>
        <v>53.333333333333336</v>
      </c>
      <c r="AE33" s="19">
        <f>(COUNT(AE2:AE31)-AE32)*100/COUNT(AE2:AE31)</f>
        <v>76.666666666666671</v>
      </c>
      <c r="AF33" s="19">
        <f>(COUNT(AF2:AF31)-AF32)*100/COUNT(AF2:AF31)</f>
        <v>63.333333333333336</v>
      </c>
      <c r="AG33" s="19">
        <f>(COUNT(AG2:AG31)-AG32)*100/COUNT(AG2:AG31)</f>
        <v>33.333333333333336</v>
      </c>
      <c r="AH33" s="19">
        <f>(COUNT(AH2:AH31)-AH32)*100/COUNT(AH2:AH31)</f>
        <v>46.666666666666664</v>
      </c>
      <c r="AI33" s="19">
        <f>(COUNT(AI2:AI31)-AI32)*100/COUNT(AI2:AI31)</f>
        <v>50</v>
      </c>
      <c r="AJ33" s="19">
        <f>(COUNT(AJ2:AJ31)-AJ32)*100/COUNT(AJ2:AJ31)</f>
        <v>60</v>
      </c>
      <c r="AK33" s="19">
        <f>(COUNT(AK2:AK31)-AK32)*100/COUNT(AK2:AK31)</f>
        <v>63.333333333333336</v>
      </c>
      <c r="AL33" s="19">
        <f>(COUNT(AL2:AL31)-AL32)*100/COUNT(AL2:AL31)</f>
        <v>66.666666666666671</v>
      </c>
      <c r="AM33" s="19">
        <f>(COUNT(AM2:AM31)-AM32)*100/COUNT(AM2:AM31)</f>
        <v>23.333333333333332</v>
      </c>
      <c r="AN33" s="19">
        <f>(COUNT(AN2:AN31)-AN32)*100/COUNT(AN2:AN31)</f>
        <v>33.333333333333336</v>
      </c>
      <c r="AO33" s="19">
        <f>(COUNT(AO2:AO31)-AO32)*100/COUNT(AO2:AO31)</f>
        <v>53.333333333333336</v>
      </c>
      <c r="AP33" s="19">
        <f>(COUNT(AP2:AP31)-AP32)*100/COUNT(AP2:AP31)</f>
        <v>90</v>
      </c>
      <c r="AQ33" s="19">
        <f>(COUNT(AQ2:AQ31)-AQ32)*100/COUNT(AQ2:AQ31)</f>
        <v>53.333333333333336</v>
      </c>
      <c r="AR33" s="19">
        <f>(COUNT(AR2:AR31)-AR32)*100/COUNT(AR2:AR31)</f>
        <v>43.333333333333336</v>
      </c>
      <c r="AS33" s="19">
        <f>(COUNT(AS2:AS31)-AS32)*100/COUNT(AS2:AS31)</f>
        <v>53.333333333333336</v>
      </c>
      <c r="AT33" s="19">
        <f>(COUNT(AT2:AT31)-AT32)*100/COUNT(AT2:AT31)</f>
        <v>66.666666666666671</v>
      </c>
      <c r="AU33" s="19">
        <f>(COUNT(AU2:AU31)-AU32)*100/COUNT(AU2:AU31)</f>
        <v>80</v>
      </c>
      <c r="AV33" s="19">
        <f>(COUNT(AV2:AV31)-AV32)*100/COUNT(AV2:AV31)</f>
        <v>66.666666666666671</v>
      </c>
      <c r="AW33" s="19">
        <f>(COUNT(AW2:AW31)-AW32)*100/COUNT(AW2:AW31)</f>
        <v>66.666666666666671</v>
      </c>
      <c r="AX33" s="19">
        <f>(COUNT(AX2:AX31)-AX32)*100/COUNT(AX2:AX31)</f>
        <v>96.666666666666671</v>
      </c>
      <c r="AY33" s="19">
        <f>(COUNT(AY2:AY31)-AY32)*100/COUNT(AY2:AY31)</f>
        <v>86.666666666666671</v>
      </c>
      <c r="AZ33" s="19">
        <f>(COUNT(AZ2:AZ31)-AZ32)*100/COUNT(AZ2:AZ31)</f>
        <v>13.333333333333334</v>
      </c>
      <c r="BA33" s="19">
        <f>(COUNT(BA2:BA31)-BA32)*100/COUNT(BA2:BA31)</f>
        <v>43.333333333333336</v>
      </c>
      <c r="BB33" s="19">
        <f>(COUNT(BB2:BB31)-BB32)*100/COUNT(BB2:BB31)</f>
        <v>63.333333333333336</v>
      </c>
      <c r="BC33" s="19">
        <f>(COUNT(BC2:BC31)-BC32)*100/COUNT(BC2:BC31)</f>
        <v>56.666666666666664</v>
      </c>
      <c r="BD33" s="19">
        <f>(COUNT(BD2:BD31)-BD32)*100/COUNT(BD2:BD31)</f>
        <v>56.666666666666664</v>
      </c>
      <c r="BE33" s="19">
        <f>(COUNT(BE2:BE31)-BE32)*100/COUNT(BE2:BE31)</f>
        <v>46.666666666666664</v>
      </c>
      <c r="BF33" s="19">
        <f>(COUNT(BF2:BF31)-BF32)*100/COUNT(BF2:BF31)</f>
        <v>63.333333333333336</v>
      </c>
      <c r="BG33" s="19">
        <f>(COUNT(BG2:BG31)-BG32)*100/COUNT(BG2:BG31)</f>
        <v>60</v>
      </c>
      <c r="BH33" s="19">
        <f>(COUNT(BH2:BH31)-BH32)*100/COUNT(BH2:BH31)</f>
        <v>56.666666666666664</v>
      </c>
      <c r="BI33" s="19">
        <f>(COUNT(BI2:BI31)-BI32)*100/COUNT(BI2:BI31)</f>
        <v>80</v>
      </c>
      <c r="BJ33" s="19">
        <f>(COUNT(BJ2:BJ31)-BJ32)*100/COUNT(BJ2:BJ31)</f>
        <v>53.333333333333336</v>
      </c>
      <c r="BK33" s="19">
        <f>(COUNT(BK2:BK31)-BK32)*100/COUNT(BK2:BK31)</f>
        <v>56.666666666666664</v>
      </c>
      <c r="BL33" s="19">
        <f>(COUNT(BL2:BL31)-BL32)*100/COUNT(BL2:BL31)</f>
        <v>86.666666666666671</v>
      </c>
      <c r="BM33" s="19">
        <f>(COUNT(BM2:BM31)-BM32)*100/COUNT(BM2:BM31)</f>
        <v>86.666666666666671</v>
      </c>
      <c r="BN33" s="19">
        <f>(COUNT(BN2:BN31)-BN32)*100/COUNT(BN2:BN31)</f>
        <v>86.666666666666671</v>
      </c>
      <c r="BO33" s="19">
        <f>(COUNT(BO2:BO31)-BO32)*100/COUNT(BO2:BO31)</f>
        <v>73.333333333333329</v>
      </c>
      <c r="BP33" s="19">
        <f>(COUNT(BP2:BP31)-BP32)*100/COUNT(BP2:BP31)</f>
        <v>56.666666666666664</v>
      </c>
      <c r="BQ33" s="19">
        <f>(COUNT(BQ2:BQ31)-BQ32)*100/COUNT(BQ2:BQ31)</f>
        <v>80</v>
      </c>
      <c r="BR33" s="19">
        <f>(COUNT(BR2:BR31)-BR32)*100/COUNT(BR2:BR31)</f>
        <v>50</v>
      </c>
      <c r="BS33" s="19">
        <f>((COUNT(BS2:BS31)*COUNT(AD32:BR32))-BS32)*100/(COUNT(BS2:BS31)*COUNT(AD32:BR32))</f>
        <v>60.894308943089428</v>
      </c>
      <c r="BT33" s="1"/>
      <c r="BU33" s="5">
        <f>(COUNT(BU2:BU31)-BU32)*100/COUNT(BU2:BU31)</f>
        <v>73.333333333333329</v>
      </c>
      <c r="BV33" s="5">
        <f>(COUNT(BV2:BV31)-BV32)*100/COUNT(BV2:BV31)</f>
        <v>66.666666666666671</v>
      </c>
      <c r="BW33" s="5">
        <f>(COUNT(BW2:BW31)-BW32)*100/COUNT(BW2:BW31)</f>
        <v>40</v>
      </c>
      <c r="BX33" s="5">
        <f>(COUNT(BX2:BX31)-BX32)*100/COUNT(BX2:BX31)</f>
        <v>73.333333333333329</v>
      </c>
      <c r="BY33" s="5">
        <f>(COUNT(BY2:BY31)-BY32)*100/COUNT(BY2:BY31)</f>
        <v>63.333333333333336</v>
      </c>
      <c r="BZ33" s="5">
        <f>(COUNT(BZ2:BZ31)-BZ32)*100/COUNT(BZ2:BZ31)</f>
        <v>70</v>
      </c>
      <c r="CA33" s="5">
        <f>(COUNT(CA2:CA31)-CA32)*100/COUNT(CA2:CA31)</f>
        <v>83.333333333333329</v>
      </c>
      <c r="CB33" s="5">
        <f>(COUNT(CB2:CB31)-CB32)*100/COUNT(CB2:CB31)</f>
        <v>40</v>
      </c>
      <c r="CC33" s="5">
        <f>(COUNT(CC2:CC31)-CC32)*100/COUNT(CC2:CC31)</f>
        <v>80</v>
      </c>
      <c r="CD33" s="5">
        <f>(COUNT(CD2:CD31)-CD32)*100/COUNT(CD2:CD31)</f>
        <v>73.333333333333329</v>
      </c>
      <c r="CE33" s="5">
        <f>(COUNT(CE2:CE31)-CE32)*100/COUNT(CE2:CE31)</f>
        <v>40</v>
      </c>
      <c r="CF33" s="5">
        <f>(COUNT(CF2:CF31)-CF32)*100/COUNT(CF2:CF31)</f>
        <v>66.666666666666671</v>
      </c>
      <c r="CG33" s="5">
        <f>(COUNT(CG2:CG31)-CG32)*100/COUNT(CG2:CG31)</f>
        <v>83.333333333333329</v>
      </c>
      <c r="CH33" s="5">
        <f>(COUNT(CH2:CH31)-CH32)*100/COUNT(CH2:CH31)</f>
        <v>56.666666666666664</v>
      </c>
      <c r="CI33" s="5">
        <f>(COUNT(CI2:CI31)-CI32)*100/COUNT(CI2:CI31)</f>
        <v>66.666666666666671</v>
      </c>
      <c r="CJ33" s="5">
        <f>(COUNT(CJ2:CJ31)-CJ32)*100/COUNT(CJ2:CJ31)</f>
        <v>83.333333333333329</v>
      </c>
      <c r="CK33" s="5">
        <f>(COUNT(CK2:CK31)-CK32)*100/COUNT(CK2:CK31)</f>
        <v>60</v>
      </c>
      <c r="CL33" s="5">
        <f>(COUNT(CL2:CL31)-CL32)*100/COUNT(CL2:CL31)</f>
        <v>56.666666666666664</v>
      </c>
      <c r="CM33" s="5">
        <f>(COUNT(CM2:CM31)-CM32)*100/COUNT(CM2:CM31)</f>
        <v>60</v>
      </c>
      <c r="CN33" s="5">
        <f>(COUNT(CN2:CN31)-CN32)*100/COUNT(CN2:CN31)</f>
        <v>53.333333333333336</v>
      </c>
      <c r="CO33" s="5">
        <f>(COUNT(CO2:CO31)-CO32)*100/COUNT(CO2:CO31)</f>
        <v>70</v>
      </c>
      <c r="CP33" s="5">
        <f>(COUNT(CP2:CP31)-CP32)*100/COUNT(CP2:CP31)</f>
        <v>66.666666666666671</v>
      </c>
      <c r="CQ33" s="5">
        <f>(COUNT(CQ2:CQ31)-CQ32)*100/COUNT(CQ2:CQ31)</f>
        <v>66.666666666666671</v>
      </c>
      <c r="CR33" s="5">
        <f>(COUNT(CR2:CR31)-CR32)*100/COUNT(CR2:CR31)</f>
        <v>86.666666666666671</v>
      </c>
      <c r="CS33" s="5">
        <f>(COUNT(CS2:CS31)-CS32)*100/COUNT(CS2:CS31)</f>
        <v>60</v>
      </c>
      <c r="CT33" s="32">
        <f>((COUNT(CT2:CT31)*COUNT(BU32:CS32))-CT32)*100/(COUNT(CT2:CT31)*COUNT(BU32:CS32))</f>
        <v>65.599999999999994</v>
      </c>
      <c r="CU33" s="1"/>
      <c r="CV33" s="14">
        <f>(COUNT(CV2:CV31)-CV32)*100/COUNT(CV2:CV31)</f>
        <v>40</v>
      </c>
      <c r="CW33" s="14">
        <f>(COUNT(CW2:CW31)-CW32)*100/COUNT(CW2:CW31)</f>
        <v>70</v>
      </c>
      <c r="CX33" s="14">
        <f>(COUNT(CX2:CX31)-CX32)*100/COUNT(CX2:CX31)</f>
        <v>60</v>
      </c>
      <c r="CY33" s="14">
        <f>(COUNT(CY2:CY31)-CY32)*100/COUNT(CY2:CY31)</f>
        <v>70</v>
      </c>
      <c r="CZ33" s="14">
        <f>(COUNT(CZ2:CZ31)-CZ32)*100/COUNT(CZ2:CZ31)</f>
        <v>83.333333333333329</v>
      </c>
      <c r="DA33" s="14">
        <f>(COUNT(DA2:DA31)-DA32)*100/COUNT(DA2:DA31)</f>
        <v>83.333333333333329</v>
      </c>
      <c r="DB33" s="14">
        <f>(COUNT(DB2:DB31)-DB32)*100/COUNT(DB2:DB31)</f>
        <v>50</v>
      </c>
      <c r="DC33" s="14">
        <f>(COUNT(DC2:DC31)-DC32)*100/COUNT(DC2:DC31)</f>
        <v>76.666666666666671</v>
      </c>
      <c r="DD33" s="14">
        <f>(COUNT(DD2:DD31)-DD32)*100/COUNT(DD2:DD31)</f>
        <v>60</v>
      </c>
      <c r="DE33" s="14">
        <f>(COUNT(DE2:DE31)-DE32)*100/COUNT(DE2:DE31)</f>
        <v>43.333333333333336</v>
      </c>
      <c r="DF33" s="14">
        <f>(COUNT(DF2:DF31)-DF32)*100/COUNT(DF2:DF31)</f>
        <v>83.333333333333329</v>
      </c>
      <c r="DG33" s="14">
        <f>(COUNT(DG2:DG31)-DG32)*100/COUNT(DG2:DG31)</f>
        <v>66.666666666666671</v>
      </c>
      <c r="DH33" s="14">
        <f>((COUNT(CV32:DG32)*COUNT(DH2:DH31))-DH32)*100/(COUNT(CV32:DG32)*COUNT(DH2:DH31))</f>
        <v>65.555555555555557</v>
      </c>
      <c r="DJ33" s="16">
        <f>(COUNT(DJ2:DJ31)-DJ32)*100/(COUNT(DJ2:DJ31))</f>
        <v>63.333333333333336</v>
      </c>
      <c r="DK33" s="16">
        <f>(COUNT(DK2:DK31)-DK32)*100/(COUNT(DK2:DK31))</f>
        <v>60</v>
      </c>
      <c r="DL33" s="16">
        <f>(COUNT(DL2:DL31)-DL32)*100/(COUNT(DL2:DL31))</f>
        <v>70</v>
      </c>
      <c r="DM33" s="16">
        <f>(COUNT(DM2:DM31)-DM32)*100/(COUNT(DM2:DM31))</f>
        <v>63.333333333333336</v>
      </c>
      <c r="DN33" s="16">
        <f>(COUNT(DN2:DN31)-DN32)*100/(COUNT(DN2:DN31))</f>
        <v>16.666666666666668</v>
      </c>
      <c r="DO33" s="16">
        <f>(COUNT(DO2:DO31)-DO32)*100/(COUNT(DO2:DO31))</f>
        <v>50</v>
      </c>
      <c r="DP33" s="16">
        <f>((COUNT(DP2:DP31)*COUNT(DJ32:DO32))-DP32)*100/(COUNT(DP2:DP31)*COUNT(DJ32:DO32))</f>
        <v>53.888888888888886</v>
      </c>
      <c r="DR33" s="15">
        <f>(COUNT(DR2:DR31)-DR32)*100/COUNT(DR2:DR31)</f>
        <v>80</v>
      </c>
      <c r="DS33" s="15">
        <f>(COUNT(DS2:DS31)-DS32)*100/COUNT(DS2:DS31)</f>
        <v>66.666666666666671</v>
      </c>
      <c r="DT33" s="15">
        <f>(COUNT(DT2:DT31)-DT32)*100/COUNT(DT2:DT31)</f>
        <v>60</v>
      </c>
      <c r="DU33" s="15">
        <f>(COUNT(DU2:DU31)-DU32)*100/COUNT(DU2:DU31)</f>
        <v>80</v>
      </c>
      <c r="DV33" s="15">
        <f>(COUNT(DV2:DV31)-DV32)*100/COUNT(DV2:DV31)</f>
        <v>40</v>
      </c>
      <c r="DW33" s="15">
        <f>(COUNT(DW2:DW31)-DW32)*100/COUNT(DW2:DW31)</f>
        <v>83.333333333333329</v>
      </c>
      <c r="DX33" s="15">
        <f>(COUNT(DX2:DX31)-DX32)*100/COUNT(DX2:DX31)</f>
        <v>53.333333333333336</v>
      </c>
      <c r="DY33" s="15">
        <f>(COUNT(DY2:DY31)-DY32)*100/COUNT(DY2:DY31)</f>
        <v>66.666666666666671</v>
      </c>
      <c r="DZ33" s="15">
        <f>((COUNT(DZ2:DZ31)*COUNT(DR32:DY32))-DZ32)*100/(COUNT(DZ2:DZ31)*COUNT(DR32:DY32))</f>
        <v>66.25</v>
      </c>
      <c r="EB33" s="20">
        <f>(COUNT(EB2:EB31)-EB32)*100/COUNT(EB2:EB31)</f>
        <v>46.666666666666664</v>
      </c>
      <c r="EC33" s="20">
        <f>(COUNT(EC2:EC31)-EC32)*100/COUNT(EC2:EC31)</f>
        <v>60</v>
      </c>
      <c r="ED33" s="20">
        <f>(COUNT(ED2:ED31)-ED32)*100/COUNT(ED2:ED31)</f>
        <v>40</v>
      </c>
      <c r="EE33" s="20">
        <f>((COUNT(EE2:EE31)*COUNT(EB32:ED32))-EE32)*100/(COUNT(EE2:EE31)*COUNT(EB32:ED32))</f>
        <v>48.888888888888886</v>
      </c>
    </row>
    <row r="34" spans="1:136" x14ac:dyDescent="0.35">
      <c r="A34" s="27" t="s">
        <v>158</v>
      </c>
      <c r="C34" s="28" t="str">
        <f>IF(C33&lt;=19,"A",IF(C33&lt;=39,"S",IF(C33&lt;=69,"M","I")))</f>
        <v>A</v>
      </c>
      <c r="D34" s="28" t="str">
        <f t="shared" ref="D34:AA34" si="14">IF(D33&lt;=19,"A",IF(D33&lt;=39,"S",IF(D33&lt;=69,"M","I")))</f>
        <v>S</v>
      </c>
      <c r="E34" s="28" t="str">
        <f t="shared" si="14"/>
        <v>M</v>
      </c>
      <c r="F34" s="28" t="str">
        <f t="shared" si="14"/>
        <v>I</v>
      </c>
      <c r="G34" s="28" t="str">
        <f t="shared" si="14"/>
        <v>I</v>
      </c>
      <c r="H34" s="28" t="str">
        <f t="shared" si="14"/>
        <v>M</v>
      </c>
      <c r="I34" s="28" t="str">
        <f t="shared" si="14"/>
        <v>I</v>
      </c>
      <c r="J34" s="28" t="str">
        <f t="shared" si="14"/>
        <v>M</v>
      </c>
      <c r="K34" s="28" t="str">
        <f t="shared" si="14"/>
        <v>S</v>
      </c>
      <c r="L34" s="28" t="str">
        <f t="shared" si="14"/>
        <v>I</v>
      </c>
      <c r="M34" s="28" t="str">
        <f t="shared" si="14"/>
        <v>M</v>
      </c>
      <c r="N34" s="28" t="str">
        <f t="shared" si="14"/>
        <v>M</v>
      </c>
      <c r="O34" s="28" t="str">
        <f t="shared" si="14"/>
        <v>M</v>
      </c>
      <c r="P34" s="28" t="str">
        <f t="shared" si="14"/>
        <v>I</v>
      </c>
      <c r="Q34" s="28" t="str">
        <f t="shared" si="14"/>
        <v>M</v>
      </c>
      <c r="R34" s="28" t="str">
        <f t="shared" si="14"/>
        <v>M</v>
      </c>
      <c r="S34" s="28" t="str">
        <f t="shared" si="14"/>
        <v>I</v>
      </c>
      <c r="T34" s="28" t="str">
        <f t="shared" si="14"/>
        <v>I</v>
      </c>
      <c r="U34" s="28" t="str">
        <f t="shared" si="14"/>
        <v>S</v>
      </c>
      <c r="V34" s="28" t="str">
        <f t="shared" si="14"/>
        <v>M</v>
      </c>
      <c r="W34" s="28" t="str">
        <f t="shared" si="14"/>
        <v>M</v>
      </c>
      <c r="X34" s="28" t="str">
        <f t="shared" si="14"/>
        <v>M</v>
      </c>
      <c r="Y34" s="28" t="str">
        <f t="shared" si="14"/>
        <v>I</v>
      </c>
      <c r="Z34" s="28" t="str">
        <f t="shared" si="14"/>
        <v>I</v>
      </c>
      <c r="AA34" s="28" t="str">
        <f t="shared" si="14"/>
        <v>I</v>
      </c>
      <c r="AB34" s="28" t="str">
        <f t="shared" ref="AB34:BO34" si="15">IF(AB33&lt;=19,"A",IF(AB33&lt;=39,"S",IF(AB33&lt;=69,"M","I")))</f>
        <v>M</v>
      </c>
      <c r="AC34" s="28"/>
      <c r="AD34" s="28" t="str">
        <f t="shared" si="15"/>
        <v>M</v>
      </c>
      <c r="AE34" s="28" t="str">
        <f t="shared" si="15"/>
        <v>I</v>
      </c>
      <c r="AF34" s="28" t="str">
        <f t="shared" si="15"/>
        <v>M</v>
      </c>
      <c r="AG34" s="28" t="str">
        <f t="shared" si="15"/>
        <v>S</v>
      </c>
      <c r="AH34" s="28" t="str">
        <f t="shared" si="15"/>
        <v>M</v>
      </c>
      <c r="AI34" s="28" t="str">
        <f t="shared" si="15"/>
        <v>M</v>
      </c>
      <c r="AJ34" s="28" t="str">
        <f t="shared" si="15"/>
        <v>M</v>
      </c>
      <c r="AK34" s="28" t="str">
        <f t="shared" si="15"/>
        <v>M</v>
      </c>
      <c r="AL34" s="28" t="str">
        <f t="shared" si="15"/>
        <v>M</v>
      </c>
      <c r="AM34" s="28" t="str">
        <f t="shared" si="15"/>
        <v>S</v>
      </c>
      <c r="AN34" s="28" t="str">
        <f t="shared" si="15"/>
        <v>S</v>
      </c>
      <c r="AO34" s="28" t="str">
        <f t="shared" si="15"/>
        <v>M</v>
      </c>
      <c r="AP34" s="28" t="str">
        <f>IF(AP33&lt;=19,"A",IF(AP33&lt;=39,"S",IF(AP33&lt;=69,"M","I")))</f>
        <v>I</v>
      </c>
      <c r="AQ34" s="28" t="str">
        <f t="shared" si="15"/>
        <v>M</v>
      </c>
      <c r="AR34" s="28" t="str">
        <f t="shared" si="15"/>
        <v>M</v>
      </c>
      <c r="AS34" s="28" t="str">
        <f t="shared" si="15"/>
        <v>M</v>
      </c>
      <c r="AT34" s="28" t="str">
        <f t="shared" si="15"/>
        <v>M</v>
      </c>
      <c r="AU34" s="28" t="str">
        <f t="shared" si="15"/>
        <v>I</v>
      </c>
      <c r="AV34" s="28" t="str">
        <f t="shared" si="15"/>
        <v>M</v>
      </c>
      <c r="AW34" s="28" t="str">
        <f t="shared" si="15"/>
        <v>M</v>
      </c>
      <c r="AX34" s="28" t="str">
        <f t="shared" si="15"/>
        <v>I</v>
      </c>
      <c r="AY34" s="28" t="str">
        <f t="shared" si="15"/>
        <v>I</v>
      </c>
      <c r="AZ34" s="28" t="str">
        <f t="shared" si="15"/>
        <v>A</v>
      </c>
      <c r="BA34" s="28" t="str">
        <f t="shared" si="15"/>
        <v>M</v>
      </c>
      <c r="BB34" s="28" t="str">
        <f t="shared" si="15"/>
        <v>M</v>
      </c>
      <c r="BC34" s="28" t="str">
        <f t="shared" si="15"/>
        <v>M</v>
      </c>
      <c r="BD34" s="28" t="str">
        <f t="shared" si="15"/>
        <v>M</v>
      </c>
      <c r="BE34" s="28" t="str">
        <f t="shared" si="15"/>
        <v>M</v>
      </c>
      <c r="BF34" s="28" t="str">
        <f t="shared" si="15"/>
        <v>M</v>
      </c>
      <c r="BG34" s="28" t="str">
        <f t="shared" si="15"/>
        <v>M</v>
      </c>
      <c r="BH34" s="28" t="str">
        <f t="shared" si="15"/>
        <v>M</v>
      </c>
      <c r="BI34" s="28" t="str">
        <f t="shared" si="15"/>
        <v>I</v>
      </c>
      <c r="BJ34" s="28" t="str">
        <f t="shared" si="15"/>
        <v>M</v>
      </c>
      <c r="BK34" s="28" t="str">
        <f t="shared" si="15"/>
        <v>M</v>
      </c>
      <c r="BL34" s="28" t="str">
        <f t="shared" si="15"/>
        <v>I</v>
      </c>
      <c r="BM34" s="28" t="str">
        <f t="shared" si="15"/>
        <v>I</v>
      </c>
      <c r="BN34" s="28" t="str">
        <f t="shared" si="15"/>
        <v>I</v>
      </c>
      <c r="BO34" s="28" t="str">
        <f t="shared" si="15"/>
        <v>I</v>
      </c>
      <c r="BP34" s="28" t="str">
        <f t="shared" ref="BP34:DZ34" si="16">IF(BP33&lt;=19,"A",IF(BP33&lt;=39,"S",IF(BP33&lt;=69,"M","I")))</f>
        <v>M</v>
      </c>
      <c r="BQ34" s="28" t="str">
        <f t="shared" si="16"/>
        <v>I</v>
      </c>
      <c r="BR34" s="28" t="str">
        <f t="shared" si="16"/>
        <v>M</v>
      </c>
      <c r="BS34" s="28" t="str">
        <f t="shared" si="16"/>
        <v>M</v>
      </c>
      <c r="BT34" s="28"/>
      <c r="BU34" s="28" t="str">
        <f t="shared" si="16"/>
        <v>I</v>
      </c>
      <c r="BV34" s="28" t="str">
        <f t="shared" si="16"/>
        <v>M</v>
      </c>
      <c r="BW34" s="28" t="str">
        <f t="shared" si="16"/>
        <v>M</v>
      </c>
      <c r="BX34" s="28" t="str">
        <f t="shared" si="16"/>
        <v>I</v>
      </c>
      <c r="BY34" s="28" t="str">
        <f t="shared" si="16"/>
        <v>M</v>
      </c>
      <c r="BZ34" s="28" t="str">
        <f t="shared" si="16"/>
        <v>I</v>
      </c>
      <c r="CA34" s="28" t="str">
        <f t="shared" si="16"/>
        <v>I</v>
      </c>
      <c r="CB34" s="28" t="str">
        <f t="shared" si="16"/>
        <v>M</v>
      </c>
      <c r="CC34" s="28" t="str">
        <f t="shared" si="16"/>
        <v>I</v>
      </c>
      <c r="CD34" s="28" t="str">
        <f t="shared" si="16"/>
        <v>I</v>
      </c>
      <c r="CE34" s="28" t="str">
        <f t="shared" si="16"/>
        <v>M</v>
      </c>
      <c r="CF34" s="28" t="str">
        <f t="shared" si="16"/>
        <v>M</v>
      </c>
      <c r="CG34" s="28" t="str">
        <f t="shared" si="16"/>
        <v>I</v>
      </c>
      <c r="CH34" s="28" t="str">
        <f t="shared" si="16"/>
        <v>M</v>
      </c>
      <c r="CI34" s="28" t="str">
        <f t="shared" si="16"/>
        <v>M</v>
      </c>
      <c r="CJ34" s="28" t="str">
        <f t="shared" si="16"/>
        <v>I</v>
      </c>
      <c r="CK34" s="28" t="str">
        <f t="shared" si="16"/>
        <v>M</v>
      </c>
      <c r="CL34" s="28" t="str">
        <f t="shared" si="16"/>
        <v>M</v>
      </c>
      <c r="CM34" s="28" t="str">
        <f t="shared" si="16"/>
        <v>M</v>
      </c>
      <c r="CN34" s="28" t="str">
        <f t="shared" si="16"/>
        <v>M</v>
      </c>
      <c r="CO34" s="28" t="str">
        <f t="shared" si="16"/>
        <v>I</v>
      </c>
      <c r="CP34" s="28" t="str">
        <f t="shared" si="16"/>
        <v>M</v>
      </c>
      <c r="CQ34" s="28" t="str">
        <f t="shared" si="16"/>
        <v>M</v>
      </c>
      <c r="CR34" s="28" t="str">
        <f t="shared" si="16"/>
        <v>I</v>
      </c>
      <c r="CS34" s="28" t="str">
        <f t="shared" si="16"/>
        <v>M</v>
      </c>
      <c r="CT34" s="28" t="str">
        <f>IF(CT33&lt;=19,"A",IF(CT33&lt;=39,"S",IF(CT33&lt;=69,"M","I")))</f>
        <v>M</v>
      </c>
      <c r="CU34" s="28"/>
      <c r="CV34" s="28" t="str">
        <f t="shared" si="16"/>
        <v>M</v>
      </c>
      <c r="CW34" s="28" t="str">
        <f t="shared" ref="CW34:DG34" si="17">IF(CW33&lt;=19,"A",IF(CW33&lt;=39,"S",IF(CW33&lt;=69,"M","I")))</f>
        <v>I</v>
      </c>
      <c r="CX34" s="28" t="str">
        <f t="shared" si="17"/>
        <v>M</v>
      </c>
      <c r="CY34" s="28" t="str">
        <f t="shared" si="17"/>
        <v>I</v>
      </c>
      <c r="CZ34" s="28" t="str">
        <f t="shared" si="17"/>
        <v>I</v>
      </c>
      <c r="DA34" s="28" t="str">
        <f t="shared" si="17"/>
        <v>I</v>
      </c>
      <c r="DB34" s="28" t="str">
        <f t="shared" si="17"/>
        <v>M</v>
      </c>
      <c r="DC34" s="28" t="str">
        <f t="shared" si="17"/>
        <v>I</v>
      </c>
      <c r="DD34" s="28" t="str">
        <f t="shared" si="17"/>
        <v>M</v>
      </c>
      <c r="DE34" s="28" t="str">
        <f t="shared" si="17"/>
        <v>M</v>
      </c>
      <c r="DF34" s="28" t="str">
        <f t="shared" si="17"/>
        <v>I</v>
      </c>
      <c r="DG34" s="28" t="str">
        <f t="shared" si="17"/>
        <v>M</v>
      </c>
      <c r="DH34" s="108" t="str">
        <f t="shared" si="16"/>
        <v>M</v>
      </c>
      <c r="DI34" s="108"/>
      <c r="DJ34" s="28" t="str">
        <f t="shared" si="16"/>
        <v>M</v>
      </c>
      <c r="DK34" s="28" t="str">
        <f>IF(DK33&lt;=19,"A",IF(DK33&lt;=39,"S",IF(DK33&lt;=69,"M","I")))</f>
        <v>M</v>
      </c>
      <c r="DL34" s="28" t="str">
        <f>IF(DL33&lt;=19,"A",IF(DL33&lt;=39,"S",IF(DL33&lt;=69,"M","I")))</f>
        <v>I</v>
      </c>
      <c r="DM34" s="28" t="str">
        <f>IF(DM33&lt;=19,"A",IF(DM33&lt;=39,"S",IF(DM33&lt;=69,"M","I")))</f>
        <v>M</v>
      </c>
      <c r="DN34" s="28" t="str">
        <f>IF(DN33&lt;=19,"A",IF(DN33&lt;=39,"S",IF(DN33&lt;=69,"M","I")))</f>
        <v>A</v>
      </c>
      <c r="DO34" s="28" t="str">
        <f>IF(DO33&lt;=19,"A",IF(DO33&lt;=39,"S",IF(DO33&lt;=69,"M","I")))</f>
        <v>M</v>
      </c>
      <c r="DP34" s="111" t="str">
        <f t="shared" si="16"/>
        <v>M</v>
      </c>
      <c r="DQ34" s="111"/>
      <c r="DR34" s="28" t="str">
        <f t="shared" si="16"/>
        <v>I</v>
      </c>
      <c r="DS34" s="28" t="str">
        <f t="shared" ref="DS34:DY34" si="18">IF(DS33&lt;=19,"A",IF(DS33&lt;=39,"S",IF(DS33&lt;=69,"M","I")))</f>
        <v>M</v>
      </c>
      <c r="DT34" s="28" t="str">
        <f t="shared" si="18"/>
        <v>M</v>
      </c>
      <c r="DU34" s="28" t="str">
        <f t="shared" si="18"/>
        <v>I</v>
      </c>
      <c r="DV34" s="28" t="str">
        <f t="shared" si="18"/>
        <v>M</v>
      </c>
      <c r="DW34" s="28" t="str">
        <f t="shared" si="18"/>
        <v>I</v>
      </c>
      <c r="DX34" s="28" t="str">
        <f t="shared" si="18"/>
        <v>M</v>
      </c>
      <c r="DY34" s="28" t="str">
        <f t="shared" si="18"/>
        <v>M</v>
      </c>
      <c r="DZ34" s="114" t="str">
        <f t="shared" si="16"/>
        <v>M</v>
      </c>
      <c r="EA34" s="114"/>
      <c r="EB34" s="28" t="str">
        <f>IF(EB33&lt;=19,"A",IF(EB33&lt;=39,"S",IF(EB33&lt;=69,"M","I")))</f>
        <v>M</v>
      </c>
      <c r="EC34" s="28" t="str">
        <f>IF(EC33&lt;=19,"A",IF(EC33&lt;=39,"S",IF(EC33&lt;=69,"M","I")))</f>
        <v>M</v>
      </c>
      <c r="ED34" s="28" t="str">
        <f>IF(ED33&lt;=19,"A",IF(ED33&lt;=39,"S",IF(ED33&lt;=69,"M","I")))</f>
        <v>M</v>
      </c>
      <c r="EE34" s="119" t="str">
        <f>IF(EE33&lt;=19,"A",IF(EE33&lt;=39,"S",IF(EE33&lt;=69,"M","I")))</f>
        <v>M</v>
      </c>
      <c r="EF34" s="120"/>
    </row>
    <row r="35" spans="1:136" x14ac:dyDescent="0.35">
      <c r="A35" s="1" t="s">
        <v>235</v>
      </c>
      <c r="C35" s="1">
        <v>1</v>
      </c>
      <c r="D35" s="1">
        <v>1</v>
      </c>
      <c r="E35" s="1">
        <v>2</v>
      </c>
      <c r="F35" s="1">
        <v>3</v>
      </c>
      <c r="G35" s="1">
        <v>3</v>
      </c>
      <c r="H35" s="1">
        <v>2</v>
      </c>
      <c r="I35" s="1">
        <v>2</v>
      </c>
      <c r="J35" s="1">
        <v>3</v>
      </c>
      <c r="K35" s="1">
        <v>2</v>
      </c>
      <c r="L35" s="1">
        <v>2</v>
      </c>
      <c r="M35" s="1">
        <v>3</v>
      </c>
      <c r="N35" s="1">
        <v>2</v>
      </c>
      <c r="O35" s="1">
        <v>1</v>
      </c>
      <c r="P35" s="1">
        <v>3</v>
      </c>
      <c r="Q35" s="1">
        <v>3</v>
      </c>
      <c r="R35" s="1">
        <v>2</v>
      </c>
      <c r="S35" s="1">
        <v>2</v>
      </c>
      <c r="T35" s="1">
        <v>3</v>
      </c>
      <c r="U35" s="1">
        <v>3</v>
      </c>
      <c r="V35" s="1">
        <v>2</v>
      </c>
      <c r="W35" s="1">
        <v>1</v>
      </c>
      <c r="X35" s="1">
        <v>2</v>
      </c>
      <c r="Y35" s="1">
        <v>2</v>
      </c>
      <c r="Z35" s="1">
        <v>3</v>
      </c>
      <c r="AA35" s="1">
        <v>3</v>
      </c>
      <c r="AD35" s="1">
        <v>2</v>
      </c>
      <c r="AE35" s="1">
        <v>2</v>
      </c>
      <c r="AF35" s="1">
        <v>2</v>
      </c>
      <c r="AG35" s="1">
        <v>1</v>
      </c>
      <c r="AH35" s="1">
        <v>1</v>
      </c>
      <c r="AI35" s="1">
        <v>1</v>
      </c>
      <c r="AJ35" s="1">
        <v>2</v>
      </c>
      <c r="AK35" s="1">
        <v>2</v>
      </c>
      <c r="AL35" s="1">
        <v>3</v>
      </c>
      <c r="AM35" s="1">
        <v>1</v>
      </c>
      <c r="AN35" s="1">
        <v>1</v>
      </c>
      <c r="AO35" s="1">
        <v>3</v>
      </c>
      <c r="AP35" s="1">
        <v>1</v>
      </c>
      <c r="AQ35" s="1">
        <v>3</v>
      </c>
      <c r="AR35" s="1">
        <v>2</v>
      </c>
      <c r="AS35" s="1">
        <v>3</v>
      </c>
      <c r="AT35" s="1">
        <v>3</v>
      </c>
      <c r="AU35" s="1">
        <v>3</v>
      </c>
      <c r="AV35" s="1">
        <v>2</v>
      </c>
      <c r="AW35" s="1">
        <v>2</v>
      </c>
      <c r="AX35" s="1">
        <v>3</v>
      </c>
      <c r="AY35" s="1">
        <v>3</v>
      </c>
      <c r="AZ35" s="1">
        <v>1</v>
      </c>
      <c r="BA35" s="1">
        <v>1</v>
      </c>
      <c r="BB35" s="1">
        <v>2</v>
      </c>
      <c r="BC35" s="1">
        <v>1</v>
      </c>
      <c r="BD35" s="1">
        <v>3</v>
      </c>
      <c r="BE35" s="1">
        <v>1</v>
      </c>
      <c r="BF35" s="1">
        <v>2</v>
      </c>
      <c r="BG35" s="1">
        <v>1</v>
      </c>
      <c r="BH35" s="1">
        <v>2</v>
      </c>
      <c r="BI35" s="1">
        <v>3</v>
      </c>
      <c r="BJ35" s="1">
        <v>1</v>
      </c>
      <c r="BK35" s="1">
        <v>3</v>
      </c>
      <c r="BL35" s="1">
        <v>1</v>
      </c>
      <c r="BM35" s="1">
        <v>3</v>
      </c>
      <c r="BN35" s="1">
        <v>3</v>
      </c>
      <c r="BO35" s="1">
        <v>1</v>
      </c>
      <c r="BP35" s="1">
        <v>2</v>
      </c>
      <c r="BQ35" s="1">
        <v>3</v>
      </c>
      <c r="BR35" s="1">
        <v>3</v>
      </c>
      <c r="BU35" s="1">
        <v>3</v>
      </c>
      <c r="BV35" s="1">
        <v>3</v>
      </c>
      <c r="BW35" s="1">
        <v>6</v>
      </c>
      <c r="BX35" s="1">
        <v>1</v>
      </c>
      <c r="BY35" s="1">
        <v>2</v>
      </c>
      <c r="BZ35" s="1">
        <v>5</v>
      </c>
      <c r="CA35" s="1">
        <v>1</v>
      </c>
      <c r="CB35" s="1">
        <v>1</v>
      </c>
      <c r="CC35" s="1">
        <v>2</v>
      </c>
      <c r="CD35" s="1">
        <v>3</v>
      </c>
      <c r="CE35" s="1">
        <v>4</v>
      </c>
      <c r="CF35" s="1">
        <v>3</v>
      </c>
      <c r="CG35" s="1">
        <v>1</v>
      </c>
      <c r="CH35" s="1">
        <v>4</v>
      </c>
      <c r="CI35" s="1">
        <v>4</v>
      </c>
      <c r="CJ35" s="1">
        <v>1</v>
      </c>
      <c r="CK35" s="1">
        <v>6</v>
      </c>
      <c r="CL35" s="1">
        <v>6</v>
      </c>
      <c r="CM35" s="1">
        <v>4</v>
      </c>
      <c r="CN35" s="1">
        <v>6</v>
      </c>
      <c r="CO35" s="1">
        <v>1</v>
      </c>
      <c r="CP35" s="1">
        <v>5</v>
      </c>
      <c r="CQ35" s="1">
        <v>3</v>
      </c>
      <c r="CR35" s="1">
        <v>5</v>
      </c>
      <c r="CS35" s="1">
        <v>4</v>
      </c>
      <c r="CV35" s="1">
        <v>7</v>
      </c>
      <c r="CW35" s="1">
        <v>3</v>
      </c>
      <c r="CX35" s="1">
        <v>2</v>
      </c>
      <c r="CY35" s="1">
        <v>5</v>
      </c>
      <c r="CZ35" s="1">
        <v>5</v>
      </c>
      <c r="DA35" s="1">
        <v>3</v>
      </c>
      <c r="DB35" s="1">
        <v>4</v>
      </c>
      <c r="DC35" s="1">
        <v>7</v>
      </c>
      <c r="DD35" s="1">
        <v>9</v>
      </c>
      <c r="DE35" s="1">
        <v>4</v>
      </c>
      <c r="DF35" s="1">
        <v>2</v>
      </c>
      <c r="DG35" s="1">
        <v>7</v>
      </c>
      <c r="DJ35" s="1">
        <v>4</v>
      </c>
      <c r="DK35" s="1">
        <v>5</v>
      </c>
      <c r="DL35" s="1">
        <v>8</v>
      </c>
      <c r="DM35" s="1">
        <v>6</v>
      </c>
      <c r="DN35" s="1">
        <v>2</v>
      </c>
      <c r="DO35" s="1">
        <v>2</v>
      </c>
      <c r="DR35" s="1">
        <v>8</v>
      </c>
      <c r="DS35" s="1">
        <v>6</v>
      </c>
      <c r="DT35" s="1">
        <v>8</v>
      </c>
      <c r="DU35" s="1">
        <v>6</v>
      </c>
      <c r="DV35" s="1">
        <v>9</v>
      </c>
      <c r="DW35" s="1">
        <v>2</v>
      </c>
      <c r="DX35" s="1">
        <v>8</v>
      </c>
      <c r="DY35" s="1">
        <v>3</v>
      </c>
      <c r="EB35" s="1">
        <v>1</v>
      </c>
      <c r="EC35" s="1">
        <v>5</v>
      </c>
      <c r="ED35" s="1">
        <v>1</v>
      </c>
    </row>
    <row r="36" spans="1:136" x14ac:dyDescent="0.35">
      <c r="A36" s="27" t="s">
        <v>159</v>
      </c>
      <c r="DU36" s="13" t="s">
        <v>236</v>
      </c>
      <c r="DV36" s="11" t="s">
        <v>237</v>
      </c>
      <c r="DW36" s="12" t="s">
        <v>238</v>
      </c>
      <c r="DX36" s="17" t="s">
        <v>137</v>
      </c>
      <c r="DY36" s="17"/>
      <c r="DZ36" s="13" t="s">
        <v>236</v>
      </c>
      <c r="EA36" s="11" t="s">
        <v>237</v>
      </c>
      <c r="EB36" s="12" t="s">
        <v>238</v>
      </c>
      <c r="EC36" s="17" t="s">
        <v>137</v>
      </c>
    </row>
    <row r="37" spans="1:136" ht="31.5" customHeight="1" x14ac:dyDescent="0.35">
      <c r="A37" s="29">
        <v>1</v>
      </c>
      <c r="C37" s="202" t="s">
        <v>163</v>
      </c>
      <c r="D37" s="203"/>
      <c r="E37" s="203"/>
      <c r="F37" s="203"/>
      <c r="G37" s="203"/>
      <c r="H37" s="203"/>
      <c r="I37" s="203"/>
      <c r="J37" s="203"/>
      <c r="K37" s="203"/>
      <c r="L37" s="203"/>
      <c r="M37" s="203"/>
      <c r="N37" s="203"/>
      <c r="O37" s="203"/>
      <c r="P37" s="203"/>
      <c r="Q37" s="203"/>
      <c r="R37" s="203"/>
      <c r="S37" s="203"/>
      <c r="T37" s="203"/>
      <c r="U37" s="203"/>
      <c r="V37" s="203"/>
      <c r="W37" s="203"/>
      <c r="X37" s="203"/>
      <c r="Y37" s="203"/>
      <c r="Z37" s="203"/>
      <c r="AA37" s="204"/>
      <c r="AB37" s="30">
        <f>SUM(C33,D33,O33,W33)</f>
        <v>143.33333333333334</v>
      </c>
      <c r="AC37" s="63">
        <f>(AB37+SESION2!BC37)/14</f>
        <v>57.857142857142868</v>
      </c>
      <c r="AQ37" s="205" t="s">
        <v>161</v>
      </c>
      <c r="AR37" s="206"/>
      <c r="AS37" s="206"/>
      <c r="AT37" s="206"/>
      <c r="AU37" s="206"/>
      <c r="AV37" s="206"/>
      <c r="AW37" s="206"/>
      <c r="AX37" s="206"/>
      <c r="AY37" s="206"/>
      <c r="AZ37" s="206"/>
      <c r="BA37" s="206"/>
      <c r="BB37" s="206"/>
      <c r="BC37" s="206"/>
      <c r="BD37" s="206"/>
      <c r="BE37" s="206"/>
      <c r="BF37" s="206"/>
      <c r="BG37" s="206"/>
      <c r="BH37" s="206"/>
      <c r="BI37" s="206"/>
      <c r="BJ37" s="206"/>
      <c r="BK37" s="206"/>
      <c r="BL37" s="206"/>
      <c r="BM37" s="206"/>
      <c r="BN37" s="206"/>
      <c r="BO37" s="206"/>
      <c r="BP37" s="206"/>
      <c r="BQ37" s="206"/>
      <c r="BR37" s="206"/>
      <c r="BS37" s="19">
        <f>SUM(AG33,AH33,AI33,AM33,AN33,AP33,AZ33,BA33,BC33,BE33,BG33,BJ33,BL33,BO33)</f>
        <v>710</v>
      </c>
      <c r="BT37" s="64">
        <f>BS37/14</f>
        <v>50.714285714285715</v>
      </c>
      <c r="BV37" s="193" t="s">
        <v>162</v>
      </c>
      <c r="BW37" s="194"/>
      <c r="BX37" s="194"/>
      <c r="BY37" s="194"/>
      <c r="BZ37" s="194"/>
      <c r="CA37" s="194"/>
      <c r="CB37" s="194"/>
      <c r="CC37" s="194"/>
      <c r="CD37" s="194"/>
      <c r="CE37" s="194"/>
      <c r="CF37" s="194"/>
      <c r="CG37" s="194"/>
      <c r="CH37" s="194"/>
      <c r="CI37" s="194"/>
      <c r="CJ37" s="194"/>
      <c r="CK37" s="194"/>
      <c r="CL37" s="194"/>
      <c r="CM37" s="194"/>
      <c r="CN37" s="194"/>
      <c r="CO37" s="194"/>
      <c r="CP37" s="194"/>
      <c r="CQ37" s="194"/>
      <c r="CR37" s="194"/>
      <c r="CS37" s="195"/>
      <c r="CT37" s="32">
        <f>SUM(BX33,CA33,CB33,CG33,CJ33,CO33)</f>
        <v>433.33333333333331</v>
      </c>
      <c r="CU37" s="5">
        <f>(CT37+SESION2!AB37)/13</f>
        <v>66.410256410256409</v>
      </c>
      <c r="CW37" s="135"/>
      <c r="CX37" s="135"/>
      <c r="CY37" s="135"/>
      <c r="CZ37" s="135"/>
      <c r="DA37" s="135"/>
      <c r="DB37" s="135"/>
      <c r="DC37" s="196" t="s">
        <v>486</v>
      </c>
      <c r="DD37" s="197"/>
      <c r="DE37" s="197"/>
      <c r="DF37" s="197"/>
      <c r="DG37" s="197"/>
      <c r="DH37" s="197"/>
      <c r="DI37" s="197"/>
      <c r="DJ37" s="197"/>
      <c r="DK37" s="197"/>
      <c r="DL37" s="197"/>
      <c r="DM37" s="197"/>
      <c r="DN37" s="197"/>
      <c r="DO37" s="197"/>
      <c r="DP37" s="197"/>
      <c r="DQ37" s="197"/>
      <c r="DR37" s="197"/>
      <c r="DS37" s="197"/>
      <c r="DT37" s="198"/>
      <c r="DU37" s="143"/>
      <c r="DV37" s="143"/>
      <c r="DW37" s="143"/>
      <c r="DX37" s="144">
        <f>SUM(EB33:ED33)</f>
        <v>146.66666666666666</v>
      </c>
      <c r="DY37" s="144"/>
      <c r="DZ37" s="118" t="s">
        <v>239</v>
      </c>
      <c r="EA37" s="118" t="s">
        <v>239</v>
      </c>
      <c r="EB37" s="118" t="s">
        <v>239</v>
      </c>
      <c r="EC37" s="115">
        <f>(DX37+SESION2!CL37)/4</f>
        <v>53.333333333333329</v>
      </c>
    </row>
    <row r="38" spans="1:136" ht="29.5" customHeight="1" x14ac:dyDescent="0.35">
      <c r="A38" s="29">
        <v>2</v>
      </c>
      <c r="C38" s="207" t="s">
        <v>160</v>
      </c>
      <c r="D38" s="208"/>
      <c r="E38" s="208"/>
      <c r="F38" s="208"/>
      <c r="G38" s="208"/>
      <c r="H38" s="208"/>
      <c r="I38" s="208"/>
      <c r="J38" s="208"/>
      <c r="K38" s="208"/>
      <c r="L38" s="208"/>
      <c r="M38" s="208"/>
      <c r="N38" s="208"/>
      <c r="O38" s="208"/>
      <c r="P38" s="208"/>
      <c r="Q38" s="208"/>
      <c r="R38" s="208"/>
      <c r="S38" s="208"/>
      <c r="T38" s="208"/>
      <c r="U38" s="208"/>
      <c r="V38" s="208"/>
      <c r="W38" s="208"/>
      <c r="X38" s="208"/>
      <c r="Y38" s="208"/>
      <c r="Z38" s="208"/>
      <c r="AA38" s="209"/>
      <c r="AB38" s="30">
        <f>SUM(E33,H33,I33,K33,L33,N33,R33,S33,V33,X33,Y33)</f>
        <v>716.66666666666674</v>
      </c>
      <c r="AC38" s="63">
        <f>(AB38+SESION2!BC38)/21</f>
        <v>67.936507936507937</v>
      </c>
      <c r="AQ38" s="205" t="s">
        <v>164</v>
      </c>
      <c r="AR38" s="206"/>
      <c r="AS38" s="206"/>
      <c r="AT38" s="206"/>
      <c r="AU38" s="206"/>
      <c r="AV38" s="206"/>
      <c r="AW38" s="206"/>
      <c r="AX38" s="206"/>
      <c r="AY38" s="206"/>
      <c r="AZ38" s="206"/>
      <c r="BA38" s="206"/>
      <c r="BB38" s="206"/>
      <c r="BC38" s="206"/>
      <c r="BD38" s="206"/>
      <c r="BE38" s="206"/>
      <c r="BF38" s="206"/>
      <c r="BG38" s="206"/>
      <c r="BH38" s="206"/>
      <c r="BI38" s="206"/>
      <c r="BJ38" s="206"/>
      <c r="BK38" s="206"/>
      <c r="BL38" s="206"/>
      <c r="BM38" s="206"/>
      <c r="BN38" s="206"/>
      <c r="BO38" s="206"/>
      <c r="BP38" s="206"/>
      <c r="BQ38" s="206"/>
      <c r="BR38" s="206"/>
      <c r="BS38" s="19">
        <f>SUM(AD33,AE33,AF33,AJ33,AK33,AR33,AV33,AW33,BB33,BF33,BH33,BP33)</f>
        <v>733.33333333333337</v>
      </c>
      <c r="BT38" s="31">
        <f>BS38/12</f>
        <v>61.111111111111114</v>
      </c>
      <c r="BV38" s="193" t="s">
        <v>165</v>
      </c>
      <c r="BW38" s="194"/>
      <c r="BX38" s="194"/>
      <c r="BY38" s="194"/>
      <c r="BZ38" s="194"/>
      <c r="CA38" s="194"/>
      <c r="CB38" s="194"/>
      <c r="CC38" s="194"/>
      <c r="CD38" s="194"/>
      <c r="CE38" s="194"/>
      <c r="CF38" s="194"/>
      <c r="CG38" s="194"/>
      <c r="CH38" s="194"/>
      <c r="CI38" s="194"/>
      <c r="CJ38" s="194"/>
      <c r="CK38" s="194"/>
      <c r="CL38" s="194"/>
      <c r="CM38" s="194"/>
      <c r="CN38" s="194"/>
      <c r="CO38" s="194"/>
      <c r="CP38" s="194"/>
      <c r="CQ38" s="194"/>
      <c r="CR38" s="194"/>
      <c r="CS38" s="195"/>
      <c r="CT38" s="32">
        <f>SUM(BY33,CC33)</f>
        <v>143.33333333333334</v>
      </c>
      <c r="CU38" s="5">
        <f>(CT38+SESION2!AB38)/4</f>
        <v>68.333333333333343</v>
      </c>
      <c r="CW38" s="135"/>
      <c r="CX38" s="135"/>
      <c r="CY38" s="135"/>
      <c r="CZ38" s="135"/>
      <c r="DA38" s="135"/>
      <c r="DB38" s="135"/>
      <c r="DC38" s="196" t="s">
        <v>487</v>
      </c>
      <c r="DD38" s="197"/>
      <c r="DE38" s="197"/>
      <c r="DF38" s="197"/>
      <c r="DG38" s="197"/>
      <c r="DH38" s="197"/>
      <c r="DI38" s="197"/>
      <c r="DJ38" s="197"/>
      <c r="DK38" s="197"/>
      <c r="DL38" s="197"/>
      <c r="DM38" s="197"/>
      <c r="DN38" s="197"/>
      <c r="DO38" s="197"/>
      <c r="DP38" s="197"/>
      <c r="DQ38" s="197"/>
      <c r="DR38" s="197"/>
      <c r="DS38" s="197"/>
      <c r="DT38" s="198"/>
      <c r="DU38" s="143">
        <f>SUM(CX33,DF33)</f>
        <v>143.33333333333331</v>
      </c>
      <c r="DV38" s="143">
        <f>SUM(DN33,DO33)</f>
        <v>66.666666666666671</v>
      </c>
      <c r="DW38" s="143">
        <f>SUM(DW33)</f>
        <v>83.333333333333329</v>
      </c>
      <c r="DX38" s="144"/>
      <c r="DY38" s="144"/>
      <c r="DZ38" s="115">
        <f>(DU38+SESION2!CI38)/3</f>
        <v>73.333333333333329</v>
      </c>
      <c r="EA38" s="115">
        <f>(DV38+SESION2!CJ38)/2</f>
        <v>33.333333333333336</v>
      </c>
      <c r="EB38" s="115">
        <f>(DW38+SESION2!CK38)/3</f>
        <v>70</v>
      </c>
      <c r="EC38" s="118" t="s">
        <v>239</v>
      </c>
    </row>
    <row r="39" spans="1:136" ht="29.5" customHeight="1" x14ac:dyDescent="0.35">
      <c r="A39" s="29">
        <v>3</v>
      </c>
      <c r="C39" s="210" t="s">
        <v>166</v>
      </c>
      <c r="D39" s="211"/>
      <c r="E39" s="211"/>
      <c r="F39" s="211"/>
      <c r="G39" s="211"/>
      <c r="H39" s="211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Y39" s="211"/>
      <c r="Z39" s="211"/>
      <c r="AA39" s="212"/>
      <c r="AB39" s="30">
        <f>SUM(F33,G33,J33,M33,P33,Q33,T33,U33,Z33,AA33)</f>
        <v>686.66666666666674</v>
      </c>
      <c r="AC39" s="63">
        <f>(AB39+SESION2!BC39)/15</f>
        <v>70.444444444444443</v>
      </c>
      <c r="AQ39" s="205" t="s">
        <v>167</v>
      </c>
      <c r="AR39" s="206"/>
      <c r="AS39" s="206"/>
      <c r="AT39" s="206"/>
      <c r="AU39" s="206"/>
      <c r="AV39" s="206"/>
      <c r="AW39" s="206"/>
      <c r="AX39" s="206"/>
      <c r="AY39" s="206"/>
      <c r="AZ39" s="206"/>
      <c r="BA39" s="206"/>
      <c r="BB39" s="206"/>
      <c r="BC39" s="206"/>
      <c r="BD39" s="206"/>
      <c r="BE39" s="206"/>
      <c r="BF39" s="206"/>
      <c r="BG39" s="206"/>
      <c r="BH39" s="206"/>
      <c r="BI39" s="206"/>
      <c r="BJ39" s="206"/>
      <c r="BK39" s="206"/>
      <c r="BL39" s="206"/>
      <c r="BM39" s="206"/>
      <c r="BN39" s="206"/>
      <c r="BO39" s="206"/>
      <c r="BP39" s="206"/>
      <c r="BQ39" s="206"/>
      <c r="BR39" s="206"/>
      <c r="BS39" s="19">
        <f>SUM(AL33,AO33,AQ33,AS33,AT33,AU33,AX33,AY33,BD33,BI33,BK33,BM33,BN33,BQ33,BR33)</f>
        <v>1053.3333333333333</v>
      </c>
      <c r="BT39" s="31">
        <f>BS39/15</f>
        <v>70.222222222222214</v>
      </c>
      <c r="BV39" s="193" t="s">
        <v>168</v>
      </c>
      <c r="BW39" s="194"/>
      <c r="BX39" s="194"/>
      <c r="BY39" s="194"/>
      <c r="BZ39" s="194"/>
      <c r="CA39" s="194"/>
      <c r="CB39" s="194"/>
      <c r="CC39" s="194"/>
      <c r="CD39" s="194"/>
      <c r="CE39" s="194"/>
      <c r="CF39" s="194"/>
      <c r="CG39" s="194"/>
      <c r="CH39" s="194"/>
      <c r="CI39" s="194"/>
      <c r="CJ39" s="194"/>
      <c r="CK39" s="194"/>
      <c r="CL39" s="194"/>
      <c r="CM39" s="194"/>
      <c r="CN39" s="194"/>
      <c r="CO39" s="194"/>
      <c r="CP39" s="194"/>
      <c r="CQ39" s="194"/>
      <c r="CR39" s="194"/>
      <c r="CS39" s="195"/>
      <c r="CT39" s="32">
        <f>SUM(BU33,BV33,CD33,CF33,CQ33)</f>
        <v>346.66666666666669</v>
      </c>
      <c r="CU39" s="5">
        <f>(CT39+SESION2!AB39)/10</f>
        <v>71.333333333333343</v>
      </c>
      <c r="CW39" s="135"/>
      <c r="CX39" s="135"/>
      <c r="CY39" s="135"/>
      <c r="CZ39" s="135"/>
      <c r="DA39" s="135"/>
      <c r="DB39" s="135"/>
      <c r="DC39" s="196" t="s">
        <v>488</v>
      </c>
      <c r="DD39" s="197"/>
      <c r="DE39" s="197"/>
      <c r="DF39" s="197"/>
      <c r="DG39" s="197"/>
      <c r="DH39" s="197"/>
      <c r="DI39" s="197"/>
      <c r="DJ39" s="197"/>
      <c r="DK39" s="197"/>
      <c r="DL39" s="197"/>
      <c r="DM39" s="197"/>
      <c r="DN39" s="197"/>
      <c r="DO39" s="197"/>
      <c r="DP39" s="197"/>
      <c r="DQ39" s="197"/>
      <c r="DR39" s="197"/>
      <c r="DS39" s="197"/>
      <c r="DT39" s="198"/>
      <c r="DU39" s="143">
        <f>SUM(CW33,DA33)</f>
        <v>153.33333333333331</v>
      </c>
      <c r="DV39" s="143"/>
      <c r="DW39" s="143">
        <f>SUM(DY33)</f>
        <v>66.666666666666671</v>
      </c>
      <c r="DX39" s="144"/>
      <c r="DY39" s="144"/>
      <c r="DZ39" s="115">
        <f>(DU39+SESION2!CI39)/2</f>
        <v>76.666666666666657</v>
      </c>
      <c r="EA39" s="115">
        <f>(SESION2!CJ39)/2</f>
        <v>53.333333333333329</v>
      </c>
      <c r="EB39" s="115">
        <f>(DW39+SESION2!CK39)/2</f>
        <v>58.333333333333336</v>
      </c>
      <c r="EC39" s="118" t="s">
        <v>239</v>
      </c>
    </row>
    <row r="40" spans="1:136" ht="14.5" customHeight="1" x14ac:dyDescent="0.35">
      <c r="A40" s="29">
        <v>4</v>
      </c>
      <c r="BV40" s="193" t="s">
        <v>169</v>
      </c>
      <c r="BW40" s="194"/>
      <c r="BX40" s="194"/>
      <c r="BY40" s="194"/>
      <c r="BZ40" s="194"/>
      <c r="CA40" s="194"/>
      <c r="CB40" s="194"/>
      <c r="CC40" s="194"/>
      <c r="CD40" s="194"/>
      <c r="CE40" s="194"/>
      <c r="CF40" s="194"/>
      <c r="CG40" s="194"/>
      <c r="CH40" s="194"/>
      <c r="CI40" s="194"/>
      <c r="CJ40" s="194"/>
      <c r="CK40" s="194"/>
      <c r="CL40" s="194"/>
      <c r="CM40" s="194"/>
      <c r="CN40" s="194"/>
      <c r="CO40" s="194"/>
      <c r="CP40" s="194"/>
      <c r="CQ40" s="194"/>
      <c r="CR40" s="194"/>
      <c r="CS40" s="195"/>
      <c r="CT40" s="32">
        <f>SUM(CE33,CH33,CI33,CM33,CS33)</f>
        <v>283.33333333333331</v>
      </c>
      <c r="CU40" s="5">
        <f>(CT40+SESION2!AB40)/9</f>
        <v>60</v>
      </c>
      <c r="CW40" s="135"/>
      <c r="CX40" s="135"/>
      <c r="CY40" s="135"/>
      <c r="CZ40" s="135"/>
      <c r="DA40" s="135"/>
      <c r="DB40" s="135"/>
      <c r="DC40" s="196" t="s">
        <v>489</v>
      </c>
      <c r="DD40" s="197"/>
      <c r="DE40" s="197"/>
      <c r="DF40" s="197"/>
      <c r="DG40" s="197"/>
      <c r="DH40" s="197"/>
      <c r="DI40" s="197"/>
      <c r="DJ40" s="197"/>
      <c r="DK40" s="197"/>
      <c r="DL40" s="197"/>
      <c r="DM40" s="197"/>
      <c r="DN40" s="197"/>
      <c r="DO40" s="197"/>
      <c r="DP40" s="197"/>
      <c r="DQ40" s="197"/>
      <c r="DR40" s="197"/>
      <c r="DS40" s="197"/>
      <c r="DT40" s="198"/>
      <c r="DU40" s="143">
        <f>SUM(DB33,DE33)</f>
        <v>93.333333333333343</v>
      </c>
      <c r="DV40" s="143">
        <f>SUM(DJ33)</f>
        <v>63.333333333333336</v>
      </c>
      <c r="DW40" s="143"/>
      <c r="DX40" s="143"/>
      <c r="DY40" s="143"/>
      <c r="DZ40" s="115">
        <f>(DU40+SESION2!CI40)/3</f>
        <v>55.555555555555564</v>
      </c>
      <c r="EA40" s="115">
        <f>(DV40+SESION2!CJ40)/5</f>
        <v>65.333333333333329</v>
      </c>
      <c r="EB40" s="115">
        <f>(SESION2!CK40)/2</f>
        <v>65</v>
      </c>
      <c r="EC40" s="118" t="s">
        <v>239</v>
      </c>
    </row>
    <row r="41" spans="1:136" ht="31.5" customHeight="1" x14ac:dyDescent="0.35">
      <c r="A41" s="29">
        <v>5</v>
      </c>
      <c r="C41" s="213"/>
      <c r="D41" s="214"/>
      <c r="E41" s="214"/>
      <c r="F41" s="214"/>
      <c r="G41" s="214"/>
      <c r="H41" s="214"/>
      <c r="I41" s="214"/>
      <c r="J41" s="214"/>
      <c r="K41" s="214"/>
      <c r="L41" s="214"/>
      <c r="M41" s="214"/>
      <c r="N41" s="214"/>
      <c r="O41" s="214"/>
      <c r="P41" s="214"/>
      <c r="Q41" s="214"/>
      <c r="R41" s="214"/>
      <c r="S41" s="214"/>
      <c r="T41" s="214"/>
      <c r="U41" s="214"/>
      <c r="V41" s="214"/>
      <c r="W41" s="214"/>
      <c r="X41" s="214"/>
      <c r="Y41" s="214"/>
      <c r="Z41" s="214"/>
      <c r="AA41" s="215"/>
      <c r="BV41" s="193" t="s">
        <v>170</v>
      </c>
      <c r="BW41" s="194"/>
      <c r="BX41" s="194"/>
      <c r="BY41" s="194"/>
      <c r="BZ41" s="194"/>
      <c r="CA41" s="194"/>
      <c r="CB41" s="194"/>
      <c r="CC41" s="194"/>
      <c r="CD41" s="194"/>
      <c r="CE41" s="194"/>
      <c r="CF41" s="194"/>
      <c r="CG41" s="194"/>
      <c r="CH41" s="194"/>
      <c r="CI41" s="194"/>
      <c r="CJ41" s="194"/>
      <c r="CK41" s="194"/>
      <c r="CL41" s="194"/>
      <c r="CM41" s="194"/>
      <c r="CN41" s="194"/>
      <c r="CO41" s="194"/>
      <c r="CP41" s="194"/>
      <c r="CQ41" s="194"/>
      <c r="CR41" s="194"/>
      <c r="CS41" s="195"/>
      <c r="CT41" s="32">
        <f>SUM(BZ33,CP33,CR33)</f>
        <v>223.33333333333337</v>
      </c>
      <c r="CU41" s="5">
        <f>(CT41+SESION2!AB41)/8</f>
        <v>69.583333333333343</v>
      </c>
      <c r="CW41" s="135"/>
      <c r="CX41" s="135"/>
      <c r="CY41" s="135"/>
      <c r="CZ41" s="135"/>
      <c r="DA41" s="135"/>
      <c r="DB41" s="135"/>
      <c r="DC41" s="196" t="s">
        <v>490</v>
      </c>
      <c r="DD41" s="197"/>
      <c r="DE41" s="197"/>
      <c r="DF41" s="197"/>
      <c r="DG41" s="197"/>
      <c r="DH41" s="197"/>
      <c r="DI41" s="197"/>
      <c r="DJ41" s="197"/>
      <c r="DK41" s="197"/>
      <c r="DL41" s="197"/>
      <c r="DM41" s="197"/>
      <c r="DN41" s="197"/>
      <c r="DO41" s="197"/>
      <c r="DP41" s="197"/>
      <c r="DQ41" s="197"/>
      <c r="DR41" s="197"/>
      <c r="DS41" s="197"/>
      <c r="DT41" s="198"/>
      <c r="DU41" s="143">
        <f>SUM(CY33,CZ33)</f>
        <v>153.33333333333331</v>
      </c>
      <c r="DV41" s="143">
        <f>SUM(DK33)</f>
        <v>60</v>
      </c>
      <c r="DW41" s="143"/>
      <c r="DX41" s="143">
        <f>SUM(EC33)</f>
        <v>60</v>
      </c>
      <c r="DY41" s="144"/>
      <c r="DZ41" s="115">
        <f>(DU41+SESION2!CI41)/3</f>
        <v>65.555555555555557</v>
      </c>
      <c r="EA41" s="115">
        <f>(DV41+SESION2!CJ41)/2</f>
        <v>73.333333333333343</v>
      </c>
      <c r="EB41" s="115">
        <f>(SESION2!CK41)/2</f>
        <v>61.666666666666664</v>
      </c>
      <c r="EC41" s="115">
        <f>(DX41+SESION2!CL41)/1</f>
        <v>60</v>
      </c>
    </row>
    <row r="42" spans="1:136" ht="16.5" customHeight="1" x14ac:dyDescent="0.35">
      <c r="A42" s="29">
        <v>6</v>
      </c>
      <c r="BV42" s="193" t="s">
        <v>171</v>
      </c>
      <c r="BW42" s="194"/>
      <c r="BX42" s="194"/>
      <c r="BY42" s="194"/>
      <c r="BZ42" s="194"/>
      <c r="CA42" s="194"/>
      <c r="CB42" s="194"/>
      <c r="CC42" s="194"/>
      <c r="CD42" s="194"/>
      <c r="CE42" s="194"/>
      <c r="CF42" s="194"/>
      <c r="CG42" s="194"/>
      <c r="CH42" s="194"/>
      <c r="CI42" s="194"/>
      <c r="CJ42" s="194"/>
      <c r="CK42" s="194"/>
      <c r="CL42" s="194"/>
      <c r="CM42" s="194"/>
      <c r="CN42" s="194"/>
      <c r="CO42" s="194"/>
      <c r="CP42" s="194"/>
      <c r="CQ42" s="194"/>
      <c r="CR42" s="194"/>
      <c r="CS42" s="195"/>
      <c r="CT42" s="32">
        <f>SUM(BW33,CK33,CL33,CN33)</f>
        <v>210</v>
      </c>
      <c r="CU42" s="5">
        <f>(CT42+SESION2!AB42)/6</f>
        <v>52.222222222222229</v>
      </c>
      <c r="CW42" s="135"/>
      <c r="CX42" s="135"/>
      <c r="CY42" s="135"/>
      <c r="CZ42" s="135"/>
      <c r="DA42" s="135"/>
      <c r="DB42" s="135"/>
      <c r="DC42" s="199" t="s">
        <v>491</v>
      </c>
      <c r="DD42" s="200"/>
      <c r="DE42" s="200"/>
      <c r="DF42" s="200"/>
      <c r="DG42" s="200"/>
      <c r="DH42" s="200"/>
      <c r="DI42" s="200"/>
      <c r="DJ42" s="200"/>
      <c r="DK42" s="200"/>
      <c r="DL42" s="200"/>
      <c r="DM42" s="200"/>
      <c r="DN42" s="200"/>
      <c r="DO42" s="200"/>
      <c r="DP42" s="200"/>
      <c r="DQ42" s="200"/>
      <c r="DR42" s="200"/>
      <c r="DS42" s="200"/>
      <c r="DT42" s="201"/>
      <c r="DU42" s="143"/>
      <c r="DV42" s="143">
        <f>SUM(DM33)</f>
        <v>63.333333333333336</v>
      </c>
      <c r="DW42" s="143">
        <f>SUM(DS33,DU33)</f>
        <v>146.66666666666669</v>
      </c>
      <c r="DX42" s="143"/>
      <c r="DY42" s="144"/>
      <c r="DZ42" s="115">
        <f>(SESION2!CI42)/1</f>
        <v>73.333333333333329</v>
      </c>
      <c r="EA42" s="115">
        <f>(DV42+SESION2!CJ42)/1</f>
        <v>63.333333333333336</v>
      </c>
      <c r="EB42" s="115">
        <f>(DW42+SESION2!CK42)/2</f>
        <v>73.333333333333343</v>
      </c>
      <c r="EC42" s="56" t="s">
        <v>239</v>
      </c>
    </row>
    <row r="43" spans="1:136" ht="29" customHeight="1" x14ac:dyDescent="0.35">
      <c r="A43" s="29">
        <v>7</v>
      </c>
      <c r="CW43" s="135"/>
      <c r="CX43" s="135"/>
      <c r="CY43" s="135"/>
      <c r="CZ43" s="135"/>
      <c r="DA43" s="135"/>
      <c r="DB43" s="135"/>
      <c r="DC43" s="196" t="s">
        <v>492</v>
      </c>
      <c r="DD43" s="197"/>
      <c r="DE43" s="197"/>
      <c r="DF43" s="197"/>
      <c r="DG43" s="197"/>
      <c r="DH43" s="197"/>
      <c r="DI43" s="197"/>
      <c r="DJ43" s="197"/>
      <c r="DK43" s="197"/>
      <c r="DL43" s="197"/>
      <c r="DM43" s="197"/>
      <c r="DN43" s="197"/>
      <c r="DO43" s="197"/>
      <c r="DP43" s="197"/>
      <c r="DQ43" s="197"/>
      <c r="DR43" s="197"/>
      <c r="DS43" s="197"/>
      <c r="DT43" s="198"/>
      <c r="DU43" s="143">
        <f>SUM(CV33,DC33,DG33)</f>
        <v>183.33333333333334</v>
      </c>
      <c r="DV43" s="143"/>
      <c r="DW43" s="143"/>
      <c r="DX43" s="144"/>
      <c r="DY43" s="144"/>
      <c r="DZ43" s="115">
        <f>(DU43+SESION2!CI43)/3</f>
        <v>61.111111111111114</v>
      </c>
      <c r="EA43" s="115">
        <f>(SESION2!CJ43)/2</f>
        <v>60</v>
      </c>
      <c r="EB43" s="115">
        <f>(SESION2!CK43)/2</f>
        <v>80</v>
      </c>
      <c r="EC43" s="118" t="s">
        <v>239</v>
      </c>
    </row>
    <row r="44" spans="1:136" x14ac:dyDescent="0.35">
      <c r="A44" s="29">
        <v>8</v>
      </c>
      <c r="CW44" s="135"/>
      <c r="CX44" s="135"/>
      <c r="CY44" s="135"/>
      <c r="CZ44" s="135"/>
      <c r="DA44" s="135"/>
      <c r="DB44" s="135"/>
      <c r="DC44" s="199" t="s">
        <v>493</v>
      </c>
      <c r="DD44" s="200"/>
      <c r="DE44" s="200"/>
      <c r="DF44" s="200"/>
      <c r="DG44" s="200"/>
      <c r="DH44" s="200"/>
      <c r="DI44" s="200"/>
      <c r="DJ44" s="200"/>
      <c r="DK44" s="200"/>
      <c r="DL44" s="200"/>
      <c r="DM44" s="200"/>
      <c r="DN44" s="200"/>
      <c r="DO44" s="200"/>
      <c r="DP44" s="200"/>
      <c r="DQ44" s="200"/>
      <c r="DR44" s="200"/>
      <c r="DS44" s="200"/>
      <c r="DT44" s="201"/>
      <c r="DU44" s="143"/>
      <c r="DV44" s="143">
        <f>SUM(DL33)</f>
        <v>70</v>
      </c>
      <c r="DW44" s="143">
        <f>SUM(DR33,DT33,DX33)</f>
        <v>193.33333333333334</v>
      </c>
      <c r="DX44" s="144"/>
      <c r="DY44" s="144"/>
      <c r="DZ44" s="115">
        <f>(SESION2!CI44)/1</f>
        <v>63.333333333333336</v>
      </c>
      <c r="EA44" s="115">
        <f>(DV44+SESION2!CJ44)/2</f>
        <v>60</v>
      </c>
      <c r="EB44" s="115">
        <f>(DW44+SESION2!CK44)/3</f>
        <v>64.444444444444443</v>
      </c>
      <c r="EC44" s="118" t="s">
        <v>239</v>
      </c>
    </row>
    <row r="45" spans="1:136" x14ac:dyDescent="0.35">
      <c r="A45" s="29">
        <v>9</v>
      </c>
      <c r="CW45" s="135"/>
      <c r="CX45" s="135"/>
      <c r="CY45" s="135"/>
      <c r="CZ45" s="135"/>
      <c r="DA45" s="135"/>
      <c r="DB45" s="135"/>
      <c r="DC45" s="199" t="s">
        <v>494</v>
      </c>
      <c r="DD45" s="200"/>
      <c r="DE45" s="200"/>
      <c r="DF45" s="200"/>
      <c r="DG45" s="200"/>
      <c r="DH45" s="200"/>
      <c r="DI45" s="200"/>
      <c r="DJ45" s="200"/>
      <c r="DK45" s="200"/>
      <c r="DL45" s="200"/>
      <c r="DM45" s="200"/>
      <c r="DN45" s="200"/>
      <c r="DO45" s="200"/>
      <c r="DP45" s="200"/>
      <c r="DQ45" s="200"/>
      <c r="DR45" s="200"/>
      <c r="DS45" s="200"/>
      <c r="DT45" s="201"/>
      <c r="DU45" s="143">
        <f>SUM(DD33)</f>
        <v>60</v>
      </c>
      <c r="DV45" s="143"/>
      <c r="DW45" s="144">
        <f>SUM(DV33)</f>
        <v>40</v>
      </c>
      <c r="DX45" s="144"/>
      <c r="DY45" s="144"/>
      <c r="DZ45" s="115">
        <f>(DU45+SESION2!CI45)/1</f>
        <v>60</v>
      </c>
      <c r="EA45" s="115">
        <f>(SESION2!CJ45)/3</f>
        <v>76.666666666666671</v>
      </c>
      <c r="EB45" s="115">
        <f>(DW45+SESION2!CK45)/2</f>
        <v>53.333333333333336</v>
      </c>
      <c r="EC45" s="1" t="s">
        <v>239</v>
      </c>
    </row>
    <row r="46" spans="1:136" x14ac:dyDescent="0.35">
      <c r="A46" s="99" t="s">
        <v>348</v>
      </c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1"/>
      <c r="AC46" s="101"/>
      <c r="AD46" s="100"/>
      <c r="AE46" s="100"/>
      <c r="AF46" s="100"/>
      <c r="AG46" s="100"/>
      <c r="AH46" s="100"/>
      <c r="AI46" s="100"/>
      <c r="AJ46" s="100"/>
      <c r="AK46" s="100"/>
      <c r="AL46" s="100"/>
      <c r="AM46" s="100"/>
      <c r="AN46" s="100"/>
      <c r="AO46" s="100"/>
      <c r="AP46" s="100"/>
      <c r="AQ46" s="100"/>
      <c r="AR46" s="100"/>
      <c r="AS46" s="100"/>
      <c r="AT46" s="100"/>
      <c r="AU46" s="100"/>
      <c r="AV46" s="100"/>
      <c r="AW46" s="100"/>
      <c r="AX46" s="100"/>
      <c r="AY46" s="100"/>
      <c r="AZ46" s="100"/>
      <c r="BA46" s="100"/>
      <c r="BB46" s="100"/>
      <c r="BC46" s="100"/>
      <c r="BD46" s="100"/>
      <c r="BE46" s="100"/>
      <c r="BF46" s="100"/>
      <c r="BG46" s="100"/>
      <c r="BH46" s="100"/>
      <c r="BI46" s="100"/>
      <c r="BJ46" s="100"/>
      <c r="BK46" s="100"/>
      <c r="BL46" s="100"/>
      <c r="BM46" s="100"/>
      <c r="BN46" s="100"/>
      <c r="BO46" s="100"/>
      <c r="BP46" s="100"/>
      <c r="BQ46" s="100"/>
      <c r="BR46" s="100"/>
      <c r="BS46" s="102"/>
      <c r="BT46" s="102"/>
      <c r="BU46" s="100"/>
      <c r="BV46" s="100"/>
      <c r="BW46" s="100"/>
      <c r="BX46" s="100"/>
      <c r="BY46" s="100"/>
      <c r="BZ46" s="100"/>
      <c r="CA46" s="100"/>
      <c r="CB46" s="100"/>
      <c r="CC46" s="100"/>
      <c r="CD46" s="100"/>
      <c r="CE46" s="100"/>
      <c r="CF46" s="100"/>
      <c r="CG46" s="100"/>
      <c r="CH46" s="100"/>
      <c r="CI46" s="100"/>
      <c r="CJ46" s="100"/>
      <c r="CK46" s="100"/>
      <c r="CL46" s="100"/>
      <c r="CM46" s="100"/>
      <c r="CN46" s="100"/>
      <c r="CO46" s="100"/>
      <c r="CP46" s="100"/>
      <c r="CQ46" s="100"/>
      <c r="CR46" s="100"/>
      <c r="CS46" s="100"/>
      <c r="CT46" s="103"/>
      <c r="CU46" s="103"/>
      <c r="CV46" s="100"/>
      <c r="CW46" s="100"/>
      <c r="CX46" s="100"/>
      <c r="CY46" s="100"/>
      <c r="CZ46" s="100"/>
      <c r="DA46" s="100"/>
      <c r="DB46" s="100"/>
      <c r="DC46" s="100"/>
      <c r="DD46" s="100"/>
      <c r="DE46" s="100"/>
      <c r="DF46" s="100"/>
      <c r="DG46" s="100"/>
      <c r="DH46" s="109"/>
      <c r="DI46" s="109"/>
      <c r="DJ46" s="100"/>
      <c r="DK46" s="100"/>
      <c r="DL46" s="100"/>
      <c r="DM46" s="100"/>
      <c r="DN46" s="100"/>
      <c r="DO46" s="100"/>
      <c r="DP46" s="112"/>
      <c r="DQ46" s="112"/>
      <c r="DR46" s="100"/>
      <c r="DS46" s="100"/>
      <c r="DT46" s="100"/>
      <c r="DU46" s="100"/>
      <c r="DV46" s="100"/>
      <c r="DW46" s="100"/>
      <c r="DX46" s="100"/>
      <c r="DY46" s="100"/>
      <c r="DZ46" s="116"/>
      <c r="EA46" s="116"/>
      <c r="EB46" s="100"/>
      <c r="EC46" s="100"/>
      <c r="ED46" s="100"/>
      <c r="EE46" s="121"/>
      <c r="EF46" s="121"/>
    </row>
    <row r="47" spans="1:136" x14ac:dyDescent="0.35">
      <c r="A47" s="104"/>
      <c r="B47" s="104"/>
      <c r="C47" s="104"/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  <c r="AA47" s="104"/>
      <c r="AB47" s="105"/>
      <c r="AC47" s="105"/>
      <c r="AD47" s="104"/>
      <c r="AE47" s="104"/>
      <c r="AF47" s="104"/>
      <c r="AG47" s="104"/>
      <c r="AH47" s="104"/>
      <c r="AI47" s="104"/>
      <c r="AJ47" s="104"/>
      <c r="AK47" s="104"/>
      <c r="AL47" s="104"/>
      <c r="AM47" s="104"/>
      <c r="AN47" s="104"/>
      <c r="AO47" s="104"/>
      <c r="AP47" s="104"/>
      <c r="AQ47" s="104"/>
      <c r="AR47" s="104"/>
      <c r="AS47" s="104"/>
      <c r="AT47" s="104"/>
      <c r="AU47" s="104"/>
      <c r="AV47" s="104"/>
      <c r="AW47" s="104"/>
      <c r="AX47" s="104"/>
      <c r="AY47" s="104"/>
      <c r="AZ47" s="104"/>
      <c r="BA47" s="104"/>
      <c r="BB47" s="104"/>
      <c r="BC47" s="104"/>
      <c r="BD47" s="104"/>
      <c r="BE47" s="104"/>
      <c r="BF47" s="104"/>
      <c r="BG47" s="104"/>
      <c r="BH47" s="104"/>
      <c r="BI47" s="104"/>
      <c r="BJ47" s="104"/>
      <c r="BK47" s="104"/>
      <c r="BL47" s="104"/>
      <c r="BM47" s="104"/>
      <c r="BN47" s="104"/>
      <c r="BO47" s="104"/>
      <c r="BP47" s="104"/>
      <c r="BQ47" s="104"/>
      <c r="BR47" s="104"/>
      <c r="BS47" s="106"/>
      <c r="BT47" s="106"/>
      <c r="BU47" s="104"/>
      <c r="BV47" s="104"/>
      <c r="BW47" s="104"/>
      <c r="BX47" s="104"/>
      <c r="BY47" s="104"/>
      <c r="BZ47" s="104"/>
      <c r="CA47" s="104"/>
      <c r="CB47" s="104"/>
      <c r="CC47" s="104"/>
      <c r="CD47" s="104"/>
      <c r="CE47" s="104"/>
      <c r="CF47" s="104"/>
      <c r="CG47" s="104"/>
      <c r="CH47" s="104"/>
      <c r="CI47" s="104"/>
      <c r="CJ47" s="104"/>
      <c r="CK47" s="104"/>
      <c r="CL47" s="104"/>
      <c r="CM47" s="104"/>
      <c r="CN47" s="104"/>
      <c r="CO47" s="104"/>
      <c r="CP47" s="104"/>
      <c r="CQ47" s="104"/>
      <c r="CR47" s="104"/>
      <c r="CS47" s="104"/>
      <c r="CT47" s="107"/>
      <c r="CU47" s="107"/>
      <c r="CV47" s="104"/>
      <c r="CW47" s="104"/>
      <c r="CX47" s="104"/>
      <c r="CY47" s="104"/>
      <c r="CZ47" s="104"/>
      <c r="DA47" s="104"/>
      <c r="DB47" s="104"/>
      <c r="DC47" s="104"/>
      <c r="DD47" s="104"/>
      <c r="DE47" s="104"/>
      <c r="DF47" s="104"/>
      <c r="DG47" s="104"/>
      <c r="DH47" s="110"/>
      <c r="DI47" s="110"/>
      <c r="DJ47" s="104"/>
      <c r="DK47" s="104"/>
      <c r="DL47" s="104"/>
      <c r="DM47" s="104"/>
      <c r="DN47" s="104"/>
      <c r="DO47" s="104"/>
      <c r="DP47" s="113"/>
      <c r="DQ47" s="113"/>
      <c r="DR47" s="104"/>
      <c r="DS47" s="104"/>
      <c r="DT47" s="104"/>
      <c r="DU47" s="104"/>
      <c r="DV47" s="104"/>
      <c r="DW47" s="104"/>
      <c r="DX47" s="104"/>
      <c r="DY47" s="104"/>
      <c r="DZ47" s="117"/>
      <c r="EA47" s="117"/>
      <c r="EB47" s="104"/>
      <c r="EC47" s="104"/>
      <c r="ED47" s="104"/>
      <c r="EE47" s="122"/>
      <c r="EF47" s="122"/>
    </row>
  </sheetData>
  <sortState columnSort="1" ref="DH1:DV105">
    <sortCondition sortBy="cellColor" ref="DJ1:DV1" dxfId="62"/>
  </sortState>
  <mergeCells count="22">
    <mergeCell ref="DC43:DT43"/>
    <mergeCell ref="DC44:DT44"/>
    <mergeCell ref="DC45:DT45"/>
    <mergeCell ref="DC37:DT37"/>
    <mergeCell ref="DC38:DT38"/>
    <mergeCell ref="DC39:DT39"/>
    <mergeCell ref="DC40:DT40"/>
    <mergeCell ref="BV42:CS42"/>
    <mergeCell ref="DC41:DT41"/>
    <mergeCell ref="DC42:DT42"/>
    <mergeCell ref="C37:AA37"/>
    <mergeCell ref="AQ37:BR37"/>
    <mergeCell ref="BV37:CS37"/>
    <mergeCell ref="C38:AA38"/>
    <mergeCell ref="AQ38:BR38"/>
    <mergeCell ref="BV38:CS38"/>
    <mergeCell ref="C39:AA39"/>
    <mergeCell ref="AQ39:BR39"/>
    <mergeCell ref="BV39:CS39"/>
    <mergeCell ref="BV40:CS40"/>
    <mergeCell ref="BV41:CS41"/>
    <mergeCell ref="C41:AA41"/>
  </mergeCells>
  <conditionalFormatting sqref="C34:EE34">
    <cfRule type="containsText" dxfId="43" priority="23" operator="containsText" text="S">
      <formula>NOT(ISERROR(SEARCH("S",C34)))</formula>
    </cfRule>
    <cfRule type="containsText" dxfId="42" priority="24" operator="containsText" text="M">
      <formula>NOT(ISERROR(SEARCH("M",C34)))</formula>
    </cfRule>
    <cfRule type="containsText" dxfId="41" priority="25" operator="containsText" text="A">
      <formula>NOT(ISERROR(SEARCH("A",C34)))</formula>
    </cfRule>
    <cfRule type="containsText" dxfId="40" priority="26" operator="containsText" text="I">
      <formula>NOT(ISERROR(SEARCH("I",C34)))</formula>
    </cfRule>
  </conditionalFormatting>
  <conditionalFormatting sqref="AC37:AC39">
    <cfRule type="cellIs" dxfId="39" priority="20" operator="between">
      <formula>70</formula>
      <formula>100</formula>
    </cfRule>
    <cfRule type="cellIs" dxfId="38" priority="21" operator="between">
      <formula>20</formula>
      <formula>39</formula>
    </cfRule>
    <cfRule type="cellIs" dxfId="37" priority="22" operator="between">
      <formula>0</formula>
      <formula>19</formula>
    </cfRule>
  </conditionalFormatting>
  <conditionalFormatting sqref="BT37:BT39">
    <cfRule type="cellIs" dxfId="36" priority="13" operator="between">
      <formula>69</formula>
      <formula>101</formula>
    </cfRule>
    <cfRule type="cellIs" dxfId="35" priority="14" operator="between">
      <formula>19</formula>
      <formula>40</formula>
    </cfRule>
    <cfRule type="cellIs" dxfId="34" priority="15" operator="between">
      <formula>39</formula>
      <formula>70</formula>
    </cfRule>
    <cfRule type="cellIs" dxfId="33" priority="16" operator="between">
      <formula>19</formula>
      <formula>40</formula>
    </cfRule>
    <cfRule type="cellIs" dxfId="32" priority="17" operator="between">
      <formula>19</formula>
      <formula>40</formula>
    </cfRule>
    <cfRule type="cellIs" dxfId="31" priority="18" operator="between">
      <formula>20</formula>
      <formula>39</formula>
    </cfRule>
    <cfRule type="cellIs" dxfId="30" priority="19" operator="between">
      <formula>0</formula>
      <formula>19</formula>
    </cfRule>
  </conditionalFormatting>
  <conditionalFormatting sqref="CU37:CU42">
    <cfRule type="cellIs" dxfId="29" priority="9" operator="between">
      <formula>69</formula>
      <formula>100</formula>
    </cfRule>
    <cfRule type="cellIs" dxfId="28" priority="10" operator="between">
      <formula>39</formula>
      <formula>70</formula>
    </cfRule>
    <cfRule type="cellIs" dxfId="27" priority="11" operator="between">
      <formula>19</formula>
      <formula>40</formula>
    </cfRule>
    <cfRule type="cellIs" dxfId="26" priority="12" operator="between">
      <formula>0</formula>
      <formula>20</formula>
    </cfRule>
  </conditionalFormatting>
  <conditionalFormatting sqref="DZ37:EC37 DZ45:EB45 EA38:EC44 DZ37:DZ44">
    <cfRule type="cellIs" dxfId="25" priority="1" operator="between">
      <formula>69</formula>
      <formula>101</formula>
    </cfRule>
    <cfRule type="cellIs" dxfId="24" priority="2" operator="between">
      <formula>39</formula>
      <formula>70</formula>
    </cfRule>
    <cfRule type="cellIs" dxfId="23" priority="3" operator="between">
      <formula>19</formula>
      <formula>40</formula>
    </cfRule>
    <cfRule type="cellIs" dxfId="22" priority="4" operator="between">
      <formula>0</formula>
      <formula>20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D47"/>
  <sheetViews>
    <sheetView zoomScale="96" zoomScaleNormal="96" workbookViewId="0">
      <pane xSplit="2" ySplit="1" topLeftCell="C22" activePane="bottomRight" state="frozen"/>
      <selection pane="topRight" activeCell="C1" sqref="C1"/>
      <selection pane="bottomLeft" activeCell="A2" sqref="A2"/>
      <selection pane="bottomRight" activeCell="A32" sqref="A32:XFD214"/>
    </sheetView>
  </sheetViews>
  <sheetFormatPr baseColWidth="10" defaultColWidth="10.81640625" defaultRowHeight="14.5" x14ac:dyDescent="0.35"/>
  <cols>
    <col min="1" max="1" width="38.54296875" style="1" bestFit="1" customWidth="1"/>
    <col min="2" max="2" width="7.08984375" style="1" bestFit="1" customWidth="1"/>
    <col min="3" max="3" width="4.26953125" style="1" customWidth="1"/>
    <col min="4" max="11" width="3.81640625" style="1" bestFit="1" customWidth="1"/>
    <col min="12" max="26" width="4.81640625" style="1" bestFit="1" customWidth="1"/>
    <col min="27" max="27" width="4.81640625" style="1" customWidth="1"/>
    <col min="28" max="28" width="6.54296875" style="5" customWidth="1"/>
    <col min="29" max="29" width="4.08984375" style="5" customWidth="1"/>
    <col min="30" max="30" width="4" style="1" bestFit="1" customWidth="1"/>
    <col min="31" max="54" width="4.81640625" style="1" bestFit="1" customWidth="1"/>
    <col min="55" max="55" width="6.1796875" style="3" customWidth="1"/>
    <col min="56" max="56" width="3.81640625" style="3" customWidth="1"/>
    <col min="57" max="58" width="4.81640625" style="1" bestFit="1" customWidth="1"/>
    <col min="59" max="61" width="4.81640625" style="1" customWidth="1"/>
    <col min="62" max="62" width="5" style="13" customWidth="1"/>
    <col min="63" max="63" width="4" style="13" bestFit="1" customWidth="1"/>
    <col min="64" max="64" width="4.81640625" style="1" bestFit="1" customWidth="1"/>
    <col min="65" max="76" width="4.81640625" style="1" customWidth="1"/>
    <col min="77" max="77" width="5.36328125" style="11" customWidth="1"/>
    <col min="78" max="78" width="4.1796875" style="11" customWidth="1"/>
    <col min="79" max="79" width="4.81640625" style="1" bestFit="1" customWidth="1"/>
    <col min="80" max="82" width="4.81640625" style="1" customWidth="1"/>
    <col min="83" max="86" width="4.81640625" style="1" bestFit="1" customWidth="1"/>
    <col min="87" max="88" width="4.81640625" style="1" customWidth="1"/>
    <col min="89" max="89" width="5.54296875" style="12" customWidth="1"/>
    <col min="90" max="90" width="4.1796875" style="12" customWidth="1"/>
    <col min="91" max="91" width="4.81640625" style="1" customWidth="1"/>
    <col min="92" max="92" width="5" style="17" bestFit="1" customWidth="1"/>
    <col min="93" max="93" width="4.1796875" style="17" customWidth="1"/>
    <col min="94" max="113" width="4.81640625" style="1" bestFit="1" customWidth="1"/>
    <col min="114" max="140" width="5.81640625" style="1" bestFit="1" customWidth="1"/>
    <col min="141" max="148" width="5.81640625" style="1" customWidth="1"/>
    <col min="149" max="149" width="6.81640625" style="6" customWidth="1"/>
    <col min="150" max="150" width="5.81640625" style="6" customWidth="1"/>
    <col min="151" max="158" width="5.81640625" style="1" customWidth="1"/>
    <col min="159" max="16384" width="10.81640625" style="1"/>
  </cols>
  <sheetData>
    <row r="1" spans="1:150" x14ac:dyDescent="0.35">
      <c r="A1" s="1" t="str">
        <f>SESION1!A1</f>
        <v>Apellidos y Nombres</v>
      </c>
      <c r="B1" s="1" t="str">
        <f>SESION1!B1</f>
        <v>Codigo</v>
      </c>
      <c r="C1" s="5" t="str">
        <f>'in2'!M1</f>
        <v>P1</v>
      </c>
      <c r="D1" s="5" t="str">
        <f>'in2'!N1</f>
        <v>P2</v>
      </c>
      <c r="E1" s="5" t="str">
        <f>'in2'!O1</f>
        <v>P3</v>
      </c>
      <c r="F1" s="5" t="str">
        <f>'in2'!P1</f>
        <v>P4</v>
      </c>
      <c r="G1" s="5" t="str">
        <f>'in2'!Q1</f>
        <v>P5</v>
      </c>
      <c r="H1" s="5" t="str">
        <f>'in2'!R1</f>
        <v>P6</v>
      </c>
      <c r="I1" s="5" t="str">
        <f>'in2'!S1</f>
        <v>P7</v>
      </c>
      <c r="J1" s="5" t="str">
        <f>'in2'!T1</f>
        <v>P8</v>
      </c>
      <c r="K1" s="5" t="str">
        <f>'in2'!U1</f>
        <v>P9</v>
      </c>
      <c r="L1" s="5" t="str">
        <f>'in2'!V1</f>
        <v>P10</v>
      </c>
      <c r="M1" s="5" t="str">
        <f>'in2'!W1</f>
        <v>P11</v>
      </c>
      <c r="N1" s="5" t="str">
        <f>'in2'!X1</f>
        <v>P12</v>
      </c>
      <c r="O1" s="5" t="str">
        <f>'in2'!Y1</f>
        <v>P13</v>
      </c>
      <c r="P1" s="5" t="str">
        <f>'in2'!Z1</f>
        <v>P14</v>
      </c>
      <c r="Q1" s="5" t="str">
        <f>'in2'!AA1</f>
        <v>P15</v>
      </c>
      <c r="R1" s="5" t="str">
        <f>'in2'!AB1</f>
        <v>P16</v>
      </c>
      <c r="S1" s="5" t="str">
        <f>'in2'!AC1</f>
        <v>P17</v>
      </c>
      <c r="T1" s="5" t="str">
        <f>'in2'!AD1</f>
        <v>P18</v>
      </c>
      <c r="U1" s="5" t="str">
        <f>'in2'!AE1</f>
        <v>P19</v>
      </c>
      <c r="V1" s="5" t="str">
        <f>'in2'!AF1</f>
        <v>P20</v>
      </c>
      <c r="W1" s="5" t="str">
        <f>'in2'!AG1</f>
        <v>P21</v>
      </c>
      <c r="X1" s="5" t="str">
        <f>'in2'!AH1</f>
        <v>P22</v>
      </c>
      <c r="Y1" s="5" t="str">
        <f>'in2'!AI1</f>
        <v>P23</v>
      </c>
      <c r="Z1" s="5" t="str">
        <f>'in2'!AJ1</f>
        <v>P24</v>
      </c>
      <c r="AA1" s="5" t="str">
        <f>'in2'!AK1</f>
        <v>P25</v>
      </c>
      <c r="AB1" s="5" t="s">
        <v>122</v>
      </c>
      <c r="AC1" s="5" t="s">
        <v>123</v>
      </c>
      <c r="AD1" s="3" t="str">
        <f>'in2'!AL1</f>
        <v>P26</v>
      </c>
      <c r="AE1" s="3" t="str">
        <f>'in2'!AM1</f>
        <v>P27</v>
      </c>
      <c r="AF1" s="3" t="str">
        <f>'in2'!AN1</f>
        <v>P28</v>
      </c>
      <c r="AG1" s="3" t="str">
        <f>'in2'!AO1</f>
        <v>P29</v>
      </c>
      <c r="AH1" s="3" t="str">
        <f>'in2'!AP1</f>
        <v>P30</v>
      </c>
      <c r="AI1" s="3" t="str">
        <f>'in2'!AQ1</f>
        <v>P31</v>
      </c>
      <c r="AJ1" s="3" t="str">
        <f>'in2'!AR1</f>
        <v>P32</v>
      </c>
      <c r="AK1" s="3" t="str">
        <f>'in2'!AS1</f>
        <v>P33</v>
      </c>
      <c r="AL1" s="3" t="str">
        <f>'in2'!AT1</f>
        <v>P34</v>
      </c>
      <c r="AM1" s="3" t="str">
        <f>'in2'!AU1</f>
        <v>P35</v>
      </c>
      <c r="AN1" s="3" t="str">
        <f>'in2'!AV1</f>
        <v>P36</v>
      </c>
      <c r="AO1" s="3" t="str">
        <f>'in2'!AW1</f>
        <v>P37</v>
      </c>
      <c r="AP1" s="3" t="str">
        <f>'in2'!AX1</f>
        <v>P38</v>
      </c>
      <c r="AQ1" s="3" t="str">
        <f>'in2'!AY1</f>
        <v>P39</v>
      </c>
      <c r="AR1" s="3" t="str">
        <f>'in2'!AZ1</f>
        <v>P40</v>
      </c>
      <c r="AS1" s="3" t="str">
        <f>'in2'!BA1</f>
        <v>P41</v>
      </c>
      <c r="AT1" s="3" t="str">
        <f>'in2'!BB1</f>
        <v>P42</v>
      </c>
      <c r="AU1" s="3" t="str">
        <f>'in2'!BC1</f>
        <v>P43</v>
      </c>
      <c r="AV1" s="3" t="str">
        <f>'in2'!BD1</f>
        <v>P44</v>
      </c>
      <c r="AW1" s="3" t="str">
        <f>'in2'!BE1</f>
        <v>P45</v>
      </c>
      <c r="AX1" s="3" t="str">
        <f>'in2'!BF1</f>
        <v>P46</v>
      </c>
      <c r="AY1" s="3" t="str">
        <f>'in2'!BG1</f>
        <v>P47</v>
      </c>
      <c r="AZ1" s="3" t="str">
        <f>'in2'!BH1</f>
        <v>P48</v>
      </c>
      <c r="BA1" s="3" t="str">
        <f>'in2'!BI1</f>
        <v>P49</v>
      </c>
      <c r="BB1" s="3" t="str">
        <f>'in2'!BJ1</f>
        <v>P50</v>
      </c>
      <c r="BC1" s="3" t="s">
        <v>122</v>
      </c>
      <c r="BD1" s="3" t="s">
        <v>123</v>
      </c>
      <c r="BE1" s="13" t="str">
        <f>'in2'!BK1</f>
        <v>P54</v>
      </c>
      <c r="BF1" s="13" t="str">
        <f>'in2'!BL1</f>
        <v>P60</v>
      </c>
      <c r="BG1" s="13" t="str">
        <f>'in2'!BM1</f>
        <v>P62</v>
      </c>
      <c r="BH1" s="13" t="str">
        <f>'in2'!BN1</f>
        <v>P63</v>
      </c>
      <c r="BI1" s="13" t="str">
        <f>'in2'!BO1</f>
        <v>P79</v>
      </c>
      <c r="BJ1" s="13" t="s">
        <v>122</v>
      </c>
      <c r="BK1" s="13" t="s">
        <v>123</v>
      </c>
      <c r="BL1" s="11" t="str">
        <f>'in2'!BP1</f>
        <v>P51</v>
      </c>
      <c r="BM1" s="11" t="str">
        <f>'in2'!BQ1</f>
        <v>P52</v>
      </c>
      <c r="BN1" s="11" t="str">
        <f>'in2'!BR1</f>
        <v>P55</v>
      </c>
      <c r="BO1" s="11" t="str">
        <f>'in2'!BS1</f>
        <v>P57</v>
      </c>
      <c r="BP1" s="11" t="str">
        <f>'in2'!BT1</f>
        <v>P61</v>
      </c>
      <c r="BQ1" s="11" t="str">
        <f>'in2'!BU1</f>
        <v>P68</v>
      </c>
      <c r="BR1" s="11" t="str">
        <f>'in2'!BV1</f>
        <v>P70</v>
      </c>
      <c r="BS1" s="11" t="str">
        <f>'in2'!BW1</f>
        <v>P71</v>
      </c>
      <c r="BT1" s="11" t="str">
        <f>'in2'!BX1</f>
        <v>P72</v>
      </c>
      <c r="BU1" s="11" t="str">
        <f>'in2'!BY1</f>
        <v>P73</v>
      </c>
      <c r="BV1" s="11" t="str">
        <f>'in2'!BZ1</f>
        <v>P75</v>
      </c>
      <c r="BW1" s="11" t="str">
        <f>'in2'!CA1</f>
        <v>P77</v>
      </c>
      <c r="BX1" s="11" t="str">
        <f>'in2'!CB1</f>
        <v>P78</v>
      </c>
      <c r="BY1" s="11" t="s">
        <v>122</v>
      </c>
      <c r="BZ1" s="11" t="s">
        <v>123</v>
      </c>
      <c r="CA1" s="12" t="str">
        <f>'in2'!CC1</f>
        <v>P53</v>
      </c>
      <c r="CB1" s="12" t="str">
        <f>'in2'!CD1</f>
        <v>P56</v>
      </c>
      <c r="CC1" s="12" t="str">
        <f>'in2'!CE1</f>
        <v>P58</v>
      </c>
      <c r="CD1" s="12" t="str">
        <f>'in2'!CF1</f>
        <v>P59</v>
      </c>
      <c r="CE1" s="12" t="str">
        <f>'in2'!CG1</f>
        <v>P64</v>
      </c>
      <c r="CF1" s="12" t="str">
        <f>'in2'!CH1</f>
        <v>P65</v>
      </c>
      <c r="CG1" s="12" t="str">
        <f>'in2'!CI1</f>
        <v>P66</v>
      </c>
      <c r="CH1" s="12" t="str">
        <f>'in2'!CJ1</f>
        <v>P67</v>
      </c>
      <c r="CI1" s="12" t="str">
        <f>'in2'!CK1</f>
        <v>P69</v>
      </c>
      <c r="CJ1" s="12" t="str">
        <f>'in2'!CL1</f>
        <v>P74</v>
      </c>
      <c r="CK1" s="12" t="s">
        <v>122</v>
      </c>
      <c r="CL1" s="12" t="s">
        <v>123</v>
      </c>
      <c r="CM1" s="17" t="str">
        <f>'in2'!CM1</f>
        <v>P76</v>
      </c>
      <c r="CN1" s="17" t="s">
        <v>122</v>
      </c>
      <c r="CO1" s="17" t="s">
        <v>123</v>
      </c>
      <c r="CP1" s="6" t="str">
        <f>'in2'!CN1</f>
        <v>P80</v>
      </c>
      <c r="CQ1" s="6" t="str">
        <f>'in2'!CO1</f>
        <v>P81</v>
      </c>
      <c r="CR1" s="6" t="str">
        <f>'in2'!CP1</f>
        <v>P82</v>
      </c>
      <c r="CS1" s="6" t="str">
        <f>'in2'!CQ1</f>
        <v>P83</v>
      </c>
      <c r="CT1" s="6" t="str">
        <f>'in2'!CR1</f>
        <v>P84</v>
      </c>
      <c r="CU1" s="6" t="str">
        <f>'in2'!CS1</f>
        <v>P85</v>
      </c>
      <c r="CV1" s="6" t="str">
        <f>'in2'!CT1</f>
        <v>P86</v>
      </c>
      <c r="CW1" s="6" t="str">
        <f>'in2'!CU1</f>
        <v>P87</v>
      </c>
      <c r="CX1" s="6" t="str">
        <f>'in2'!CV1</f>
        <v>P88</v>
      </c>
      <c r="CY1" s="6" t="str">
        <f>'in2'!CW1</f>
        <v>P89</v>
      </c>
      <c r="CZ1" s="6" t="str">
        <f>'in2'!CX1</f>
        <v>P90</v>
      </c>
      <c r="DA1" s="6" t="str">
        <f>'in2'!CY1</f>
        <v>P91</v>
      </c>
      <c r="DB1" s="6" t="str">
        <f>'in2'!CZ1</f>
        <v>P92</v>
      </c>
      <c r="DC1" s="6" t="str">
        <f>'in2'!DA1</f>
        <v>P93</v>
      </c>
      <c r="DD1" s="6" t="str">
        <f>'in2'!DB1</f>
        <v>P94</v>
      </c>
      <c r="DE1" s="6" t="str">
        <f>'in2'!DC1</f>
        <v>P95</v>
      </c>
      <c r="DF1" s="6" t="str">
        <f>'in2'!DD1</f>
        <v>P96</v>
      </c>
      <c r="DG1" s="6" t="str">
        <f>'in2'!DE1</f>
        <v>P97</v>
      </c>
      <c r="DH1" s="6" t="str">
        <f>'in2'!DF1</f>
        <v>P98</v>
      </c>
      <c r="DI1" s="6" t="str">
        <f>'in2'!DG1</f>
        <v>P99</v>
      </c>
      <c r="DJ1" s="6" t="str">
        <f>'in2'!DH1</f>
        <v>P100</v>
      </c>
      <c r="DK1" s="6" t="str">
        <f>'in2'!DI1</f>
        <v>P101</v>
      </c>
      <c r="DL1" s="6" t="str">
        <f>'in2'!DJ1</f>
        <v>P102</v>
      </c>
      <c r="DM1" s="6" t="str">
        <f>'in2'!DK1</f>
        <v>P103</v>
      </c>
      <c r="DN1" s="6" t="str">
        <f>'in2'!DL1</f>
        <v>P104</v>
      </c>
      <c r="DO1" s="6" t="str">
        <f>'in2'!DM1</f>
        <v>P105</v>
      </c>
      <c r="DP1" s="6" t="str">
        <f>'in2'!DN1</f>
        <v>P106</v>
      </c>
      <c r="DQ1" s="6" t="str">
        <f>'in2'!DO1</f>
        <v>P107</v>
      </c>
      <c r="DR1" s="6" t="str">
        <f>'in2'!DP1</f>
        <v>P108</v>
      </c>
      <c r="DS1" s="6" t="str">
        <f>'in2'!DQ1</f>
        <v>P109</v>
      </c>
      <c r="DT1" s="6" t="str">
        <f>'in2'!DR1</f>
        <v>P110</v>
      </c>
      <c r="DU1" s="6" t="str">
        <f>'in2'!DS1</f>
        <v>P111</v>
      </c>
      <c r="DV1" s="6" t="str">
        <f>'in2'!DT1</f>
        <v>P112</v>
      </c>
      <c r="DW1" s="6" t="str">
        <f>'in2'!DU1</f>
        <v>P113</v>
      </c>
      <c r="DX1" s="6" t="str">
        <f>'in2'!DV1</f>
        <v>P114</v>
      </c>
      <c r="DY1" s="6" t="str">
        <f>'in2'!DW1</f>
        <v>P115</v>
      </c>
      <c r="DZ1" s="6" t="str">
        <f>'in2'!DX1</f>
        <v>P116</v>
      </c>
      <c r="EA1" s="6" t="str">
        <f>'in2'!DY1</f>
        <v>P117</v>
      </c>
      <c r="EB1" s="6" t="str">
        <f>'in2'!DZ1</f>
        <v>P118</v>
      </c>
      <c r="EC1" s="6" t="str">
        <f>'in2'!EA1</f>
        <v>P119</v>
      </c>
      <c r="ED1" s="6" t="str">
        <f>'in2'!EB1</f>
        <v>P120</v>
      </c>
      <c r="EE1" s="6" t="str">
        <f>'in2'!EC1</f>
        <v>P121</v>
      </c>
      <c r="EF1" s="6" t="str">
        <f>'in2'!ED1</f>
        <v>P122</v>
      </c>
      <c r="EG1" s="6" t="str">
        <f>'in2'!EE1</f>
        <v>P123</v>
      </c>
      <c r="EH1" s="6" t="str">
        <f>'in2'!EF1</f>
        <v>P124</v>
      </c>
      <c r="EI1" s="6" t="str">
        <f>'in2'!EG1</f>
        <v>P125</v>
      </c>
      <c r="EJ1" s="6" t="str">
        <f>'in2'!EH1</f>
        <v>P126</v>
      </c>
      <c r="EK1" s="6" t="str">
        <f>'in2'!EI1</f>
        <v>P127</v>
      </c>
      <c r="EL1" s="6" t="str">
        <f>'in2'!EJ1</f>
        <v>P128</v>
      </c>
      <c r="EM1" s="6" t="str">
        <f>'in2'!EK1</f>
        <v>P129</v>
      </c>
      <c r="EN1" s="6" t="str">
        <f>'in2'!EL1</f>
        <v>P130</v>
      </c>
      <c r="EO1" s="6" t="str">
        <f>'in2'!EM1</f>
        <v>P131</v>
      </c>
      <c r="EP1" s="6" t="str">
        <f>'in2'!EN1</f>
        <v>P132</v>
      </c>
      <c r="EQ1" s="6" t="str">
        <f>'in2'!EO1</f>
        <v>P133</v>
      </c>
      <c r="ER1" s="6" t="str">
        <f>'in2'!EP1</f>
        <v>P134</v>
      </c>
      <c r="ES1" s="6" t="s">
        <v>122</v>
      </c>
      <c r="ET1" s="6" t="s">
        <v>123</v>
      </c>
    </row>
    <row r="2" spans="1:150" x14ac:dyDescent="0.35">
      <c r="A2" s="43" t="str">
        <f>in!D2</f>
        <v>AGRESOT SUAREZ DIEGO ALEJANDRO</v>
      </c>
      <c r="B2" s="43">
        <f>in!E2</f>
        <v>5702</v>
      </c>
      <c r="C2" s="1">
        <f>'in2'!M2</f>
        <v>0</v>
      </c>
      <c r="D2" s="1">
        <f>'in2'!N2</f>
        <v>1</v>
      </c>
      <c r="E2" s="1">
        <f>'in2'!O2</f>
        <v>1</v>
      </c>
      <c r="F2" s="1">
        <f>'in2'!P2</f>
        <v>1</v>
      </c>
      <c r="G2" s="1">
        <f>'in2'!Q2</f>
        <v>0</v>
      </c>
      <c r="H2" s="1">
        <f>'in2'!R2</f>
        <v>0</v>
      </c>
      <c r="I2" s="1">
        <f>'in2'!S2</f>
        <v>0</v>
      </c>
      <c r="J2" s="1">
        <f>'in2'!T2</f>
        <v>1</v>
      </c>
      <c r="K2" s="1">
        <f>'in2'!U2</f>
        <v>1</v>
      </c>
      <c r="L2" s="1">
        <f>'in2'!V2</f>
        <v>0</v>
      </c>
      <c r="M2" s="1">
        <f>'in2'!W2</f>
        <v>1</v>
      </c>
      <c r="N2" s="1">
        <f>'in2'!X2</f>
        <v>0</v>
      </c>
      <c r="O2" s="1">
        <f>'in2'!Y2</f>
        <v>1</v>
      </c>
      <c r="P2" s="1">
        <f>'in2'!Z2</f>
        <v>0</v>
      </c>
      <c r="Q2" s="1">
        <f>'in2'!AA2</f>
        <v>1</v>
      </c>
      <c r="R2" s="1">
        <f>'in2'!AB2</f>
        <v>1</v>
      </c>
      <c r="S2" s="1">
        <f>'in2'!AC2</f>
        <v>1</v>
      </c>
      <c r="T2" s="1">
        <f>'in2'!AD2</f>
        <v>1</v>
      </c>
      <c r="U2" s="1">
        <f>'in2'!AE2</f>
        <v>1</v>
      </c>
      <c r="V2" s="1">
        <f>'in2'!AF2</f>
        <v>1</v>
      </c>
      <c r="W2" s="1">
        <f>'in2'!AG2</f>
        <v>1</v>
      </c>
      <c r="X2" s="1">
        <f>'in2'!AH2</f>
        <v>1</v>
      </c>
      <c r="Y2" s="1">
        <f>'in2'!AI2</f>
        <v>0</v>
      </c>
      <c r="Z2" s="1">
        <f>'in2'!AJ2</f>
        <v>0</v>
      </c>
      <c r="AA2" s="1">
        <f>'in2'!AK2</f>
        <v>1</v>
      </c>
      <c r="AB2" s="5">
        <f>SUM(C2:AA2)</f>
        <v>16</v>
      </c>
      <c r="AC2" s="5">
        <f>AB2*100/25</f>
        <v>64</v>
      </c>
      <c r="AD2" s="1">
        <f>'in2'!AL2</f>
        <v>0</v>
      </c>
      <c r="AE2" s="1">
        <f>'in2'!AM2</f>
        <v>1</v>
      </c>
      <c r="AF2" s="1">
        <f>'in2'!AN2</f>
        <v>1</v>
      </c>
      <c r="AG2" s="1">
        <f>'in2'!AO2</f>
        <v>1</v>
      </c>
      <c r="AH2" s="1">
        <f>'in2'!AP2</f>
        <v>1</v>
      </c>
      <c r="AI2" s="1">
        <f>'in2'!AQ2</f>
        <v>0</v>
      </c>
      <c r="AJ2" s="1">
        <f>'in2'!AR2</f>
        <v>1</v>
      </c>
      <c r="AK2" s="1">
        <f>'in2'!AS2</f>
        <v>1</v>
      </c>
      <c r="AL2" s="1">
        <f>'in2'!AT2</f>
        <v>1</v>
      </c>
      <c r="AM2" s="1">
        <f>'in2'!AU2</f>
        <v>0</v>
      </c>
      <c r="AN2" s="1">
        <f>'in2'!AV2</f>
        <v>0</v>
      </c>
      <c r="AO2" s="1">
        <f>'in2'!AW2</f>
        <v>1</v>
      </c>
      <c r="AP2" s="1">
        <f>'in2'!AX2</f>
        <v>1</v>
      </c>
      <c r="AQ2" s="1">
        <f>'in2'!AY2</f>
        <v>1</v>
      </c>
      <c r="AR2" s="1">
        <f>'in2'!AZ2</f>
        <v>1</v>
      </c>
      <c r="AS2" s="1">
        <f>'in2'!BA2</f>
        <v>0</v>
      </c>
      <c r="AT2" s="1">
        <f>'in2'!BB2</f>
        <v>1</v>
      </c>
      <c r="AU2" s="1">
        <f>'in2'!BC2</f>
        <v>1</v>
      </c>
      <c r="AV2" s="1">
        <f>'in2'!BD2</f>
        <v>1</v>
      </c>
      <c r="AW2" s="1">
        <f>'in2'!BE2</f>
        <v>1</v>
      </c>
      <c r="AX2" s="1">
        <f>'in2'!BF2</f>
        <v>1</v>
      </c>
      <c r="AY2" s="1">
        <f>'in2'!BG2</f>
        <v>1</v>
      </c>
      <c r="AZ2" s="1">
        <f>'in2'!BH2</f>
        <v>1</v>
      </c>
      <c r="BA2" s="1">
        <f>'in2'!BI2</f>
        <v>1</v>
      </c>
      <c r="BB2" s="1">
        <f>'in2'!BJ2</f>
        <v>1</v>
      </c>
      <c r="BC2" s="3">
        <f>SUM(AD2:BB2)</f>
        <v>20</v>
      </c>
      <c r="BD2" s="3">
        <f>BC2*100/25</f>
        <v>80</v>
      </c>
      <c r="BE2" s="1">
        <f>'in2'!BK2</f>
        <v>1</v>
      </c>
      <c r="BF2" s="1">
        <f>'in2'!BL2</f>
        <v>1</v>
      </c>
      <c r="BG2" s="1">
        <f>'in2'!BM2</f>
        <v>0</v>
      </c>
      <c r="BH2" s="1">
        <f>'in2'!BN2</f>
        <v>1</v>
      </c>
      <c r="BI2" s="1">
        <f>'in2'!BO2</f>
        <v>1</v>
      </c>
      <c r="BJ2" s="13">
        <f t="shared" ref="BJ2:BJ31" si="0">SUM(BE2:BI2)</f>
        <v>4</v>
      </c>
      <c r="BK2" s="14">
        <f t="shared" ref="BK2:BK31" si="1">BJ2*100/COUNT(BE2:BI2)</f>
        <v>80</v>
      </c>
      <c r="BL2" s="1">
        <f>'in2'!BP2</f>
        <v>1</v>
      </c>
      <c r="BM2" s="1">
        <f>'in2'!BQ2</f>
        <v>1</v>
      </c>
      <c r="BN2" s="1">
        <f>'in2'!BR2</f>
        <v>1</v>
      </c>
      <c r="BO2" s="1">
        <f>'in2'!BS2</f>
        <v>1</v>
      </c>
      <c r="BP2" s="1">
        <f>'in2'!BT2</f>
        <v>1</v>
      </c>
      <c r="BQ2" s="1">
        <f>'in2'!BU2</f>
        <v>1</v>
      </c>
      <c r="BR2" s="1">
        <f>'in2'!BV2</f>
        <v>1</v>
      </c>
      <c r="BS2" s="1">
        <f>'in2'!BW2</f>
        <v>1</v>
      </c>
      <c r="BT2" s="1">
        <f>'in2'!BX2</f>
        <v>1</v>
      </c>
      <c r="BU2" s="1">
        <f>'in2'!BY2</f>
        <v>1</v>
      </c>
      <c r="BV2" s="1">
        <f>'in2'!BZ2</f>
        <v>1</v>
      </c>
      <c r="BW2" s="1">
        <f>'in2'!CA2</f>
        <v>1</v>
      </c>
      <c r="BX2" s="1">
        <f>'in2'!CB2</f>
        <v>1</v>
      </c>
      <c r="BY2" s="11">
        <f>SUM(BL2:BX2)</f>
        <v>13</v>
      </c>
      <c r="BZ2" s="16">
        <f>BY2*100/COUNT(BL2:BX2)</f>
        <v>100</v>
      </c>
      <c r="CA2" s="1">
        <f>'in2'!CC2</f>
        <v>1</v>
      </c>
      <c r="CB2" s="1">
        <f>'in2'!CD2</f>
        <v>1</v>
      </c>
      <c r="CC2" s="1">
        <f>'in2'!CE2</f>
        <v>0</v>
      </c>
      <c r="CD2" s="1">
        <f>'in2'!CF2</f>
        <v>1</v>
      </c>
      <c r="CE2" s="1">
        <f>'in2'!CG2</f>
        <v>1</v>
      </c>
      <c r="CF2" s="1">
        <f>'in2'!CH2</f>
        <v>1</v>
      </c>
      <c r="CG2" s="1">
        <f>'in2'!CI2</f>
        <v>0</v>
      </c>
      <c r="CH2" s="1">
        <f>'in2'!CJ2</f>
        <v>1</v>
      </c>
      <c r="CI2" s="1">
        <f>'in2'!CK2</f>
        <v>1</v>
      </c>
      <c r="CJ2" s="1">
        <f>'in2'!CL2</f>
        <v>0</v>
      </c>
      <c r="CK2" s="12">
        <f>SUM(CA2:CJ2)</f>
        <v>7</v>
      </c>
      <c r="CL2" s="15">
        <f>CK2*100/COUNT(CA2:CJ2)</f>
        <v>70</v>
      </c>
      <c r="CM2" s="65">
        <f>'in2'!CM2</f>
        <v>1</v>
      </c>
      <c r="CN2" s="17">
        <f t="shared" ref="CN2:CN31" si="2">SUM(CM2:CM2)</f>
        <v>1</v>
      </c>
      <c r="CO2" s="17">
        <f t="shared" ref="CO2:CO31" si="3">CN2*100/COUNT(CM2:CM2)</f>
        <v>100</v>
      </c>
      <c r="CP2" s="1">
        <f>'in2'!CN2</f>
        <v>1</v>
      </c>
      <c r="CQ2" s="1">
        <f>'in2'!CO2</f>
        <v>1</v>
      </c>
      <c r="CR2" s="1">
        <f>'in2'!CP2</f>
        <v>1</v>
      </c>
      <c r="CS2" s="1">
        <f>'in2'!CQ2</f>
        <v>0</v>
      </c>
      <c r="CT2" s="1">
        <f>'in2'!CR2</f>
        <v>1</v>
      </c>
      <c r="CU2" s="1">
        <f>'in2'!CS2</f>
        <v>1</v>
      </c>
      <c r="CV2" s="1">
        <f>'in2'!CT2</f>
        <v>0</v>
      </c>
      <c r="CW2" s="1">
        <f>'in2'!CU2</f>
        <v>1</v>
      </c>
      <c r="CX2" s="1">
        <f>'in2'!CV2</f>
        <v>0</v>
      </c>
      <c r="CY2" s="1">
        <f>'in2'!CW2</f>
        <v>1</v>
      </c>
      <c r="CZ2" s="1">
        <f>'in2'!CX2</f>
        <v>1</v>
      </c>
      <c r="DA2" s="1">
        <f>'in2'!CY2</f>
        <v>0</v>
      </c>
      <c r="DB2" s="1">
        <f>'in2'!CZ2</f>
        <v>0</v>
      </c>
      <c r="DC2" s="1">
        <f>'in2'!DA2</f>
        <v>0</v>
      </c>
      <c r="DD2" s="1">
        <f>'in2'!DB2</f>
        <v>1</v>
      </c>
      <c r="DE2" s="1">
        <f>'in2'!DC2</f>
        <v>1</v>
      </c>
      <c r="DF2" s="1">
        <f>'in2'!DD2</f>
        <v>0</v>
      </c>
      <c r="DG2" s="1">
        <f>'in2'!DE2</f>
        <v>1</v>
      </c>
      <c r="DH2" s="1">
        <f>'in2'!DF2</f>
        <v>0</v>
      </c>
      <c r="DI2" s="1">
        <f>'in2'!DG2</f>
        <v>0</v>
      </c>
      <c r="DJ2" s="1">
        <f>'in2'!DH2</f>
        <v>1</v>
      </c>
      <c r="DK2" s="1">
        <f>'in2'!DI2</f>
        <v>0</v>
      </c>
      <c r="DL2" s="1">
        <f>'in2'!DJ2</f>
        <v>1</v>
      </c>
      <c r="DM2" s="1">
        <f>'in2'!DK2</f>
        <v>1</v>
      </c>
      <c r="DN2" s="1">
        <f>'in2'!DL2</f>
        <v>0</v>
      </c>
      <c r="DO2" s="1">
        <f>'in2'!DM2</f>
        <v>1</v>
      </c>
      <c r="DP2" s="1">
        <f>'in2'!DN2</f>
        <v>0</v>
      </c>
      <c r="DQ2" s="1">
        <f>'in2'!DO2</f>
        <v>0</v>
      </c>
      <c r="DR2" s="1">
        <f>'in2'!DP2</f>
        <v>1</v>
      </c>
      <c r="DS2" s="1">
        <f>'in2'!DQ2</f>
        <v>1</v>
      </c>
      <c r="DT2" s="1">
        <f>'in2'!DR2</f>
        <v>0</v>
      </c>
      <c r="DU2" s="1">
        <f>'in2'!DS2</f>
        <v>1</v>
      </c>
      <c r="DV2" s="1">
        <f>'in2'!DT2</f>
        <v>0</v>
      </c>
      <c r="DW2" s="1">
        <f>'in2'!DU2</f>
        <v>1</v>
      </c>
      <c r="DX2" s="1">
        <f>'in2'!DV2</f>
        <v>1</v>
      </c>
      <c r="DY2" s="1">
        <f>'in2'!DW2</f>
        <v>0</v>
      </c>
      <c r="DZ2" s="1">
        <f>'in2'!DX2</f>
        <v>1</v>
      </c>
      <c r="EA2" s="1">
        <f>'in2'!DY2</f>
        <v>1</v>
      </c>
      <c r="EB2" s="1">
        <f>'in2'!DZ2</f>
        <v>0</v>
      </c>
      <c r="EC2" s="1">
        <f>'in2'!EA2</f>
        <v>1</v>
      </c>
      <c r="ED2" s="1">
        <f>'in2'!EB2</f>
        <v>0</v>
      </c>
      <c r="EE2" s="1">
        <f>'in2'!EC2</f>
        <v>0</v>
      </c>
      <c r="EF2" s="1">
        <f>'in2'!ED2</f>
        <v>0</v>
      </c>
      <c r="EG2" s="1">
        <f>'in2'!EE2</f>
        <v>0</v>
      </c>
      <c r="EH2" s="1">
        <f>'in2'!EF2</f>
        <v>0</v>
      </c>
      <c r="EI2" s="1">
        <f>'in2'!EG2</f>
        <v>0</v>
      </c>
      <c r="EJ2" s="1">
        <f>'in2'!EH2</f>
        <v>0</v>
      </c>
      <c r="EK2" s="1">
        <f>'in2'!EI2</f>
        <v>1</v>
      </c>
      <c r="EL2" s="1">
        <f>'in2'!EJ2</f>
        <v>0</v>
      </c>
      <c r="EM2" s="1">
        <f>'in2'!EK2</f>
        <v>0</v>
      </c>
      <c r="EN2" s="1">
        <f>'in2'!EL2</f>
        <v>0</v>
      </c>
      <c r="EO2" s="1">
        <f>'in2'!EM2</f>
        <v>0</v>
      </c>
      <c r="EP2" s="1">
        <f>'in2'!EN2</f>
        <v>0</v>
      </c>
      <c r="EQ2" s="1">
        <f>'in2'!EO2</f>
        <v>1</v>
      </c>
      <c r="ER2" s="1">
        <f>'in2'!EP2</f>
        <v>1</v>
      </c>
      <c r="ES2" s="6">
        <f>SUM(CP2:ER2)</f>
        <v>26</v>
      </c>
      <c r="ET2" s="7">
        <f>ES2*100/55</f>
        <v>47.272727272727273</v>
      </c>
    </row>
    <row r="3" spans="1:150" x14ac:dyDescent="0.35">
      <c r="A3" s="43" t="str">
        <f>in!D3</f>
        <v>BRAVO FLOREZ MIGUEL ANDRES</v>
      </c>
      <c r="B3" s="43">
        <f>in!E3</f>
        <v>5704</v>
      </c>
      <c r="C3" s="1">
        <f>'in2'!M3</f>
        <v>0</v>
      </c>
      <c r="D3" s="1">
        <f>'in2'!N3</f>
        <v>0</v>
      </c>
      <c r="E3" s="1">
        <f>'in2'!O3</f>
        <v>0</v>
      </c>
      <c r="F3" s="1">
        <f>'in2'!P3</f>
        <v>0</v>
      </c>
      <c r="G3" s="1">
        <f>'in2'!Q3</f>
        <v>0</v>
      </c>
      <c r="H3" s="1">
        <f>'in2'!R3</f>
        <v>0</v>
      </c>
      <c r="I3" s="1">
        <f>'in2'!S3</f>
        <v>1</v>
      </c>
      <c r="J3" s="1">
        <f>'in2'!T3</f>
        <v>0</v>
      </c>
      <c r="K3" s="1">
        <f>'in2'!U3</f>
        <v>0</v>
      </c>
      <c r="L3" s="1">
        <f>'in2'!V3</f>
        <v>0</v>
      </c>
      <c r="M3" s="1">
        <f>'in2'!W3</f>
        <v>1</v>
      </c>
      <c r="N3" s="1">
        <f>'in2'!X3</f>
        <v>0</v>
      </c>
      <c r="O3" s="1">
        <f>'in2'!Y3</f>
        <v>0</v>
      </c>
      <c r="P3" s="1">
        <f>'in2'!Z3</f>
        <v>0</v>
      </c>
      <c r="Q3" s="1">
        <f>'in2'!AA3</f>
        <v>0</v>
      </c>
      <c r="R3" s="1">
        <f>'in2'!AB3</f>
        <v>0</v>
      </c>
      <c r="S3" s="1">
        <f>'in2'!AC3</f>
        <v>0</v>
      </c>
      <c r="T3" s="1">
        <f>'in2'!AD3</f>
        <v>1</v>
      </c>
      <c r="U3" s="1">
        <f>'in2'!AE3</f>
        <v>0</v>
      </c>
      <c r="V3" s="1">
        <f>'in2'!AF3</f>
        <v>0</v>
      </c>
      <c r="W3" s="1">
        <f>'in2'!AG3</f>
        <v>0</v>
      </c>
      <c r="X3" s="1">
        <f>'in2'!AH3</f>
        <v>0</v>
      </c>
      <c r="Y3" s="1">
        <f>'in2'!AI3</f>
        <v>0</v>
      </c>
      <c r="Z3" s="1">
        <f>'in2'!AJ3</f>
        <v>0</v>
      </c>
      <c r="AA3" s="1">
        <f>'in2'!AK3</f>
        <v>0</v>
      </c>
      <c r="AB3" s="5">
        <f t="shared" ref="AB3:AB31" si="4">SUM(C3:AA3)</f>
        <v>3</v>
      </c>
      <c r="AC3" s="5">
        <f t="shared" ref="AC3:AC31" si="5">AB3*100/25</f>
        <v>12</v>
      </c>
      <c r="AD3" s="1">
        <f>'in2'!AL3</f>
        <v>1</v>
      </c>
      <c r="AE3" s="1">
        <f>'in2'!AM3</f>
        <v>1</v>
      </c>
      <c r="AF3" s="1">
        <f>'in2'!AN3</f>
        <v>1</v>
      </c>
      <c r="AG3" s="1">
        <f>'in2'!AO3</f>
        <v>0</v>
      </c>
      <c r="AH3" s="1">
        <f>'in2'!AP3</f>
        <v>0</v>
      </c>
      <c r="AI3" s="1">
        <f>'in2'!AQ3</f>
        <v>0</v>
      </c>
      <c r="AJ3" s="1">
        <f>'in2'!AR3</f>
        <v>1</v>
      </c>
      <c r="AK3" s="1">
        <f>'in2'!AS3</f>
        <v>0</v>
      </c>
      <c r="AL3" s="1">
        <f>'in2'!AT3</f>
        <v>1</v>
      </c>
      <c r="AM3" s="1">
        <f>'in2'!AU3</f>
        <v>0</v>
      </c>
      <c r="AN3" s="1">
        <f>'in2'!AV3</f>
        <v>1</v>
      </c>
      <c r="AO3" s="1">
        <f>'in2'!AW3</f>
        <v>0</v>
      </c>
      <c r="AP3" s="1">
        <f>'in2'!AX3</f>
        <v>0</v>
      </c>
      <c r="AQ3" s="1">
        <f>'in2'!AY3</f>
        <v>0</v>
      </c>
      <c r="AR3" s="1">
        <f>'in2'!AZ3</f>
        <v>0</v>
      </c>
      <c r="AS3" s="1">
        <f>'in2'!BA3</f>
        <v>0</v>
      </c>
      <c r="AT3" s="1">
        <f>'in2'!BB3</f>
        <v>0</v>
      </c>
      <c r="AU3" s="1">
        <f>'in2'!BC3</f>
        <v>0</v>
      </c>
      <c r="AV3" s="1">
        <f>'in2'!BD3</f>
        <v>0</v>
      </c>
      <c r="AW3" s="1">
        <f>'in2'!BE3</f>
        <v>0</v>
      </c>
      <c r="AX3" s="1">
        <f>'in2'!BF3</f>
        <v>0</v>
      </c>
      <c r="AY3" s="1">
        <f>'in2'!BG3</f>
        <v>0</v>
      </c>
      <c r="AZ3" s="1">
        <f>'in2'!BH3</f>
        <v>0</v>
      </c>
      <c r="BA3" s="1">
        <f>'in2'!BI3</f>
        <v>0</v>
      </c>
      <c r="BB3" s="1">
        <f>'in2'!BJ3</f>
        <v>1</v>
      </c>
      <c r="BC3" s="3">
        <f t="shared" ref="BC3:BC31" si="6">SUM(AD3:BB3)</f>
        <v>7</v>
      </c>
      <c r="BD3" s="3">
        <f t="shared" ref="BD3:BD31" si="7">BC3*100/25</f>
        <v>28</v>
      </c>
      <c r="BE3" s="1">
        <f>'in2'!BK3</f>
        <v>0</v>
      </c>
      <c r="BF3" s="1">
        <f>'in2'!BL3</f>
        <v>1</v>
      </c>
      <c r="BG3" s="1">
        <f>'in2'!BM3</f>
        <v>0</v>
      </c>
      <c r="BH3" s="1">
        <f>'in2'!BN3</f>
        <v>0</v>
      </c>
      <c r="BI3" s="1">
        <f>'in2'!BO3</f>
        <v>1</v>
      </c>
      <c r="BJ3" s="13">
        <f t="shared" si="0"/>
        <v>2</v>
      </c>
      <c r="BK3" s="14">
        <f t="shared" si="1"/>
        <v>40</v>
      </c>
      <c r="BL3" s="1">
        <f>'in2'!BP3</f>
        <v>0</v>
      </c>
      <c r="BM3" s="1">
        <f>'in2'!BQ3</f>
        <v>0</v>
      </c>
      <c r="BN3" s="1">
        <f>'in2'!BR3</f>
        <v>1</v>
      </c>
      <c r="BO3" s="1">
        <f>'in2'!BS3</f>
        <v>0</v>
      </c>
      <c r="BP3" s="1">
        <f>'in2'!BT3</f>
        <v>0</v>
      </c>
      <c r="BQ3" s="1">
        <f>'in2'!BU3</f>
        <v>0</v>
      </c>
      <c r="BR3" s="1">
        <f>'in2'!BV3</f>
        <v>1</v>
      </c>
      <c r="BS3" s="1">
        <f>'in2'!BW3</f>
        <v>0</v>
      </c>
      <c r="BT3" s="1">
        <f>'in2'!BX3</f>
        <v>0</v>
      </c>
      <c r="BU3" s="1">
        <f>'in2'!BY3</f>
        <v>0</v>
      </c>
      <c r="BV3" s="1">
        <f>'in2'!BZ3</f>
        <v>1</v>
      </c>
      <c r="BW3" s="1">
        <f>'in2'!CA3</f>
        <v>0</v>
      </c>
      <c r="BX3" s="1">
        <f>'in2'!CB3</f>
        <v>0</v>
      </c>
      <c r="BY3" s="11">
        <f t="shared" ref="BY3:BY31" si="8">SUM(BL3:BX3)</f>
        <v>3</v>
      </c>
      <c r="BZ3" s="16">
        <f t="shared" ref="BZ3:BZ31" si="9">BY3*100/COUNT(BL3:BX3)</f>
        <v>23.076923076923077</v>
      </c>
      <c r="CA3" s="1">
        <f>'in2'!CC3</f>
        <v>0</v>
      </c>
      <c r="CB3" s="1">
        <f>'in2'!CD3</f>
        <v>0</v>
      </c>
      <c r="CC3" s="1">
        <f>'in2'!CE3</f>
        <v>0</v>
      </c>
      <c r="CD3" s="1">
        <f>'in2'!CF3</f>
        <v>1</v>
      </c>
      <c r="CE3" s="1">
        <f>'in2'!CG3</f>
        <v>1</v>
      </c>
      <c r="CF3" s="1">
        <f>'in2'!CH3</f>
        <v>0</v>
      </c>
      <c r="CG3" s="1">
        <f>'in2'!CI3</f>
        <v>1</v>
      </c>
      <c r="CH3" s="1">
        <f>'in2'!CJ3</f>
        <v>0</v>
      </c>
      <c r="CI3" s="1">
        <f>'in2'!CK3</f>
        <v>0</v>
      </c>
      <c r="CJ3" s="1">
        <f>'in2'!CL3</f>
        <v>0</v>
      </c>
      <c r="CK3" s="12">
        <f>SUM(CA3:CJ3)</f>
        <v>3</v>
      </c>
      <c r="CL3" s="15">
        <f t="shared" ref="CL3:CL31" si="10">CK3*100/COUNT(CA3:CJ3)</f>
        <v>30</v>
      </c>
      <c r="CM3" s="65">
        <f>'in2'!CM3</f>
        <v>0</v>
      </c>
      <c r="CN3" s="17">
        <f t="shared" si="2"/>
        <v>0</v>
      </c>
      <c r="CO3" s="17">
        <f t="shared" si="3"/>
        <v>0</v>
      </c>
      <c r="CP3" s="1">
        <f>'in2'!CN3</f>
        <v>0</v>
      </c>
      <c r="CQ3" s="1">
        <f>'in2'!CO3</f>
        <v>0</v>
      </c>
      <c r="CR3" s="1">
        <f>'in2'!CP3</f>
        <v>0</v>
      </c>
      <c r="CS3" s="1">
        <f>'in2'!CQ3</f>
        <v>0</v>
      </c>
      <c r="CT3" s="1">
        <f>'in2'!CR3</f>
        <v>0</v>
      </c>
      <c r="CU3" s="1">
        <f>'in2'!CS3</f>
        <v>0</v>
      </c>
      <c r="CV3" s="1">
        <f>'in2'!CT3</f>
        <v>0</v>
      </c>
      <c r="CW3" s="1">
        <f>'in2'!CU3</f>
        <v>0</v>
      </c>
      <c r="CX3" s="1">
        <f>'in2'!CV3</f>
        <v>1</v>
      </c>
      <c r="CY3" s="1">
        <f>'in2'!CW3</f>
        <v>1</v>
      </c>
      <c r="CZ3" s="1">
        <f>'in2'!CX3</f>
        <v>0</v>
      </c>
      <c r="DA3" s="1">
        <f>'in2'!CY3</f>
        <v>1</v>
      </c>
      <c r="DB3" s="1">
        <f>'in2'!CZ3</f>
        <v>0</v>
      </c>
      <c r="DC3" s="1">
        <f>'in2'!DA3</f>
        <v>0</v>
      </c>
      <c r="DD3" s="1">
        <f>'in2'!DB3</f>
        <v>1</v>
      </c>
      <c r="DE3" s="1">
        <f>'in2'!DC3</f>
        <v>0</v>
      </c>
      <c r="DF3" s="1">
        <f>'in2'!DD3</f>
        <v>1</v>
      </c>
      <c r="DG3" s="1">
        <f>'in2'!DE3</f>
        <v>0</v>
      </c>
      <c r="DH3" s="1">
        <f>'in2'!DF3</f>
        <v>1</v>
      </c>
      <c r="DI3" s="1">
        <f>'in2'!DG3</f>
        <v>0</v>
      </c>
      <c r="DJ3" s="1">
        <f>'in2'!DH3</f>
        <v>0</v>
      </c>
      <c r="DK3" s="1">
        <f>'in2'!DI3</f>
        <v>0</v>
      </c>
      <c r="DL3" s="1">
        <f>'in2'!DJ3</f>
        <v>1</v>
      </c>
      <c r="DM3" s="1">
        <f>'in2'!DK3</f>
        <v>0</v>
      </c>
      <c r="DN3" s="1">
        <f>'in2'!DL3</f>
        <v>0</v>
      </c>
      <c r="DO3" s="1">
        <f>'in2'!DM3</f>
        <v>1</v>
      </c>
      <c r="DP3" s="1">
        <f>'in2'!DN3</f>
        <v>0</v>
      </c>
      <c r="DQ3" s="1">
        <f>'in2'!DO3</f>
        <v>1</v>
      </c>
      <c r="DR3" s="1">
        <f>'in2'!DP3</f>
        <v>0</v>
      </c>
      <c r="DS3" s="1">
        <f>'in2'!DQ3</f>
        <v>0</v>
      </c>
      <c r="DT3" s="1">
        <f>'in2'!DR3</f>
        <v>1</v>
      </c>
      <c r="DU3" s="1">
        <f>'in2'!DS3</f>
        <v>0</v>
      </c>
      <c r="DV3" s="1">
        <f>'in2'!DT3</f>
        <v>0</v>
      </c>
      <c r="DW3" s="1">
        <f>'in2'!DU3</f>
        <v>1</v>
      </c>
      <c r="DX3" s="1">
        <f>'in2'!DV3</f>
        <v>0</v>
      </c>
      <c r="DY3" s="1">
        <f>'in2'!DW3</f>
        <v>0</v>
      </c>
      <c r="DZ3" s="1">
        <f>'in2'!DX3</f>
        <v>0</v>
      </c>
      <c r="EA3" s="1">
        <f>'in2'!DY3</f>
        <v>1</v>
      </c>
      <c r="EB3" s="1">
        <f>'in2'!DZ3</f>
        <v>1</v>
      </c>
      <c r="EC3" s="1">
        <f>'in2'!EA3</f>
        <v>0</v>
      </c>
      <c r="ED3" s="1">
        <f>'in2'!EB3</f>
        <v>1</v>
      </c>
      <c r="EE3" s="1">
        <f>'in2'!EC3</f>
        <v>1</v>
      </c>
      <c r="EF3" s="1">
        <f>'in2'!ED3</f>
        <v>0</v>
      </c>
      <c r="EG3" s="1">
        <f>'in2'!EE3</f>
        <v>1</v>
      </c>
      <c r="EH3" s="1">
        <f>'in2'!EF3</f>
        <v>1</v>
      </c>
      <c r="EI3" s="1">
        <f>'in2'!EG3</f>
        <v>0</v>
      </c>
      <c r="EJ3" s="1">
        <f>'in2'!EH3</f>
        <v>0</v>
      </c>
      <c r="EK3" s="1">
        <f>'in2'!EI3</f>
        <v>0</v>
      </c>
      <c r="EL3" s="1">
        <f>'in2'!EJ3</f>
        <v>0</v>
      </c>
      <c r="EM3" s="1">
        <f>'in2'!EK3</f>
        <v>0</v>
      </c>
      <c r="EN3" s="1">
        <f>'in2'!EL3</f>
        <v>0</v>
      </c>
      <c r="EO3" s="1">
        <f>'in2'!EM3</f>
        <v>0</v>
      </c>
      <c r="EP3" s="1">
        <f>'in2'!EN3</f>
        <v>0</v>
      </c>
      <c r="EQ3" s="1">
        <f>'in2'!EO3</f>
        <v>0</v>
      </c>
      <c r="ER3" s="1">
        <f>'in2'!EP3</f>
        <v>0</v>
      </c>
      <c r="ES3" s="6">
        <f>SUM(CP3:ER3)</f>
        <v>17</v>
      </c>
      <c r="ET3" s="7">
        <f t="shared" ref="ET3:ET31" si="11">ES3*100/55</f>
        <v>30.90909090909091</v>
      </c>
    </row>
    <row r="4" spans="1:150" x14ac:dyDescent="0.35">
      <c r="A4" s="43" t="str">
        <f>in!D4</f>
        <v>CALDERA CALVO MARIA ALEJANDRA</v>
      </c>
      <c r="B4" s="43">
        <f>in!E4</f>
        <v>5705</v>
      </c>
      <c r="C4" s="1">
        <f>'in2'!M4</f>
        <v>1</v>
      </c>
      <c r="D4" s="1">
        <f>'in2'!N4</f>
        <v>1</v>
      </c>
      <c r="E4" s="1">
        <f>'in2'!O4</f>
        <v>1</v>
      </c>
      <c r="F4" s="1">
        <f>'in2'!P4</f>
        <v>0</v>
      </c>
      <c r="G4" s="1">
        <f>'in2'!Q4</f>
        <v>0</v>
      </c>
      <c r="H4" s="1">
        <f>'in2'!R4</f>
        <v>1</v>
      </c>
      <c r="I4" s="1">
        <f>'in2'!S4</f>
        <v>0</v>
      </c>
      <c r="J4" s="1">
        <f>'in2'!T4</f>
        <v>0</v>
      </c>
      <c r="K4" s="1">
        <f>'in2'!U4</f>
        <v>1</v>
      </c>
      <c r="L4" s="1">
        <f>'in2'!V4</f>
        <v>1</v>
      </c>
      <c r="M4" s="1">
        <f>'in2'!W4</f>
        <v>1</v>
      </c>
      <c r="N4" s="1">
        <f>'in2'!X4</f>
        <v>1</v>
      </c>
      <c r="O4" s="1">
        <f>'in2'!Y4</f>
        <v>0</v>
      </c>
      <c r="P4" s="1">
        <f>'in2'!Z4</f>
        <v>1</v>
      </c>
      <c r="Q4" s="1">
        <f>'in2'!AA4</f>
        <v>0</v>
      </c>
      <c r="R4" s="1">
        <f>'in2'!AB4</f>
        <v>1</v>
      </c>
      <c r="S4" s="1">
        <f>'in2'!AC4</f>
        <v>0</v>
      </c>
      <c r="T4" s="1">
        <f>'in2'!AD4</f>
        <v>0</v>
      </c>
      <c r="U4" s="1">
        <f>'in2'!AE4</f>
        <v>1</v>
      </c>
      <c r="V4" s="1">
        <f>'in2'!AF4</f>
        <v>1</v>
      </c>
      <c r="W4" s="1">
        <f>'in2'!AG4</f>
        <v>1</v>
      </c>
      <c r="X4" s="1">
        <f>'in2'!AH4</f>
        <v>0</v>
      </c>
      <c r="Y4" s="1">
        <f>'in2'!AI4</f>
        <v>0</v>
      </c>
      <c r="Z4" s="1">
        <f>'in2'!AJ4</f>
        <v>0</v>
      </c>
      <c r="AA4" s="1">
        <f>'in2'!AK4</f>
        <v>1</v>
      </c>
      <c r="AB4" s="5">
        <f t="shared" si="4"/>
        <v>14</v>
      </c>
      <c r="AC4" s="5">
        <f t="shared" si="5"/>
        <v>56</v>
      </c>
      <c r="AD4" s="1">
        <f>'in2'!AL4</f>
        <v>1</v>
      </c>
      <c r="AE4" s="1">
        <f>'in2'!AM4</f>
        <v>1</v>
      </c>
      <c r="AF4" s="1">
        <f>'in2'!AN4</f>
        <v>1</v>
      </c>
      <c r="AG4" s="1">
        <f>'in2'!AO4</f>
        <v>1</v>
      </c>
      <c r="AH4" s="1">
        <f>'in2'!AP4</f>
        <v>0</v>
      </c>
      <c r="AI4" s="1">
        <f>'in2'!AQ4</f>
        <v>1</v>
      </c>
      <c r="AJ4" s="1">
        <f>'in2'!AR4</f>
        <v>1</v>
      </c>
      <c r="AK4" s="1">
        <f>'in2'!AS4</f>
        <v>0</v>
      </c>
      <c r="AL4" s="1">
        <f>'in2'!AT4</f>
        <v>0</v>
      </c>
      <c r="AM4" s="1">
        <f>'in2'!AU4</f>
        <v>0</v>
      </c>
      <c r="AN4" s="1">
        <f>'in2'!AV4</f>
        <v>0</v>
      </c>
      <c r="AO4" s="1">
        <f>'in2'!AW4</f>
        <v>1</v>
      </c>
      <c r="AP4" s="1">
        <f>'in2'!AX4</f>
        <v>1</v>
      </c>
      <c r="AQ4" s="1">
        <f>'in2'!AY4</f>
        <v>1</v>
      </c>
      <c r="AR4" s="1">
        <f>'in2'!AZ4</f>
        <v>0</v>
      </c>
      <c r="AS4" s="1">
        <f>'in2'!BA4</f>
        <v>0</v>
      </c>
      <c r="AT4" s="1">
        <f>'in2'!BB4</f>
        <v>0</v>
      </c>
      <c r="AU4" s="1">
        <f>'in2'!BC4</f>
        <v>0</v>
      </c>
      <c r="AV4" s="1">
        <f>'in2'!BD4</f>
        <v>0</v>
      </c>
      <c r="AW4" s="1">
        <f>'in2'!BE4</f>
        <v>0</v>
      </c>
      <c r="AX4" s="1">
        <f>'in2'!BF4</f>
        <v>1</v>
      </c>
      <c r="AY4" s="1">
        <f>'in2'!BG4</f>
        <v>0</v>
      </c>
      <c r="AZ4" s="1">
        <f>'in2'!BH4</f>
        <v>0</v>
      </c>
      <c r="BA4" s="1">
        <f>'in2'!BI4</f>
        <v>0</v>
      </c>
      <c r="BB4" s="1">
        <f>'in2'!BJ4</f>
        <v>0</v>
      </c>
      <c r="BC4" s="3">
        <f t="shared" si="6"/>
        <v>10</v>
      </c>
      <c r="BD4" s="3">
        <f t="shared" si="7"/>
        <v>40</v>
      </c>
      <c r="BE4" s="1">
        <f>'in2'!BK4</f>
        <v>0</v>
      </c>
      <c r="BF4" s="1">
        <f>'in2'!BL4</f>
        <v>0</v>
      </c>
      <c r="BG4" s="1">
        <f>'in2'!BM4</f>
        <v>0</v>
      </c>
      <c r="BH4" s="1">
        <f>'in2'!BN4</f>
        <v>0</v>
      </c>
      <c r="BI4" s="1">
        <f>'in2'!BO4</f>
        <v>0</v>
      </c>
      <c r="BJ4" s="13">
        <f t="shared" si="0"/>
        <v>0</v>
      </c>
      <c r="BK4" s="14">
        <f t="shared" si="1"/>
        <v>0</v>
      </c>
      <c r="BL4" s="1">
        <f>'in2'!BP4</f>
        <v>0</v>
      </c>
      <c r="BM4" s="1">
        <f>'in2'!BQ4</f>
        <v>1</v>
      </c>
      <c r="BN4" s="1">
        <f>'in2'!BR4</f>
        <v>1</v>
      </c>
      <c r="BO4" s="1">
        <f>'in2'!BS4</f>
        <v>0</v>
      </c>
      <c r="BP4" s="1">
        <f>'in2'!BT4</f>
        <v>1</v>
      </c>
      <c r="BQ4" s="1">
        <f>'in2'!BU4</f>
        <v>1</v>
      </c>
      <c r="BR4" s="1">
        <f>'in2'!BV4</f>
        <v>0</v>
      </c>
      <c r="BS4" s="1">
        <f>'in2'!BW4</f>
        <v>1</v>
      </c>
      <c r="BT4" s="1">
        <f>'in2'!BX4</f>
        <v>0</v>
      </c>
      <c r="BU4" s="1">
        <f>'in2'!BY4</f>
        <v>1</v>
      </c>
      <c r="BV4" s="1">
        <f>'in2'!BZ4</f>
        <v>1</v>
      </c>
      <c r="BW4" s="1">
        <f>'in2'!CA4</f>
        <v>0</v>
      </c>
      <c r="BX4" s="1">
        <f>'in2'!CB4</f>
        <v>1</v>
      </c>
      <c r="BY4" s="11">
        <f t="shared" si="8"/>
        <v>8</v>
      </c>
      <c r="BZ4" s="16">
        <f t="shared" si="9"/>
        <v>61.53846153846154</v>
      </c>
      <c r="CA4" s="1">
        <f>'in2'!CC4</f>
        <v>1</v>
      </c>
      <c r="CB4" s="1">
        <f>'in2'!CD4</f>
        <v>1</v>
      </c>
      <c r="CC4" s="1">
        <f>'in2'!CE4</f>
        <v>0</v>
      </c>
      <c r="CD4" s="1">
        <f>'in2'!CF4</f>
        <v>0</v>
      </c>
      <c r="CE4" s="1">
        <f>'in2'!CG4</f>
        <v>0</v>
      </c>
      <c r="CF4" s="1">
        <f>'in2'!CH4</f>
        <v>1</v>
      </c>
      <c r="CG4" s="1">
        <f>'in2'!CI4</f>
        <v>0</v>
      </c>
      <c r="CH4" s="1">
        <f>'in2'!CJ4</f>
        <v>0</v>
      </c>
      <c r="CI4" s="1">
        <f>'in2'!CK4</f>
        <v>0</v>
      </c>
      <c r="CJ4" s="1">
        <f>'in2'!CL4</f>
        <v>0</v>
      </c>
      <c r="CK4" s="12">
        <f>SUM(CA4:CJ4)</f>
        <v>3</v>
      </c>
      <c r="CL4" s="15">
        <f>CK4*100/COUNT(CA4:CJ4)</f>
        <v>30</v>
      </c>
      <c r="CM4" s="65">
        <f>'in2'!CM4</f>
        <v>1</v>
      </c>
      <c r="CN4" s="17">
        <f t="shared" si="2"/>
        <v>1</v>
      </c>
      <c r="CO4" s="17">
        <f t="shared" si="3"/>
        <v>100</v>
      </c>
      <c r="CP4" s="1">
        <f>'in2'!CN4</f>
        <v>1</v>
      </c>
      <c r="CQ4" s="1">
        <f>'in2'!CO4</f>
        <v>1</v>
      </c>
      <c r="CR4" s="1">
        <f>'in2'!CP4</f>
        <v>1</v>
      </c>
      <c r="CS4" s="1">
        <f>'in2'!CQ4</f>
        <v>0</v>
      </c>
      <c r="CT4" s="1">
        <f>'in2'!CR4</f>
        <v>0</v>
      </c>
      <c r="CU4" s="1">
        <f>'in2'!CS4</f>
        <v>1</v>
      </c>
      <c r="CV4" s="1">
        <f>'in2'!CT4</f>
        <v>0</v>
      </c>
      <c r="CW4" s="1">
        <f>'in2'!CU4</f>
        <v>1</v>
      </c>
      <c r="CX4" s="1">
        <f>'in2'!CV4</f>
        <v>0</v>
      </c>
      <c r="CY4" s="1">
        <f>'in2'!CW4</f>
        <v>1</v>
      </c>
      <c r="CZ4" s="1">
        <f>'in2'!CX4</f>
        <v>0</v>
      </c>
      <c r="DA4" s="1">
        <f>'in2'!CY4</f>
        <v>0</v>
      </c>
      <c r="DB4" s="1">
        <f>'in2'!CZ4</f>
        <v>0</v>
      </c>
      <c r="DC4" s="1">
        <f>'in2'!DA4</f>
        <v>0</v>
      </c>
      <c r="DD4" s="1">
        <f>'in2'!DB4</f>
        <v>1</v>
      </c>
      <c r="DE4" s="1">
        <f>'in2'!DC4</f>
        <v>1</v>
      </c>
      <c r="DF4" s="1">
        <f>'in2'!DD4</f>
        <v>1</v>
      </c>
      <c r="DG4" s="1">
        <f>'in2'!DE4</f>
        <v>1</v>
      </c>
      <c r="DH4" s="1">
        <f>'in2'!DF4</f>
        <v>0</v>
      </c>
      <c r="DI4" s="1">
        <f>'in2'!DG4</f>
        <v>0</v>
      </c>
      <c r="DJ4" s="1">
        <f>'in2'!DH4</f>
        <v>1</v>
      </c>
      <c r="DK4" s="1">
        <f>'in2'!DI4</f>
        <v>1</v>
      </c>
      <c r="DL4" s="1">
        <f>'in2'!DJ4</f>
        <v>0</v>
      </c>
      <c r="DM4" s="1">
        <f>'in2'!DK4</f>
        <v>1</v>
      </c>
      <c r="DN4" s="1">
        <f>'in2'!DL4</f>
        <v>1</v>
      </c>
      <c r="DO4" s="1">
        <f>'in2'!DM4</f>
        <v>0</v>
      </c>
      <c r="DP4" s="1">
        <f>'in2'!DN4</f>
        <v>0</v>
      </c>
      <c r="DQ4" s="1">
        <f>'in2'!DO4</f>
        <v>1</v>
      </c>
      <c r="DR4" s="1">
        <f>'in2'!DP4</f>
        <v>1</v>
      </c>
      <c r="DS4" s="1">
        <f>'in2'!DQ4</f>
        <v>1</v>
      </c>
      <c r="DT4" s="1">
        <f>'in2'!DR4</f>
        <v>1</v>
      </c>
      <c r="DU4" s="1">
        <f>'in2'!DS4</f>
        <v>0</v>
      </c>
      <c r="DV4" s="1">
        <f>'in2'!DT4</f>
        <v>0</v>
      </c>
      <c r="DW4" s="1">
        <f>'in2'!DU4</f>
        <v>1</v>
      </c>
      <c r="DX4" s="1">
        <f>'in2'!DV4</f>
        <v>1</v>
      </c>
      <c r="DY4" s="1">
        <f>'in2'!DW4</f>
        <v>0</v>
      </c>
      <c r="DZ4" s="1">
        <f>'in2'!DX4</f>
        <v>1</v>
      </c>
      <c r="EA4" s="1">
        <f>'in2'!DY4</f>
        <v>1</v>
      </c>
      <c r="EB4" s="1">
        <f>'in2'!DZ4</f>
        <v>0</v>
      </c>
      <c r="EC4" s="1">
        <f>'in2'!EA4</f>
        <v>0</v>
      </c>
      <c r="ED4" s="1">
        <f>'in2'!EB4</f>
        <v>1</v>
      </c>
      <c r="EE4" s="1">
        <f>'in2'!EC4</f>
        <v>0</v>
      </c>
      <c r="EF4" s="1">
        <f>'in2'!ED4</f>
        <v>0</v>
      </c>
      <c r="EG4" s="1">
        <f>'in2'!EE4</f>
        <v>1</v>
      </c>
      <c r="EH4" s="1">
        <f>'in2'!EF4</f>
        <v>1</v>
      </c>
      <c r="EI4" s="1">
        <f>'in2'!EG4</f>
        <v>0</v>
      </c>
      <c r="EJ4" s="1">
        <f>'in2'!EH4</f>
        <v>0</v>
      </c>
      <c r="EK4" s="1">
        <f>'in2'!EI4</f>
        <v>0</v>
      </c>
      <c r="EL4" s="1">
        <f>'in2'!EJ4</f>
        <v>0</v>
      </c>
      <c r="EM4" s="1">
        <f>'in2'!EK4</f>
        <v>1</v>
      </c>
      <c r="EN4" s="1">
        <f>'in2'!EL4</f>
        <v>0</v>
      </c>
      <c r="EO4" s="1">
        <f>'in2'!EM4</f>
        <v>0</v>
      </c>
      <c r="EP4" s="1">
        <f>'in2'!EN4</f>
        <v>0</v>
      </c>
      <c r="EQ4" s="1">
        <f>'in2'!EO4</f>
        <v>1</v>
      </c>
      <c r="ER4" s="1">
        <f>'in2'!EP4</f>
        <v>0</v>
      </c>
      <c r="ES4" s="6">
        <f t="shared" ref="ES4:ES31" si="12">SUM(CP4:ER4)</f>
        <v>27</v>
      </c>
      <c r="ET4" s="7">
        <f t="shared" si="11"/>
        <v>49.090909090909093</v>
      </c>
    </row>
    <row r="5" spans="1:150" x14ac:dyDescent="0.35">
      <c r="A5" s="43" t="str">
        <f>in!D5</f>
        <v>CARVAJAL MIRANDA YOELIS MARIA</v>
      </c>
      <c r="B5" s="43">
        <f>in!E5</f>
        <v>5706</v>
      </c>
      <c r="C5" s="1">
        <f>'in2'!M5</f>
        <v>0</v>
      </c>
      <c r="D5" s="1">
        <f>'in2'!N5</f>
        <v>0</v>
      </c>
      <c r="E5" s="1">
        <f>'in2'!O5</f>
        <v>0</v>
      </c>
      <c r="F5" s="1">
        <f>'in2'!P5</f>
        <v>1</v>
      </c>
      <c r="G5" s="1">
        <f>'in2'!Q5</f>
        <v>0</v>
      </c>
      <c r="H5" s="1">
        <f>'in2'!R5</f>
        <v>1</v>
      </c>
      <c r="I5" s="1">
        <f>'in2'!S5</f>
        <v>0</v>
      </c>
      <c r="J5" s="1">
        <f>'in2'!T5</f>
        <v>1</v>
      </c>
      <c r="K5" s="1">
        <f>'in2'!U5</f>
        <v>0</v>
      </c>
      <c r="L5" s="1">
        <f>'in2'!V5</f>
        <v>0</v>
      </c>
      <c r="M5" s="1">
        <f>'in2'!W5</f>
        <v>0</v>
      </c>
      <c r="N5" s="1">
        <f>'in2'!X5</f>
        <v>0</v>
      </c>
      <c r="O5" s="1">
        <f>'in2'!Y5</f>
        <v>0</v>
      </c>
      <c r="P5" s="1">
        <f>'in2'!Z5</f>
        <v>1</v>
      </c>
      <c r="Q5" s="1">
        <f>'in2'!AA5</f>
        <v>0</v>
      </c>
      <c r="R5" s="1">
        <f>'in2'!AB5</f>
        <v>0</v>
      </c>
      <c r="S5" s="1">
        <f>'in2'!AC5</f>
        <v>0</v>
      </c>
      <c r="T5" s="1">
        <f>'in2'!AD5</f>
        <v>1</v>
      </c>
      <c r="U5" s="1">
        <f>'in2'!AE5</f>
        <v>1</v>
      </c>
      <c r="V5" s="1">
        <f>'in2'!AF5</f>
        <v>1</v>
      </c>
      <c r="W5" s="1">
        <f>'in2'!AG5</f>
        <v>1</v>
      </c>
      <c r="X5" s="1">
        <f>'in2'!AH5</f>
        <v>0</v>
      </c>
      <c r="Y5" s="1">
        <f>'in2'!AI5</f>
        <v>1</v>
      </c>
      <c r="Z5" s="1">
        <f>'in2'!AJ5</f>
        <v>0</v>
      </c>
      <c r="AA5" s="1">
        <f>'in2'!AK5</f>
        <v>0</v>
      </c>
      <c r="AB5" s="5">
        <f t="shared" si="4"/>
        <v>9</v>
      </c>
      <c r="AC5" s="5">
        <f t="shared" si="5"/>
        <v>36</v>
      </c>
      <c r="AD5" s="1">
        <f>'in2'!AL5</f>
        <v>0</v>
      </c>
      <c r="AE5" s="1">
        <f>'in2'!AM5</f>
        <v>0</v>
      </c>
      <c r="AF5" s="1">
        <f>'in2'!AN5</f>
        <v>0</v>
      </c>
      <c r="AG5" s="1">
        <f>'in2'!AO5</f>
        <v>1</v>
      </c>
      <c r="AH5" s="1">
        <f>'in2'!AP5</f>
        <v>1</v>
      </c>
      <c r="AI5" s="1">
        <f>'in2'!AQ5</f>
        <v>1</v>
      </c>
      <c r="AJ5" s="1">
        <f>'in2'!AR5</f>
        <v>1</v>
      </c>
      <c r="AK5" s="1">
        <f>'in2'!AS5</f>
        <v>0</v>
      </c>
      <c r="AL5" s="1">
        <f>'in2'!AT5</f>
        <v>0</v>
      </c>
      <c r="AM5" s="1">
        <f>'in2'!AU5</f>
        <v>0</v>
      </c>
      <c r="AN5" s="1">
        <f>'in2'!AV5</f>
        <v>0</v>
      </c>
      <c r="AO5" s="1">
        <f>'in2'!AW5</f>
        <v>0</v>
      </c>
      <c r="AP5" s="1">
        <f>'in2'!AX5</f>
        <v>0</v>
      </c>
      <c r="AQ5" s="1">
        <f>'in2'!AY5</f>
        <v>0</v>
      </c>
      <c r="AR5" s="1">
        <f>'in2'!AZ5</f>
        <v>0</v>
      </c>
      <c r="AS5" s="1">
        <f>'in2'!BA5</f>
        <v>0</v>
      </c>
      <c r="AT5" s="1">
        <f>'in2'!BB5</f>
        <v>1</v>
      </c>
      <c r="AU5" s="1">
        <f>'in2'!BC5</f>
        <v>0</v>
      </c>
      <c r="AV5" s="1">
        <f>'in2'!BD5</f>
        <v>0</v>
      </c>
      <c r="AW5" s="1">
        <f>'in2'!BE5</f>
        <v>0</v>
      </c>
      <c r="AX5" s="1">
        <f>'in2'!BF5</f>
        <v>0</v>
      </c>
      <c r="AY5" s="1">
        <f>'in2'!BG5</f>
        <v>0</v>
      </c>
      <c r="AZ5" s="1">
        <f>'in2'!BH5</f>
        <v>0</v>
      </c>
      <c r="BA5" s="1">
        <f>'in2'!BI5</f>
        <v>1</v>
      </c>
      <c r="BB5" s="1">
        <f>'in2'!BJ5</f>
        <v>0</v>
      </c>
      <c r="BC5" s="3">
        <f t="shared" si="6"/>
        <v>6</v>
      </c>
      <c r="BD5" s="3">
        <f t="shared" si="7"/>
        <v>24</v>
      </c>
      <c r="BE5" s="1">
        <f>'in2'!BK5</f>
        <v>0</v>
      </c>
      <c r="BF5" s="1">
        <f>'in2'!BL5</f>
        <v>0</v>
      </c>
      <c r="BG5" s="1">
        <f>'in2'!BM5</f>
        <v>1</v>
      </c>
      <c r="BH5" s="1">
        <f>'in2'!BN5</f>
        <v>0</v>
      </c>
      <c r="BI5" s="1">
        <f>'in2'!BO5</f>
        <v>0</v>
      </c>
      <c r="BJ5" s="13">
        <f t="shared" si="0"/>
        <v>1</v>
      </c>
      <c r="BK5" s="14">
        <f t="shared" si="1"/>
        <v>20</v>
      </c>
      <c r="BL5" s="1">
        <f>'in2'!BP5</f>
        <v>1</v>
      </c>
      <c r="BM5" s="1">
        <f>'in2'!BQ5</f>
        <v>1</v>
      </c>
      <c r="BN5" s="1">
        <f>'in2'!BR5</f>
        <v>0</v>
      </c>
      <c r="BO5" s="1">
        <f>'in2'!BS5</f>
        <v>1</v>
      </c>
      <c r="BP5" s="1">
        <f>'in2'!BT5</f>
        <v>0</v>
      </c>
      <c r="BQ5" s="1">
        <f>'in2'!BU5</f>
        <v>1</v>
      </c>
      <c r="BR5" s="1">
        <f>'in2'!BV5</f>
        <v>1</v>
      </c>
      <c r="BS5" s="1">
        <f>'in2'!BW5</f>
        <v>0</v>
      </c>
      <c r="BT5" s="1">
        <f>'in2'!BX5</f>
        <v>0</v>
      </c>
      <c r="BU5" s="1">
        <f>'in2'!BY5</f>
        <v>1</v>
      </c>
      <c r="BV5" s="1">
        <f>'in2'!BZ5</f>
        <v>0</v>
      </c>
      <c r="BW5" s="1">
        <f>'in2'!CA5</f>
        <v>0</v>
      </c>
      <c r="BX5" s="1">
        <f>'in2'!CB5</f>
        <v>0</v>
      </c>
      <c r="BY5" s="11">
        <f t="shared" si="8"/>
        <v>6</v>
      </c>
      <c r="BZ5" s="16">
        <f t="shared" si="9"/>
        <v>46.153846153846153</v>
      </c>
      <c r="CA5" s="1">
        <f>'in2'!CC5</f>
        <v>1</v>
      </c>
      <c r="CB5" s="1">
        <f>'in2'!CD5</f>
        <v>1</v>
      </c>
      <c r="CC5" s="1">
        <f>'in2'!CE5</f>
        <v>1</v>
      </c>
      <c r="CD5" s="1">
        <f>'in2'!CF5</f>
        <v>0</v>
      </c>
      <c r="CE5" s="1">
        <f>'in2'!CG5</f>
        <v>1</v>
      </c>
      <c r="CF5" s="1">
        <f>'in2'!CH5</f>
        <v>0</v>
      </c>
      <c r="CG5" s="1">
        <f>'in2'!CI5</f>
        <v>0</v>
      </c>
      <c r="CH5" s="1">
        <f>'in2'!CJ5</f>
        <v>0</v>
      </c>
      <c r="CI5" s="1">
        <f>'in2'!CK5</f>
        <v>1</v>
      </c>
      <c r="CJ5" s="1">
        <f>'in2'!CL5</f>
        <v>1</v>
      </c>
      <c r="CK5" s="12">
        <f t="shared" ref="CK5:CK31" si="13">SUM(CA5:CJ5)</f>
        <v>6</v>
      </c>
      <c r="CL5" s="15">
        <f>CK5*100/COUNT(CA5:CJ5)</f>
        <v>60</v>
      </c>
      <c r="CM5" s="65">
        <f>'in2'!CM5</f>
        <v>0</v>
      </c>
      <c r="CN5" s="17">
        <f t="shared" si="2"/>
        <v>0</v>
      </c>
      <c r="CO5" s="17">
        <f t="shared" si="3"/>
        <v>0</v>
      </c>
      <c r="CP5" s="1">
        <f>'in2'!CN5</f>
        <v>1</v>
      </c>
      <c r="CQ5" s="1">
        <f>'in2'!CO5</f>
        <v>1</v>
      </c>
      <c r="CR5" s="1">
        <f>'in2'!CP5</f>
        <v>1</v>
      </c>
      <c r="CS5" s="1">
        <f>'in2'!CQ5</f>
        <v>0</v>
      </c>
      <c r="CT5" s="1">
        <f>'in2'!CR5</f>
        <v>0</v>
      </c>
      <c r="CU5" s="1">
        <f>'in2'!CS5</f>
        <v>0</v>
      </c>
      <c r="CV5" s="1">
        <f>'in2'!CT5</f>
        <v>1</v>
      </c>
      <c r="CW5" s="1">
        <f>'in2'!CU5</f>
        <v>1</v>
      </c>
      <c r="CX5" s="1">
        <f>'in2'!CV5</f>
        <v>1</v>
      </c>
      <c r="CY5" s="1">
        <f>'in2'!CW5</f>
        <v>1</v>
      </c>
      <c r="CZ5" s="1">
        <f>'in2'!CX5</f>
        <v>0</v>
      </c>
      <c r="DA5" s="1">
        <f>'in2'!CY5</f>
        <v>1</v>
      </c>
      <c r="DB5" s="1">
        <f>'in2'!CZ5</f>
        <v>0</v>
      </c>
      <c r="DC5" s="1">
        <f>'in2'!DA5</f>
        <v>0</v>
      </c>
      <c r="DD5" s="1">
        <f>'in2'!DB5</f>
        <v>0</v>
      </c>
      <c r="DE5" s="1">
        <f>'in2'!DC5</f>
        <v>1</v>
      </c>
      <c r="DF5" s="1">
        <f>'in2'!DD5</f>
        <v>0</v>
      </c>
      <c r="DG5" s="1">
        <f>'in2'!DE5</f>
        <v>0</v>
      </c>
      <c r="DH5" s="1">
        <f>'in2'!DF5</f>
        <v>0</v>
      </c>
      <c r="DI5" s="1">
        <f>'in2'!DG5</f>
        <v>0</v>
      </c>
      <c r="DJ5" s="1">
        <f>'in2'!DH5</f>
        <v>0</v>
      </c>
      <c r="DK5" s="1">
        <f>'in2'!DI5</f>
        <v>0</v>
      </c>
      <c r="DL5" s="1">
        <f>'in2'!DJ5</f>
        <v>0</v>
      </c>
      <c r="DM5" s="1">
        <f>'in2'!DK5</f>
        <v>0</v>
      </c>
      <c r="DN5" s="1">
        <f>'in2'!DL5</f>
        <v>0</v>
      </c>
      <c r="DO5" s="1">
        <f>'in2'!DM5</f>
        <v>0</v>
      </c>
      <c r="DP5" s="1">
        <f>'in2'!DN5</f>
        <v>1</v>
      </c>
      <c r="DQ5" s="1">
        <f>'in2'!DO5</f>
        <v>1</v>
      </c>
      <c r="DR5" s="1">
        <f>'in2'!DP5</f>
        <v>0</v>
      </c>
      <c r="DS5" s="1">
        <f>'in2'!DQ5</f>
        <v>0</v>
      </c>
      <c r="DT5" s="1">
        <f>'in2'!DR5</f>
        <v>0</v>
      </c>
      <c r="DU5" s="1">
        <f>'in2'!DS5</f>
        <v>1</v>
      </c>
      <c r="DV5" s="1">
        <f>'in2'!DT5</f>
        <v>0</v>
      </c>
      <c r="DW5" s="1">
        <f>'in2'!DU5</f>
        <v>1</v>
      </c>
      <c r="DX5" s="1">
        <f>'in2'!DV5</f>
        <v>1</v>
      </c>
      <c r="DY5" s="1">
        <f>'in2'!DW5</f>
        <v>0</v>
      </c>
      <c r="DZ5" s="1">
        <f>'in2'!DX5</f>
        <v>1</v>
      </c>
      <c r="EA5" s="1">
        <f>'in2'!DY5</f>
        <v>0</v>
      </c>
      <c r="EB5" s="1">
        <f>'in2'!DZ5</f>
        <v>0</v>
      </c>
      <c r="EC5" s="1">
        <f>'in2'!EA5</f>
        <v>0</v>
      </c>
      <c r="ED5" s="1">
        <f>'in2'!EB5</f>
        <v>1</v>
      </c>
      <c r="EE5" s="1">
        <f>'in2'!EC5</f>
        <v>0</v>
      </c>
      <c r="EF5" s="1">
        <f>'in2'!ED5</f>
        <v>1</v>
      </c>
      <c r="EG5" s="1">
        <f>'in2'!EE5</f>
        <v>0</v>
      </c>
      <c r="EH5" s="1">
        <f>'in2'!EF5</f>
        <v>0</v>
      </c>
      <c r="EI5" s="1">
        <f>'in2'!EG5</f>
        <v>1</v>
      </c>
      <c r="EJ5" s="1">
        <f>'in2'!EH5</f>
        <v>0</v>
      </c>
      <c r="EK5" s="1">
        <f>'in2'!EI5</f>
        <v>1</v>
      </c>
      <c r="EL5" s="1">
        <f>'in2'!EJ5</f>
        <v>0</v>
      </c>
      <c r="EM5" s="1">
        <f>'in2'!EK5</f>
        <v>1</v>
      </c>
      <c r="EN5" s="1">
        <f>'in2'!EL5</f>
        <v>1</v>
      </c>
      <c r="EO5" s="1">
        <f>'in2'!EM5</f>
        <v>0</v>
      </c>
      <c r="EP5" s="1">
        <f>'in2'!EN5</f>
        <v>0</v>
      </c>
      <c r="EQ5" s="1">
        <f>'in2'!EO5</f>
        <v>1</v>
      </c>
      <c r="ER5" s="1">
        <f>'in2'!EP5</f>
        <v>0</v>
      </c>
      <c r="ES5" s="6">
        <f t="shared" si="12"/>
        <v>22</v>
      </c>
      <c r="ET5" s="7">
        <f t="shared" si="11"/>
        <v>40</v>
      </c>
    </row>
    <row r="6" spans="1:150" x14ac:dyDescent="0.35">
      <c r="A6" s="43" t="str">
        <f>in!D6</f>
        <v>DIAZ DONADO ROSA ANDREA</v>
      </c>
      <c r="B6" s="43">
        <f>in!E6</f>
        <v>5707</v>
      </c>
      <c r="C6" s="1">
        <f>'in2'!M6</f>
        <v>1</v>
      </c>
      <c r="D6" s="1">
        <f>'in2'!N6</f>
        <v>0</v>
      </c>
      <c r="E6" s="1">
        <f>'in2'!O6</f>
        <v>1</v>
      </c>
      <c r="F6" s="1">
        <f>'in2'!P6</f>
        <v>0</v>
      </c>
      <c r="G6" s="1">
        <f>'in2'!Q6</f>
        <v>0</v>
      </c>
      <c r="H6" s="1">
        <f>'in2'!R6</f>
        <v>1</v>
      </c>
      <c r="I6" s="1">
        <f>'in2'!S6</f>
        <v>0</v>
      </c>
      <c r="J6" s="1">
        <f>'in2'!T6</f>
        <v>1</v>
      </c>
      <c r="K6" s="1">
        <f>'in2'!U6</f>
        <v>0</v>
      </c>
      <c r="L6" s="1">
        <f>'in2'!V6</f>
        <v>0</v>
      </c>
      <c r="M6" s="1">
        <f>'in2'!W6</f>
        <v>1</v>
      </c>
      <c r="N6" s="1">
        <f>'in2'!X6</f>
        <v>1</v>
      </c>
      <c r="O6" s="1">
        <f>'in2'!Y6</f>
        <v>0</v>
      </c>
      <c r="P6" s="1">
        <f>'in2'!Z6</f>
        <v>0</v>
      </c>
      <c r="Q6" s="1">
        <f>'in2'!AA6</f>
        <v>1</v>
      </c>
      <c r="R6" s="1">
        <f>'in2'!AB6</f>
        <v>0</v>
      </c>
      <c r="S6" s="1">
        <f>'in2'!AC6</f>
        <v>0</v>
      </c>
      <c r="T6" s="1">
        <f>'in2'!AD6</f>
        <v>1</v>
      </c>
      <c r="U6" s="1">
        <f>'in2'!AE6</f>
        <v>1</v>
      </c>
      <c r="V6" s="1">
        <f>'in2'!AF6</f>
        <v>1</v>
      </c>
      <c r="W6" s="1">
        <f>'in2'!AG6</f>
        <v>1</v>
      </c>
      <c r="X6" s="1">
        <f>'in2'!AH6</f>
        <v>0</v>
      </c>
      <c r="Y6" s="1">
        <f>'in2'!AI6</f>
        <v>0</v>
      </c>
      <c r="Z6" s="1">
        <f>'in2'!AJ6</f>
        <v>0</v>
      </c>
      <c r="AA6" s="1">
        <f>'in2'!AK6</f>
        <v>0</v>
      </c>
      <c r="AB6" s="5">
        <f t="shared" si="4"/>
        <v>11</v>
      </c>
      <c r="AC6" s="5">
        <f t="shared" si="5"/>
        <v>44</v>
      </c>
      <c r="AD6" s="1">
        <f>'in2'!AL6</f>
        <v>0</v>
      </c>
      <c r="AE6" s="1">
        <f>'in2'!AM6</f>
        <v>0</v>
      </c>
      <c r="AF6" s="1">
        <f>'in2'!AN6</f>
        <v>0</v>
      </c>
      <c r="AG6" s="1">
        <f>'in2'!AO6</f>
        <v>1</v>
      </c>
      <c r="AH6" s="1">
        <f>'in2'!AP6</f>
        <v>0</v>
      </c>
      <c r="AI6" s="1">
        <f>'in2'!AQ6</f>
        <v>1</v>
      </c>
      <c r="AJ6" s="1">
        <f>'in2'!AR6</f>
        <v>1</v>
      </c>
      <c r="AK6" s="1">
        <f>'in2'!AS6</f>
        <v>0</v>
      </c>
      <c r="AL6" s="1">
        <f>'in2'!AT6</f>
        <v>1</v>
      </c>
      <c r="AM6" s="1">
        <f>'in2'!AU6</f>
        <v>0</v>
      </c>
      <c r="AN6" s="1">
        <f>'in2'!AV6</f>
        <v>1</v>
      </c>
      <c r="AO6" s="1">
        <f>'in2'!AW6</f>
        <v>1</v>
      </c>
      <c r="AP6" s="1">
        <f>'in2'!AX6</f>
        <v>1</v>
      </c>
      <c r="AQ6" s="1">
        <f>'in2'!AY6</f>
        <v>1</v>
      </c>
      <c r="AR6" s="1">
        <f>'in2'!AZ6</f>
        <v>0</v>
      </c>
      <c r="AS6" s="1">
        <f>'in2'!BA6</f>
        <v>0</v>
      </c>
      <c r="AT6" s="1">
        <f>'in2'!BB6</f>
        <v>0</v>
      </c>
      <c r="AU6" s="1">
        <f>'in2'!BC6</f>
        <v>0</v>
      </c>
      <c r="AV6" s="1">
        <f>'in2'!BD6</f>
        <v>0</v>
      </c>
      <c r="AW6" s="1">
        <f>'in2'!BE6</f>
        <v>0</v>
      </c>
      <c r="AX6" s="1">
        <f>'in2'!BF6</f>
        <v>0</v>
      </c>
      <c r="AY6" s="1">
        <f>'in2'!BG6</f>
        <v>0</v>
      </c>
      <c r="AZ6" s="1">
        <f>'in2'!BH6</f>
        <v>0</v>
      </c>
      <c r="BA6" s="1">
        <f>'in2'!BI6</f>
        <v>0</v>
      </c>
      <c r="BB6" s="1">
        <f>'in2'!BJ6</f>
        <v>1</v>
      </c>
      <c r="BC6" s="3">
        <f t="shared" si="6"/>
        <v>9</v>
      </c>
      <c r="BD6" s="3">
        <f t="shared" si="7"/>
        <v>36</v>
      </c>
      <c r="BE6" s="1">
        <f>'in2'!BK6</f>
        <v>0</v>
      </c>
      <c r="BF6" s="1">
        <f>'in2'!BL6</f>
        <v>0</v>
      </c>
      <c r="BG6" s="1">
        <f>'in2'!BM6</f>
        <v>0</v>
      </c>
      <c r="BH6" s="1">
        <f>'in2'!BN6</f>
        <v>1</v>
      </c>
      <c r="BI6" s="1">
        <f>'in2'!BO6</f>
        <v>1</v>
      </c>
      <c r="BJ6" s="13">
        <f t="shared" si="0"/>
        <v>2</v>
      </c>
      <c r="BK6" s="14">
        <f t="shared" si="1"/>
        <v>40</v>
      </c>
      <c r="BL6" s="1">
        <f>'in2'!BP6</f>
        <v>0</v>
      </c>
      <c r="BM6" s="1">
        <f>'in2'!BQ6</f>
        <v>0</v>
      </c>
      <c r="BN6" s="1">
        <f>'in2'!BR6</f>
        <v>0</v>
      </c>
      <c r="BO6" s="1">
        <f>'in2'!BS6</f>
        <v>1</v>
      </c>
      <c r="BP6" s="1">
        <f>'in2'!BT6</f>
        <v>0</v>
      </c>
      <c r="BQ6" s="1">
        <f>'in2'!BU6</f>
        <v>0</v>
      </c>
      <c r="BR6" s="1">
        <f>'in2'!BV6</f>
        <v>0</v>
      </c>
      <c r="BS6" s="1">
        <f>'in2'!BW6</f>
        <v>0</v>
      </c>
      <c r="BT6" s="1">
        <f>'in2'!BX6</f>
        <v>0</v>
      </c>
      <c r="BU6" s="1">
        <f>'in2'!BY6</f>
        <v>0</v>
      </c>
      <c r="BV6" s="1">
        <f>'in2'!BZ6</f>
        <v>1</v>
      </c>
      <c r="BW6" s="1">
        <f>'in2'!CA6</f>
        <v>0</v>
      </c>
      <c r="BX6" s="1">
        <f>'in2'!CB6</f>
        <v>1</v>
      </c>
      <c r="BY6" s="11">
        <f t="shared" si="8"/>
        <v>3</v>
      </c>
      <c r="BZ6" s="16">
        <f t="shared" si="9"/>
        <v>23.076923076923077</v>
      </c>
      <c r="CA6" s="1">
        <f>'in2'!CC6</f>
        <v>0</v>
      </c>
      <c r="CB6" s="1">
        <f>'in2'!CD6</f>
        <v>0</v>
      </c>
      <c r="CC6" s="1">
        <f>'in2'!CE6</f>
        <v>0</v>
      </c>
      <c r="CD6" s="1">
        <f>'in2'!CF6</f>
        <v>0</v>
      </c>
      <c r="CE6" s="1">
        <f>'in2'!CG6</f>
        <v>0</v>
      </c>
      <c r="CF6" s="1">
        <f>'in2'!CH6</f>
        <v>0</v>
      </c>
      <c r="CG6" s="1">
        <f>'in2'!CI6</f>
        <v>0</v>
      </c>
      <c r="CH6" s="1">
        <f>'in2'!CJ6</f>
        <v>0</v>
      </c>
      <c r="CI6" s="1">
        <f>'in2'!CK6</f>
        <v>0</v>
      </c>
      <c r="CJ6" s="1">
        <f>'in2'!CL6</f>
        <v>0</v>
      </c>
      <c r="CK6" s="12">
        <f t="shared" si="13"/>
        <v>0</v>
      </c>
      <c r="CL6" s="15">
        <f t="shared" si="10"/>
        <v>0</v>
      </c>
      <c r="CM6" s="65">
        <f>'in2'!CM6</f>
        <v>0</v>
      </c>
      <c r="CN6" s="17">
        <f t="shared" si="2"/>
        <v>0</v>
      </c>
      <c r="CO6" s="17">
        <f t="shared" si="3"/>
        <v>0</v>
      </c>
      <c r="CP6" s="1">
        <f>'in2'!CN6</f>
        <v>1</v>
      </c>
      <c r="CQ6" s="1">
        <f>'in2'!CO6</f>
        <v>1</v>
      </c>
      <c r="CR6" s="1">
        <f>'in2'!CP6</f>
        <v>0</v>
      </c>
      <c r="CS6" s="1">
        <f>'in2'!CQ6</f>
        <v>1</v>
      </c>
      <c r="CT6" s="1">
        <f>'in2'!CR6</f>
        <v>0</v>
      </c>
      <c r="CU6" s="1">
        <f>'in2'!CS6</f>
        <v>1</v>
      </c>
      <c r="CV6" s="1">
        <f>'in2'!CT6</f>
        <v>1</v>
      </c>
      <c r="CW6" s="1">
        <f>'in2'!CU6</f>
        <v>0</v>
      </c>
      <c r="CX6" s="1">
        <f>'in2'!CV6</f>
        <v>0</v>
      </c>
      <c r="CY6" s="1">
        <f>'in2'!CW6</f>
        <v>1</v>
      </c>
      <c r="CZ6" s="1">
        <f>'in2'!CX6</f>
        <v>1</v>
      </c>
      <c r="DA6" s="1">
        <f>'in2'!CY6</f>
        <v>0</v>
      </c>
      <c r="DB6" s="1">
        <f>'in2'!CZ6</f>
        <v>0</v>
      </c>
      <c r="DC6" s="1">
        <f>'in2'!DA6</f>
        <v>0</v>
      </c>
      <c r="DD6" s="1">
        <f>'in2'!DB6</f>
        <v>0</v>
      </c>
      <c r="DE6" s="1">
        <f>'in2'!DC6</f>
        <v>1</v>
      </c>
      <c r="DF6" s="1">
        <f>'in2'!DD6</f>
        <v>1</v>
      </c>
      <c r="DG6" s="1">
        <f>'in2'!DE6</f>
        <v>1</v>
      </c>
      <c r="DH6" s="1">
        <f>'in2'!DF6</f>
        <v>0</v>
      </c>
      <c r="DI6" s="1">
        <f>'in2'!DG6</f>
        <v>0</v>
      </c>
      <c r="DJ6" s="1">
        <f>'in2'!DH6</f>
        <v>1</v>
      </c>
      <c r="DK6" s="1">
        <f>'in2'!DI6</f>
        <v>1</v>
      </c>
      <c r="DL6" s="1">
        <f>'in2'!DJ6</f>
        <v>0</v>
      </c>
      <c r="DM6" s="1">
        <f>'in2'!DK6</f>
        <v>1</v>
      </c>
      <c r="DN6" s="1">
        <f>'in2'!DL6</f>
        <v>0</v>
      </c>
      <c r="DO6" s="1">
        <f>'in2'!DM6</f>
        <v>0</v>
      </c>
      <c r="DP6" s="1">
        <f>'in2'!DN6</f>
        <v>0</v>
      </c>
      <c r="DQ6" s="1">
        <f>'in2'!DO6</f>
        <v>0</v>
      </c>
      <c r="DR6" s="1">
        <f>'in2'!DP6</f>
        <v>1</v>
      </c>
      <c r="DS6" s="1">
        <f>'in2'!DQ6</f>
        <v>1</v>
      </c>
      <c r="DT6" s="1">
        <f>'in2'!DR6</f>
        <v>0</v>
      </c>
      <c r="DU6" s="1">
        <f>'in2'!DS6</f>
        <v>0</v>
      </c>
      <c r="DV6" s="1">
        <f>'in2'!DT6</f>
        <v>1</v>
      </c>
      <c r="DW6" s="1">
        <f>'in2'!DU6</f>
        <v>1</v>
      </c>
      <c r="DX6" s="1">
        <f>'in2'!DV6</f>
        <v>1</v>
      </c>
      <c r="DY6" s="1">
        <f>'in2'!DW6</f>
        <v>0</v>
      </c>
      <c r="DZ6" s="1">
        <f>'in2'!DX6</f>
        <v>1</v>
      </c>
      <c r="EA6" s="1">
        <f>'in2'!DY6</f>
        <v>0</v>
      </c>
      <c r="EB6" s="1">
        <f>'in2'!DZ6</f>
        <v>1</v>
      </c>
      <c r="EC6" s="1">
        <f>'in2'!EA6</f>
        <v>0</v>
      </c>
      <c r="ED6" s="1">
        <f>'in2'!EB6</f>
        <v>0</v>
      </c>
      <c r="EE6" s="1">
        <f>'in2'!EC6</f>
        <v>0</v>
      </c>
      <c r="EF6" s="1">
        <f>'in2'!ED6</f>
        <v>0</v>
      </c>
      <c r="EG6" s="1">
        <f>'in2'!EE6</f>
        <v>0</v>
      </c>
      <c r="EH6" s="1">
        <f>'in2'!EF6</f>
        <v>0</v>
      </c>
      <c r="EI6" s="1">
        <f>'in2'!EG6</f>
        <v>0</v>
      </c>
      <c r="EJ6" s="1">
        <f>'in2'!EH6</f>
        <v>0</v>
      </c>
      <c r="EK6" s="1">
        <f>'in2'!EI6</f>
        <v>1</v>
      </c>
      <c r="EL6" s="1">
        <f>'in2'!EJ6</f>
        <v>0</v>
      </c>
      <c r="EM6" s="1">
        <f>'in2'!EK6</f>
        <v>1</v>
      </c>
      <c r="EN6" s="1">
        <f>'in2'!EL6</f>
        <v>1</v>
      </c>
      <c r="EO6" s="1">
        <f>'in2'!EM6</f>
        <v>0</v>
      </c>
      <c r="EP6" s="1">
        <f>'in2'!EN6</f>
        <v>0</v>
      </c>
      <c r="EQ6" s="1">
        <f>'in2'!EO6</f>
        <v>0</v>
      </c>
      <c r="ER6" s="1">
        <f>'in2'!EP6</f>
        <v>0</v>
      </c>
      <c r="ES6" s="6">
        <f t="shared" si="12"/>
        <v>23</v>
      </c>
      <c r="ET6" s="7">
        <f t="shared" si="11"/>
        <v>41.81818181818182</v>
      </c>
    </row>
    <row r="7" spans="1:150" x14ac:dyDescent="0.35">
      <c r="A7" s="43" t="str">
        <f>in!D7</f>
        <v>DIAZ MARTINEZ DINA MARCELA</v>
      </c>
      <c r="B7" s="43">
        <f>in!E7</f>
        <v>5708</v>
      </c>
      <c r="C7" s="1">
        <f>'in2'!M7</f>
        <v>0</v>
      </c>
      <c r="D7" s="1">
        <f>'in2'!N7</f>
        <v>0</v>
      </c>
      <c r="E7" s="1">
        <f>'in2'!O7</f>
        <v>0</v>
      </c>
      <c r="F7" s="1">
        <f>'in2'!P7</f>
        <v>1</v>
      </c>
      <c r="G7" s="1">
        <f>'in2'!Q7</f>
        <v>0</v>
      </c>
      <c r="H7" s="1">
        <f>'in2'!R7</f>
        <v>1</v>
      </c>
      <c r="I7" s="1">
        <f>'in2'!S7</f>
        <v>0</v>
      </c>
      <c r="J7" s="1">
        <f>'in2'!T7</f>
        <v>0</v>
      </c>
      <c r="K7" s="1">
        <f>'in2'!U7</f>
        <v>1</v>
      </c>
      <c r="L7" s="1">
        <f>'in2'!V7</f>
        <v>0</v>
      </c>
      <c r="M7" s="1">
        <f>'in2'!W7</f>
        <v>0</v>
      </c>
      <c r="N7" s="1">
        <f>'in2'!X7</f>
        <v>0</v>
      </c>
      <c r="O7" s="1">
        <f>'in2'!Y7</f>
        <v>1</v>
      </c>
      <c r="P7" s="1">
        <f>'in2'!Z7</f>
        <v>0</v>
      </c>
      <c r="Q7" s="1">
        <f>'in2'!AA7</f>
        <v>1</v>
      </c>
      <c r="R7" s="1">
        <f>'in2'!AB7</f>
        <v>1</v>
      </c>
      <c r="S7" s="1">
        <f>'in2'!AC7</f>
        <v>0</v>
      </c>
      <c r="T7" s="1">
        <f>'in2'!AD7</f>
        <v>1</v>
      </c>
      <c r="U7" s="1">
        <f>'in2'!AE7</f>
        <v>0</v>
      </c>
      <c r="V7" s="1">
        <f>'in2'!AF7</f>
        <v>1</v>
      </c>
      <c r="W7" s="1">
        <f>'in2'!AG7</f>
        <v>1</v>
      </c>
      <c r="X7" s="1">
        <f>'in2'!AH7</f>
        <v>0</v>
      </c>
      <c r="Y7" s="1">
        <f>'in2'!AI7</f>
        <v>1</v>
      </c>
      <c r="Z7" s="1">
        <f>'in2'!AJ7</f>
        <v>0</v>
      </c>
      <c r="AA7" s="1">
        <f>'in2'!AK7</f>
        <v>1</v>
      </c>
      <c r="AB7" s="5">
        <f t="shared" si="4"/>
        <v>11</v>
      </c>
      <c r="AC7" s="5">
        <f t="shared" si="5"/>
        <v>44</v>
      </c>
      <c r="AD7" s="1">
        <f>'in2'!AL7</f>
        <v>0</v>
      </c>
      <c r="AE7" s="1">
        <f>'in2'!AM7</f>
        <v>1</v>
      </c>
      <c r="AF7" s="1">
        <f>'in2'!AN7</f>
        <v>1</v>
      </c>
      <c r="AG7" s="1">
        <f>'in2'!AO7</f>
        <v>1</v>
      </c>
      <c r="AH7" s="1">
        <f>'in2'!AP7</f>
        <v>1</v>
      </c>
      <c r="AI7" s="1">
        <f>'in2'!AQ7</f>
        <v>0</v>
      </c>
      <c r="AJ7" s="1">
        <f>'in2'!AR7</f>
        <v>1</v>
      </c>
      <c r="AK7" s="1">
        <f>'in2'!AS7</f>
        <v>0</v>
      </c>
      <c r="AL7" s="1">
        <f>'in2'!AT7</f>
        <v>0</v>
      </c>
      <c r="AM7" s="1">
        <f>'in2'!AU7</f>
        <v>0</v>
      </c>
      <c r="AN7" s="1">
        <f>'in2'!AV7</f>
        <v>0</v>
      </c>
      <c r="AO7" s="1">
        <f>'in2'!AW7</f>
        <v>0</v>
      </c>
      <c r="AP7" s="1">
        <f>'in2'!AX7</f>
        <v>0</v>
      </c>
      <c r="AQ7" s="1">
        <f>'in2'!AY7</f>
        <v>0</v>
      </c>
      <c r="AR7" s="1">
        <f>'in2'!AZ7</f>
        <v>0</v>
      </c>
      <c r="AS7" s="1">
        <f>'in2'!BA7</f>
        <v>0</v>
      </c>
      <c r="AT7" s="1">
        <f>'in2'!BB7</f>
        <v>1</v>
      </c>
      <c r="AU7" s="1">
        <f>'in2'!BC7</f>
        <v>0</v>
      </c>
      <c r="AV7" s="1">
        <f>'in2'!BD7</f>
        <v>0</v>
      </c>
      <c r="AW7" s="1">
        <f>'in2'!BE7</f>
        <v>0</v>
      </c>
      <c r="AX7" s="1">
        <f>'in2'!BF7</f>
        <v>0</v>
      </c>
      <c r="AY7" s="1">
        <f>'in2'!BG7</f>
        <v>0</v>
      </c>
      <c r="AZ7" s="1">
        <f>'in2'!BH7</f>
        <v>0</v>
      </c>
      <c r="BA7" s="1">
        <f>'in2'!BI7</f>
        <v>0</v>
      </c>
      <c r="BB7" s="1">
        <f>'in2'!BJ7</f>
        <v>0</v>
      </c>
      <c r="BC7" s="3">
        <f t="shared" si="6"/>
        <v>6</v>
      </c>
      <c r="BD7" s="3">
        <f t="shared" si="7"/>
        <v>24</v>
      </c>
      <c r="BE7" s="1">
        <f>'in2'!BK7</f>
        <v>0</v>
      </c>
      <c r="BF7" s="1">
        <f>'in2'!BL7</f>
        <v>0</v>
      </c>
      <c r="BG7" s="1">
        <f>'in2'!BM7</f>
        <v>0</v>
      </c>
      <c r="BH7" s="1">
        <f>'in2'!BN7</f>
        <v>1</v>
      </c>
      <c r="BI7" s="1">
        <f>'in2'!BO7</f>
        <v>1</v>
      </c>
      <c r="BJ7" s="13">
        <f t="shared" si="0"/>
        <v>2</v>
      </c>
      <c r="BK7" s="14">
        <f t="shared" si="1"/>
        <v>40</v>
      </c>
      <c r="BL7" s="1">
        <f>'in2'!BP7</f>
        <v>0</v>
      </c>
      <c r="BM7" s="1">
        <f>'in2'!BQ7</f>
        <v>1</v>
      </c>
      <c r="BN7" s="1">
        <f>'in2'!BR7</f>
        <v>0</v>
      </c>
      <c r="BO7" s="1">
        <f>'in2'!BS7</f>
        <v>0</v>
      </c>
      <c r="BP7" s="1">
        <f>'in2'!BT7</f>
        <v>0</v>
      </c>
      <c r="BQ7" s="1">
        <f>'in2'!BU7</f>
        <v>0</v>
      </c>
      <c r="BR7" s="1">
        <f>'in2'!BV7</f>
        <v>1</v>
      </c>
      <c r="BS7" s="1">
        <f>'in2'!BW7</f>
        <v>1</v>
      </c>
      <c r="BT7" s="1">
        <f>'in2'!BX7</f>
        <v>0</v>
      </c>
      <c r="BU7" s="1">
        <f>'in2'!BY7</f>
        <v>0</v>
      </c>
      <c r="BV7" s="1">
        <f>'in2'!BZ7</f>
        <v>0</v>
      </c>
      <c r="BW7" s="1">
        <f>'in2'!CA7</f>
        <v>1</v>
      </c>
      <c r="BX7" s="1">
        <f>'in2'!CB7</f>
        <v>0</v>
      </c>
      <c r="BY7" s="11">
        <f t="shared" si="8"/>
        <v>4</v>
      </c>
      <c r="BZ7" s="16">
        <f t="shared" si="9"/>
        <v>30.76923076923077</v>
      </c>
      <c r="CA7" s="1">
        <f>'in2'!CC7</f>
        <v>1</v>
      </c>
      <c r="CB7" s="1">
        <f>'in2'!CD7</f>
        <v>1</v>
      </c>
      <c r="CC7" s="1">
        <f>'in2'!CE7</f>
        <v>0</v>
      </c>
      <c r="CD7" s="1">
        <f>'in2'!CF7</f>
        <v>1</v>
      </c>
      <c r="CE7" s="1">
        <f>'in2'!CG7</f>
        <v>1</v>
      </c>
      <c r="CF7" s="1">
        <f>'in2'!CH7</f>
        <v>0</v>
      </c>
      <c r="CG7" s="1">
        <f>'in2'!CI7</f>
        <v>0</v>
      </c>
      <c r="CH7" s="1">
        <f>'in2'!CJ7</f>
        <v>0</v>
      </c>
      <c r="CI7" s="1">
        <f>'in2'!CK7</f>
        <v>0</v>
      </c>
      <c r="CJ7" s="1">
        <f>'in2'!CL7</f>
        <v>0</v>
      </c>
      <c r="CK7" s="12">
        <f t="shared" si="13"/>
        <v>4</v>
      </c>
      <c r="CL7" s="15">
        <f t="shared" si="10"/>
        <v>40</v>
      </c>
      <c r="CM7" s="65">
        <f>'in2'!CM7</f>
        <v>0</v>
      </c>
      <c r="CN7" s="17">
        <f t="shared" si="2"/>
        <v>0</v>
      </c>
      <c r="CO7" s="17">
        <f t="shared" si="3"/>
        <v>0</v>
      </c>
      <c r="CP7" s="1">
        <f>'in2'!CN7</f>
        <v>1</v>
      </c>
      <c r="CQ7" s="1">
        <f>'in2'!CO7</f>
        <v>1</v>
      </c>
      <c r="CR7" s="1">
        <f>'in2'!CP7</f>
        <v>0</v>
      </c>
      <c r="CS7" s="1">
        <f>'in2'!CQ7</f>
        <v>0</v>
      </c>
      <c r="CT7" s="1">
        <f>'in2'!CR7</f>
        <v>1</v>
      </c>
      <c r="CU7" s="1">
        <f>'in2'!CS7</f>
        <v>1</v>
      </c>
      <c r="CV7" s="1">
        <f>'in2'!CT7</f>
        <v>0</v>
      </c>
      <c r="CW7" s="1">
        <f>'in2'!CU7</f>
        <v>0</v>
      </c>
      <c r="CX7" s="1">
        <f>'in2'!CV7</f>
        <v>0</v>
      </c>
      <c r="CY7" s="1">
        <f>'in2'!CW7</f>
        <v>1</v>
      </c>
      <c r="CZ7" s="1">
        <f>'in2'!CX7</f>
        <v>0</v>
      </c>
      <c r="DA7" s="1">
        <f>'in2'!CY7</f>
        <v>0</v>
      </c>
      <c r="DB7" s="1">
        <f>'in2'!CZ7</f>
        <v>0</v>
      </c>
      <c r="DC7" s="1">
        <f>'in2'!DA7</f>
        <v>0</v>
      </c>
      <c r="DD7" s="1">
        <f>'in2'!DB7</f>
        <v>0</v>
      </c>
      <c r="DE7" s="1">
        <f>'in2'!DC7</f>
        <v>0</v>
      </c>
      <c r="DF7" s="1">
        <f>'in2'!DD7</f>
        <v>0</v>
      </c>
      <c r="DG7" s="1">
        <f>'in2'!DE7</f>
        <v>1</v>
      </c>
      <c r="DH7" s="1">
        <f>'in2'!DF7</f>
        <v>0</v>
      </c>
      <c r="DI7" s="1">
        <f>'in2'!DG7</f>
        <v>0</v>
      </c>
      <c r="DJ7" s="1">
        <f>'in2'!DH7</f>
        <v>0</v>
      </c>
      <c r="DK7" s="1">
        <f>'in2'!DI7</f>
        <v>1</v>
      </c>
      <c r="DL7" s="1">
        <f>'in2'!DJ7</f>
        <v>1</v>
      </c>
      <c r="DM7" s="1">
        <f>'in2'!DK7</f>
        <v>0</v>
      </c>
      <c r="DN7" s="1">
        <f>'in2'!DL7</f>
        <v>0</v>
      </c>
      <c r="DO7" s="1">
        <f>'in2'!DM7</f>
        <v>1</v>
      </c>
      <c r="DP7" s="1">
        <f>'in2'!DN7</f>
        <v>0</v>
      </c>
      <c r="DQ7" s="1">
        <f>'in2'!DO7</f>
        <v>0</v>
      </c>
      <c r="DR7" s="1">
        <f>'in2'!DP7</f>
        <v>0</v>
      </c>
      <c r="DS7" s="1">
        <f>'in2'!DQ7</f>
        <v>0</v>
      </c>
      <c r="DT7" s="1">
        <f>'in2'!DR7</f>
        <v>0</v>
      </c>
      <c r="DU7" s="1">
        <f>'in2'!DS7</f>
        <v>0</v>
      </c>
      <c r="DV7" s="1">
        <f>'in2'!DT7</f>
        <v>1</v>
      </c>
      <c r="DW7" s="1">
        <f>'in2'!DU7</f>
        <v>1</v>
      </c>
      <c r="DX7" s="1">
        <f>'in2'!DV7</f>
        <v>1</v>
      </c>
      <c r="DY7" s="1">
        <f>'in2'!DW7</f>
        <v>0</v>
      </c>
      <c r="DZ7" s="1">
        <f>'in2'!DX7</f>
        <v>1</v>
      </c>
      <c r="EA7" s="1">
        <f>'in2'!DY7</f>
        <v>1</v>
      </c>
      <c r="EB7" s="1">
        <f>'in2'!DZ7</f>
        <v>0</v>
      </c>
      <c r="EC7" s="1">
        <f>'in2'!EA7</f>
        <v>0</v>
      </c>
      <c r="ED7" s="1">
        <f>'in2'!EB7</f>
        <v>1</v>
      </c>
      <c r="EE7" s="1">
        <f>'in2'!EC7</f>
        <v>0</v>
      </c>
      <c r="EF7" s="1">
        <f>'in2'!ED7</f>
        <v>1</v>
      </c>
      <c r="EG7" s="1">
        <f>'in2'!EE7</f>
        <v>0</v>
      </c>
      <c r="EH7" s="1">
        <f>'in2'!EF7</f>
        <v>0</v>
      </c>
      <c r="EI7" s="1">
        <f>'in2'!EG7</f>
        <v>0</v>
      </c>
      <c r="EJ7" s="1">
        <f>'in2'!EH7</f>
        <v>1</v>
      </c>
      <c r="EK7" s="1">
        <f>'in2'!EI7</f>
        <v>1</v>
      </c>
      <c r="EL7" s="1">
        <f>'in2'!EJ7</f>
        <v>0</v>
      </c>
      <c r="EM7" s="1">
        <f>'in2'!EK7</f>
        <v>1</v>
      </c>
      <c r="EN7" s="1">
        <f>'in2'!EL7</f>
        <v>0</v>
      </c>
      <c r="EO7" s="1">
        <f>'in2'!EM7</f>
        <v>0</v>
      </c>
      <c r="EP7" s="1">
        <f>'in2'!EN7</f>
        <v>0</v>
      </c>
      <c r="EQ7" s="1">
        <f>'in2'!EO7</f>
        <v>0</v>
      </c>
      <c r="ER7" s="1">
        <f>'in2'!EP7</f>
        <v>0</v>
      </c>
      <c r="ES7" s="6">
        <f t="shared" si="12"/>
        <v>19</v>
      </c>
      <c r="ET7" s="7">
        <f t="shared" si="11"/>
        <v>34.545454545454547</v>
      </c>
    </row>
    <row r="8" spans="1:150" x14ac:dyDescent="0.35">
      <c r="A8" s="43" t="str">
        <f>in!D8</f>
        <v>LAGARES PEREZ OVIER ANTONIO</v>
      </c>
      <c r="B8" s="43">
        <f>in!E8</f>
        <v>5709</v>
      </c>
      <c r="C8" s="1">
        <f>'in2'!M8</f>
        <v>1</v>
      </c>
      <c r="D8" s="1">
        <f>'in2'!N8</f>
        <v>0</v>
      </c>
      <c r="E8" s="1">
        <f>'in2'!O8</f>
        <v>0</v>
      </c>
      <c r="F8" s="1">
        <f>'in2'!P8</f>
        <v>0</v>
      </c>
      <c r="G8" s="1">
        <f>'in2'!Q8</f>
        <v>0</v>
      </c>
      <c r="H8" s="1">
        <f>'in2'!R8</f>
        <v>0</v>
      </c>
      <c r="I8" s="1">
        <f>'in2'!S8</f>
        <v>1</v>
      </c>
      <c r="J8" s="1">
        <f>'in2'!T8</f>
        <v>1</v>
      </c>
      <c r="K8" s="1">
        <f>'in2'!U8</f>
        <v>0</v>
      </c>
      <c r="L8" s="1">
        <f>'in2'!V8</f>
        <v>0</v>
      </c>
      <c r="M8" s="1">
        <f>'in2'!W8</f>
        <v>0</v>
      </c>
      <c r="N8" s="1">
        <f>'in2'!X8</f>
        <v>0</v>
      </c>
      <c r="O8" s="1">
        <f>'in2'!Y8</f>
        <v>0</v>
      </c>
      <c r="P8" s="1">
        <f>'in2'!Z8</f>
        <v>0</v>
      </c>
      <c r="Q8" s="1">
        <f>'in2'!AA8</f>
        <v>1</v>
      </c>
      <c r="R8" s="1">
        <f>'in2'!AB8</f>
        <v>0</v>
      </c>
      <c r="S8" s="1">
        <f>'in2'!AC8</f>
        <v>0</v>
      </c>
      <c r="T8" s="1">
        <f>'in2'!AD8</f>
        <v>0</v>
      </c>
      <c r="U8" s="1">
        <f>'in2'!AE8</f>
        <v>1</v>
      </c>
      <c r="V8" s="1">
        <f>'in2'!AF8</f>
        <v>1</v>
      </c>
      <c r="W8" s="1">
        <f>'in2'!AG8</f>
        <v>1</v>
      </c>
      <c r="X8" s="1">
        <f>'in2'!AH8</f>
        <v>0</v>
      </c>
      <c r="Y8" s="1">
        <f>'in2'!AI8</f>
        <v>1</v>
      </c>
      <c r="Z8" s="1">
        <f>'in2'!AJ8</f>
        <v>0</v>
      </c>
      <c r="AA8" s="1">
        <f>'in2'!AK8</f>
        <v>0</v>
      </c>
      <c r="AB8" s="5">
        <f t="shared" si="4"/>
        <v>8</v>
      </c>
      <c r="AC8" s="5">
        <f t="shared" si="5"/>
        <v>32</v>
      </c>
      <c r="AD8" s="1">
        <f>'in2'!AL8</f>
        <v>0</v>
      </c>
      <c r="AE8" s="1">
        <f>'in2'!AM8</f>
        <v>0</v>
      </c>
      <c r="AF8" s="1">
        <f>'in2'!AN8</f>
        <v>1</v>
      </c>
      <c r="AG8" s="1">
        <f>'in2'!AO8</f>
        <v>1</v>
      </c>
      <c r="AH8" s="1">
        <f>'in2'!AP8</f>
        <v>1</v>
      </c>
      <c r="AI8" s="1">
        <f>'in2'!AQ8</f>
        <v>1</v>
      </c>
      <c r="AJ8" s="1">
        <f>'in2'!AR8</f>
        <v>0</v>
      </c>
      <c r="AK8" s="1">
        <f>'in2'!AS8</f>
        <v>0</v>
      </c>
      <c r="AL8" s="1">
        <f>'in2'!AT8</f>
        <v>1</v>
      </c>
      <c r="AM8" s="1">
        <f>'in2'!AU8</f>
        <v>0</v>
      </c>
      <c r="AN8" s="1">
        <f>'in2'!AV8</f>
        <v>0</v>
      </c>
      <c r="AO8" s="1">
        <f>'in2'!AW8</f>
        <v>1</v>
      </c>
      <c r="AP8" s="1">
        <f>'in2'!AX8</f>
        <v>0</v>
      </c>
      <c r="AQ8" s="1">
        <f>'in2'!AY8</f>
        <v>1</v>
      </c>
      <c r="AR8" s="1">
        <f>'in2'!AZ8</f>
        <v>0</v>
      </c>
      <c r="AS8" s="1">
        <f>'in2'!BA8</f>
        <v>1</v>
      </c>
      <c r="AT8" s="1">
        <f>'in2'!BB8</f>
        <v>0</v>
      </c>
      <c r="AU8" s="1">
        <f>'in2'!BC8</f>
        <v>0</v>
      </c>
      <c r="AV8" s="1">
        <f>'in2'!BD8</f>
        <v>0</v>
      </c>
      <c r="AW8" s="1">
        <f>'in2'!BE8</f>
        <v>0</v>
      </c>
      <c r="AX8" s="1">
        <f>'in2'!BF8</f>
        <v>0</v>
      </c>
      <c r="AY8" s="1">
        <f>'in2'!BG8</f>
        <v>0</v>
      </c>
      <c r="AZ8" s="1">
        <f>'in2'!BH8</f>
        <v>1</v>
      </c>
      <c r="BA8" s="1">
        <f>'in2'!BI8</f>
        <v>0</v>
      </c>
      <c r="BB8" s="1">
        <f>'in2'!BJ8</f>
        <v>0</v>
      </c>
      <c r="BC8" s="3">
        <f t="shared" si="6"/>
        <v>9</v>
      </c>
      <c r="BD8" s="3">
        <f t="shared" si="7"/>
        <v>36</v>
      </c>
      <c r="BE8" s="1">
        <f>'in2'!BK8</f>
        <v>0</v>
      </c>
      <c r="BF8" s="1">
        <f>'in2'!BL8</f>
        <v>1</v>
      </c>
      <c r="BG8" s="1">
        <f>'in2'!BM8</f>
        <v>0</v>
      </c>
      <c r="BH8" s="1">
        <f>'in2'!BN8</f>
        <v>0</v>
      </c>
      <c r="BI8" s="1">
        <f>'in2'!BO8</f>
        <v>1</v>
      </c>
      <c r="BJ8" s="13">
        <f t="shared" si="0"/>
        <v>2</v>
      </c>
      <c r="BK8" s="14">
        <f t="shared" si="1"/>
        <v>40</v>
      </c>
      <c r="BL8" s="1">
        <f>'in2'!BP8</f>
        <v>0</v>
      </c>
      <c r="BM8" s="1">
        <f>'in2'!BQ8</f>
        <v>1</v>
      </c>
      <c r="BN8" s="1">
        <f>'in2'!BR8</f>
        <v>1</v>
      </c>
      <c r="BO8" s="1">
        <f>'in2'!BS8</f>
        <v>0</v>
      </c>
      <c r="BP8" s="1">
        <f>'in2'!BT8</f>
        <v>1</v>
      </c>
      <c r="BQ8" s="1">
        <f>'in2'!BU8</f>
        <v>1</v>
      </c>
      <c r="BR8" s="1">
        <f>'in2'!BV8</f>
        <v>0</v>
      </c>
      <c r="BS8" s="1">
        <f>'in2'!BW8</f>
        <v>0</v>
      </c>
      <c r="BT8" s="1">
        <f>'in2'!BX8</f>
        <v>0</v>
      </c>
      <c r="BU8" s="1">
        <f>'in2'!BY8</f>
        <v>1</v>
      </c>
      <c r="BV8" s="1">
        <f>'in2'!BZ8</f>
        <v>1</v>
      </c>
      <c r="BW8" s="1">
        <f>'in2'!CA8</f>
        <v>0</v>
      </c>
      <c r="BX8" s="1">
        <f>'in2'!CB8</f>
        <v>1</v>
      </c>
      <c r="BY8" s="11">
        <f t="shared" si="8"/>
        <v>7</v>
      </c>
      <c r="BZ8" s="16">
        <f t="shared" si="9"/>
        <v>53.846153846153847</v>
      </c>
      <c r="CA8" s="1">
        <f>'in2'!CC8</f>
        <v>1</v>
      </c>
      <c r="CB8" s="1">
        <f>'in2'!CD8</f>
        <v>1</v>
      </c>
      <c r="CC8" s="1">
        <f>'in2'!CE8</f>
        <v>0</v>
      </c>
      <c r="CD8" s="1">
        <f>'in2'!CF8</f>
        <v>1</v>
      </c>
      <c r="CE8" s="1">
        <f>'in2'!CG8</f>
        <v>0</v>
      </c>
      <c r="CF8" s="1">
        <f>'in2'!CH8</f>
        <v>1</v>
      </c>
      <c r="CG8" s="1">
        <f>'in2'!CI8</f>
        <v>0</v>
      </c>
      <c r="CH8" s="1">
        <f>'in2'!CJ8</f>
        <v>0</v>
      </c>
      <c r="CI8" s="1">
        <f>'in2'!CK8</f>
        <v>1</v>
      </c>
      <c r="CJ8" s="1">
        <f>'in2'!CL8</f>
        <v>0</v>
      </c>
      <c r="CK8" s="12">
        <f t="shared" si="13"/>
        <v>5</v>
      </c>
      <c r="CL8" s="15">
        <f t="shared" si="10"/>
        <v>50</v>
      </c>
      <c r="CM8" s="65">
        <f>'in2'!CM8</f>
        <v>1</v>
      </c>
      <c r="CN8" s="17">
        <f t="shared" si="2"/>
        <v>1</v>
      </c>
      <c r="CO8" s="17">
        <f t="shared" si="3"/>
        <v>100</v>
      </c>
      <c r="CP8" s="1">
        <f>'in2'!CN8</f>
        <v>1</v>
      </c>
      <c r="CQ8" s="1">
        <f>'in2'!CO8</f>
        <v>1</v>
      </c>
      <c r="CR8" s="1">
        <f>'in2'!CP8</f>
        <v>1</v>
      </c>
      <c r="CS8" s="1">
        <f>'in2'!CQ8</f>
        <v>0</v>
      </c>
      <c r="CT8" s="1">
        <f>'in2'!CR8</f>
        <v>0</v>
      </c>
      <c r="CU8" s="1">
        <f>'in2'!CS8</f>
        <v>1</v>
      </c>
      <c r="CV8" s="1">
        <f>'in2'!CT8</f>
        <v>0</v>
      </c>
      <c r="CW8" s="1">
        <f>'in2'!CU8</f>
        <v>0</v>
      </c>
      <c r="CX8" s="1">
        <f>'in2'!CV8</f>
        <v>0</v>
      </c>
      <c r="CY8" s="1">
        <f>'in2'!CW8</f>
        <v>1</v>
      </c>
      <c r="CZ8" s="1">
        <f>'in2'!CX8</f>
        <v>0</v>
      </c>
      <c r="DA8" s="1">
        <f>'in2'!CY8</f>
        <v>0</v>
      </c>
      <c r="DB8" s="1">
        <f>'in2'!CZ8</f>
        <v>0</v>
      </c>
      <c r="DC8" s="1">
        <f>'in2'!DA8</f>
        <v>0</v>
      </c>
      <c r="DD8" s="1">
        <f>'in2'!DB8</f>
        <v>0</v>
      </c>
      <c r="DE8" s="1">
        <f>'in2'!DC8</f>
        <v>0</v>
      </c>
      <c r="DF8" s="1">
        <f>'in2'!DD8</f>
        <v>1</v>
      </c>
      <c r="DG8" s="1">
        <f>'in2'!DE8</f>
        <v>1</v>
      </c>
      <c r="DH8" s="1">
        <f>'in2'!DF8</f>
        <v>1</v>
      </c>
      <c r="DI8" s="1">
        <f>'in2'!DG8</f>
        <v>0</v>
      </c>
      <c r="DJ8" s="1">
        <f>'in2'!DH8</f>
        <v>1</v>
      </c>
      <c r="DK8" s="1">
        <f>'in2'!DI8</f>
        <v>0</v>
      </c>
      <c r="DL8" s="1">
        <f>'in2'!DJ8</f>
        <v>0</v>
      </c>
      <c r="DM8" s="1">
        <f>'in2'!DK8</f>
        <v>1</v>
      </c>
      <c r="DN8" s="1">
        <f>'in2'!DL8</f>
        <v>1</v>
      </c>
      <c r="DO8" s="1">
        <f>'in2'!DM8</f>
        <v>0</v>
      </c>
      <c r="DP8" s="1">
        <f>'in2'!DN8</f>
        <v>0</v>
      </c>
      <c r="DQ8" s="1">
        <f>'in2'!DO8</f>
        <v>0</v>
      </c>
      <c r="DR8" s="1">
        <f>'in2'!DP8</f>
        <v>1</v>
      </c>
      <c r="DS8" s="1">
        <f>'in2'!DQ8</f>
        <v>1</v>
      </c>
      <c r="DT8" s="1">
        <f>'in2'!DR8</f>
        <v>1</v>
      </c>
      <c r="DU8" s="1">
        <f>'in2'!DS8</f>
        <v>0</v>
      </c>
      <c r="DV8" s="1">
        <f>'in2'!DT8</f>
        <v>0</v>
      </c>
      <c r="DW8" s="1">
        <f>'in2'!DU8</f>
        <v>1</v>
      </c>
      <c r="DX8" s="1">
        <f>'in2'!DV8</f>
        <v>1</v>
      </c>
      <c r="DY8" s="1">
        <f>'in2'!DW8</f>
        <v>0</v>
      </c>
      <c r="DZ8" s="1">
        <f>'in2'!DX8</f>
        <v>1</v>
      </c>
      <c r="EA8" s="1">
        <f>'in2'!DY8</f>
        <v>0</v>
      </c>
      <c r="EB8" s="1">
        <f>'in2'!DZ8</f>
        <v>0</v>
      </c>
      <c r="EC8" s="1">
        <f>'in2'!EA8</f>
        <v>0</v>
      </c>
      <c r="ED8" s="1">
        <f>'in2'!EB8</f>
        <v>0</v>
      </c>
      <c r="EE8" s="1">
        <f>'in2'!EC8</f>
        <v>0</v>
      </c>
      <c r="EF8" s="1">
        <f>'in2'!ED8</f>
        <v>0</v>
      </c>
      <c r="EG8" s="1">
        <f>'in2'!EE8</f>
        <v>0</v>
      </c>
      <c r="EH8" s="1">
        <f>'in2'!EF8</f>
        <v>0</v>
      </c>
      <c r="EI8" s="1">
        <f>'in2'!EG8</f>
        <v>0</v>
      </c>
      <c r="EJ8" s="1">
        <f>'in2'!EH8</f>
        <v>1</v>
      </c>
      <c r="EK8" s="1">
        <f>'in2'!EI8</f>
        <v>0</v>
      </c>
      <c r="EL8" s="1">
        <f>'in2'!EJ8</f>
        <v>0</v>
      </c>
      <c r="EM8" s="1">
        <f>'in2'!EK8</f>
        <v>0</v>
      </c>
      <c r="EN8" s="1">
        <f>'in2'!EL8</f>
        <v>0</v>
      </c>
      <c r="EO8" s="1">
        <f>'in2'!EM8</f>
        <v>0</v>
      </c>
      <c r="EP8" s="1">
        <f>'in2'!EN8</f>
        <v>0</v>
      </c>
      <c r="EQ8" s="1">
        <f>'in2'!EO8</f>
        <v>1</v>
      </c>
      <c r="ER8" s="1">
        <f>'in2'!EP8</f>
        <v>1</v>
      </c>
      <c r="ES8" s="6">
        <f t="shared" si="12"/>
        <v>20</v>
      </c>
      <c r="ET8" s="7">
        <f t="shared" si="11"/>
        <v>36.363636363636367</v>
      </c>
    </row>
    <row r="9" spans="1:150" x14ac:dyDescent="0.35">
      <c r="A9" s="43" t="str">
        <f>in!D9</f>
        <v xml:space="preserve">SANTANA RAMOS EUSEBIO </v>
      </c>
      <c r="B9" s="43">
        <f>in!E9</f>
        <v>5711</v>
      </c>
      <c r="C9" s="1">
        <f>'in2'!M9</f>
        <v>1</v>
      </c>
      <c r="D9" s="1">
        <f>'in2'!N9</f>
        <v>1</v>
      </c>
      <c r="E9" s="1">
        <f>'in2'!O9</f>
        <v>1</v>
      </c>
      <c r="F9" s="1">
        <f>'in2'!P9</f>
        <v>1</v>
      </c>
      <c r="G9" s="1">
        <f>'in2'!Q9</f>
        <v>0</v>
      </c>
      <c r="H9" s="1">
        <f>'in2'!R9</f>
        <v>1</v>
      </c>
      <c r="I9" s="1">
        <f>'in2'!S9</f>
        <v>0</v>
      </c>
      <c r="J9" s="1">
        <f>'in2'!T9</f>
        <v>1</v>
      </c>
      <c r="K9" s="1">
        <f>'in2'!U9</f>
        <v>1</v>
      </c>
      <c r="L9" s="1">
        <f>'in2'!V9</f>
        <v>0</v>
      </c>
      <c r="M9" s="1">
        <f>'in2'!W9</f>
        <v>1</v>
      </c>
      <c r="N9" s="1">
        <f>'in2'!X9</f>
        <v>0</v>
      </c>
      <c r="O9" s="1">
        <f>'in2'!Y9</f>
        <v>1</v>
      </c>
      <c r="P9" s="1">
        <f>'in2'!Z9</f>
        <v>0</v>
      </c>
      <c r="Q9" s="1">
        <f>'in2'!AA9</f>
        <v>0</v>
      </c>
      <c r="R9" s="1">
        <f>'in2'!AB9</f>
        <v>0</v>
      </c>
      <c r="S9" s="1">
        <f>'in2'!AC9</f>
        <v>1</v>
      </c>
      <c r="T9" s="1">
        <f>'in2'!AD9</f>
        <v>0</v>
      </c>
      <c r="U9" s="1">
        <f>'in2'!AE9</f>
        <v>0</v>
      </c>
      <c r="V9" s="1">
        <f>'in2'!AF9</f>
        <v>1</v>
      </c>
      <c r="W9" s="1">
        <f>'in2'!AG9</f>
        <v>1</v>
      </c>
      <c r="X9" s="1">
        <f>'in2'!AH9</f>
        <v>0</v>
      </c>
      <c r="Y9" s="1">
        <f>'in2'!AI9</f>
        <v>0</v>
      </c>
      <c r="Z9" s="1">
        <f>'in2'!AJ9</f>
        <v>0</v>
      </c>
      <c r="AA9" s="1">
        <f>'in2'!AK9</f>
        <v>1</v>
      </c>
      <c r="AB9" s="5">
        <f t="shared" si="4"/>
        <v>13</v>
      </c>
      <c r="AC9" s="5">
        <f t="shared" si="5"/>
        <v>52</v>
      </c>
      <c r="AD9" s="1">
        <f>'in2'!AL9</f>
        <v>0</v>
      </c>
      <c r="AE9" s="1">
        <f>'in2'!AM9</f>
        <v>0</v>
      </c>
      <c r="AF9" s="1">
        <f>'in2'!AN9</f>
        <v>0</v>
      </c>
      <c r="AG9" s="1">
        <f>'in2'!AO9</f>
        <v>1</v>
      </c>
      <c r="AH9" s="1">
        <f>'in2'!AP9</f>
        <v>1</v>
      </c>
      <c r="AI9" s="1">
        <f>'in2'!AQ9</f>
        <v>0</v>
      </c>
      <c r="AJ9" s="1">
        <f>'in2'!AR9</f>
        <v>0</v>
      </c>
      <c r="AK9" s="1">
        <f>'in2'!AS9</f>
        <v>0</v>
      </c>
      <c r="AL9" s="1">
        <f>'in2'!AT9</f>
        <v>0</v>
      </c>
      <c r="AM9" s="1">
        <f>'in2'!AU9</f>
        <v>0</v>
      </c>
      <c r="AN9" s="1">
        <f>'in2'!AV9</f>
        <v>1</v>
      </c>
      <c r="AO9" s="1">
        <f>'in2'!AW9</f>
        <v>0</v>
      </c>
      <c r="AP9" s="1">
        <f>'in2'!AX9</f>
        <v>1</v>
      </c>
      <c r="AQ9" s="1">
        <f>'in2'!AY9</f>
        <v>0</v>
      </c>
      <c r="AR9" s="1">
        <f>'in2'!AZ9</f>
        <v>0</v>
      </c>
      <c r="AS9" s="1">
        <f>'in2'!BA9</f>
        <v>0</v>
      </c>
      <c r="AT9" s="1">
        <f>'in2'!BB9</f>
        <v>0</v>
      </c>
      <c r="AU9" s="1">
        <f>'in2'!BC9</f>
        <v>0</v>
      </c>
      <c r="AV9" s="1">
        <f>'in2'!BD9</f>
        <v>1</v>
      </c>
      <c r="AW9" s="1">
        <f>'in2'!BE9</f>
        <v>0</v>
      </c>
      <c r="AX9" s="1">
        <f>'in2'!BF9</f>
        <v>0</v>
      </c>
      <c r="AY9" s="1">
        <f>'in2'!BG9</f>
        <v>0</v>
      </c>
      <c r="AZ9" s="1">
        <f>'in2'!BH9</f>
        <v>1</v>
      </c>
      <c r="BA9" s="1">
        <f>'in2'!BI9</f>
        <v>0</v>
      </c>
      <c r="BB9" s="1">
        <f>'in2'!BJ9</f>
        <v>0</v>
      </c>
      <c r="BC9" s="3">
        <f t="shared" si="6"/>
        <v>6</v>
      </c>
      <c r="BD9" s="3">
        <f t="shared" si="7"/>
        <v>24</v>
      </c>
      <c r="BE9" s="1">
        <f>'in2'!BK9</f>
        <v>1</v>
      </c>
      <c r="BF9" s="1">
        <f>'in2'!BL9</f>
        <v>0</v>
      </c>
      <c r="BG9" s="1">
        <f>'in2'!BM9</f>
        <v>0</v>
      </c>
      <c r="BH9" s="1">
        <f>'in2'!BN9</f>
        <v>0</v>
      </c>
      <c r="BI9" s="1">
        <f>'in2'!BO9</f>
        <v>1</v>
      </c>
      <c r="BJ9" s="13">
        <f t="shared" si="0"/>
        <v>2</v>
      </c>
      <c r="BK9" s="14">
        <f t="shared" si="1"/>
        <v>40</v>
      </c>
      <c r="BL9" s="1">
        <f>'in2'!BP9</f>
        <v>1</v>
      </c>
      <c r="BM9" s="1">
        <f>'in2'!BQ9</f>
        <v>0</v>
      </c>
      <c r="BN9" s="1">
        <f>'in2'!BR9</f>
        <v>1</v>
      </c>
      <c r="BO9" s="1">
        <f>'in2'!BS9</f>
        <v>0</v>
      </c>
      <c r="BP9" s="1">
        <f>'in2'!BT9</f>
        <v>1</v>
      </c>
      <c r="BQ9" s="1">
        <f>'in2'!BU9</f>
        <v>1</v>
      </c>
      <c r="BR9" s="1">
        <f>'in2'!BV9</f>
        <v>1</v>
      </c>
      <c r="BS9" s="1">
        <f>'in2'!BW9</f>
        <v>0</v>
      </c>
      <c r="BT9" s="1">
        <f>'in2'!BX9</f>
        <v>0</v>
      </c>
      <c r="BU9" s="1">
        <f>'in2'!BY9</f>
        <v>1</v>
      </c>
      <c r="BV9" s="1">
        <f>'in2'!BZ9</f>
        <v>1</v>
      </c>
      <c r="BW9" s="1">
        <f>'in2'!CA9</f>
        <v>0</v>
      </c>
      <c r="BX9" s="1">
        <f>'in2'!CB9</f>
        <v>0</v>
      </c>
      <c r="BY9" s="11">
        <f t="shared" si="8"/>
        <v>7</v>
      </c>
      <c r="BZ9" s="16">
        <f t="shared" si="9"/>
        <v>53.846153846153847</v>
      </c>
      <c r="CA9" s="1">
        <f>'in2'!CC9</f>
        <v>1</v>
      </c>
      <c r="CB9" s="1">
        <f>'in2'!CD9</f>
        <v>1</v>
      </c>
      <c r="CC9" s="1">
        <f>'in2'!CE9</f>
        <v>0</v>
      </c>
      <c r="CD9" s="1">
        <f>'in2'!CF9</f>
        <v>1</v>
      </c>
      <c r="CE9" s="1">
        <f>'in2'!CG9</f>
        <v>0</v>
      </c>
      <c r="CF9" s="1">
        <f>'in2'!CH9</f>
        <v>1</v>
      </c>
      <c r="CG9" s="1">
        <f>'in2'!CI9</f>
        <v>0</v>
      </c>
      <c r="CH9" s="1">
        <f>'in2'!CJ9</f>
        <v>0</v>
      </c>
      <c r="CI9" s="1">
        <f>'in2'!CK9</f>
        <v>1</v>
      </c>
      <c r="CJ9" s="1">
        <f>'in2'!CL9</f>
        <v>0</v>
      </c>
      <c r="CK9" s="12">
        <f t="shared" si="13"/>
        <v>5</v>
      </c>
      <c r="CL9" s="15">
        <f t="shared" si="10"/>
        <v>50</v>
      </c>
      <c r="CM9" s="65">
        <f>'in2'!CM9</f>
        <v>0</v>
      </c>
      <c r="CN9" s="17">
        <f t="shared" si="2"/>
        <v>0</v>
      </c>
      <c r="CO9" s="17">
        <f t="shared" si="3"/>
        <v>0</v>
      </c>
      <c r="CP9" s="1">
        <f>'in2'!CN9</f>
        <v>0</v>
      </c>
      <c r="CQ9" s="1">
        <f>'in2'!CO9</f>
        <v>1</v>
      </c>
      <c r="CR9" s="1">
        <f>'in2'!CP9</f>
        <v>0</v>
      </c>
      <c r="CS9" s="1">
        <f>'in2'!CQ9</f>
        <v>0</v>
      </c>
      <c r="CT9" s="1">
        <f>'in2'!CR9</f>
        <v>1</v>
      </c>
      <c r="CU9" s="1">
        <f>'in2'!CS9</f>
        <v>1</v>
      </c>
      <c r="CV9" s="1">
        <f>'in2'!CT9</f>
        <v>0</v>
      </c>
      <c r="CW9" s="1">
        <f>'in2'!CU9</f>
        <v>0</v>
      </c>
      <c r="CX9" s="1">
        <f>'in2'!CV9</f>
        <v>0</v>
      </c>
      <c r="CY9" s="1">
        <f>'in2'!CW9</f>
        <v>1</v>
      </c>
      <c r="CZ9" s="1">
        <f>'in2'!CX9</f>
        <v>1</v>
      </c>
      <c r="DA9" s="1">
        <f>'in2'!CY9</f>
        <v>0</v>
      </c>
      <c r="DB9" s="1">
        <f>'in2'!CZ9</f>
        <v>0</v>
      </c>
      <c r="DC9" s="1">
        <f>'in2'!DA9</f>
        <v>0</v>
      </c>
      <c r="DD9" s="1">
        <f>'in2'!DB9</f>
        <v>1</v>
      </c>
      <c r="DE9" s="1">
        <f>'in2'!DC9</f>
        <v>0</v>
      </c>
      <c r="DF9" s="1">
        <f>'in2'!DD9</f>
        <v>0</v>
      </c>
      <c r="DG9" s="1">
        <f>'in2'!DE9</f>
        <v>1</v>
      </c>
      <c r="DH9" s="1">
        <f>'in2'!DF9</f>
        <v>0</v>
      </c>
      <c r="DI9" s="1">
        <f>'in2'!DG9</f>
        <v>0</v>
      </c>
      <c r="DJ9" s="1">
        <f>'in2'!DH9</f>
        <v>0</v>
      </c>
      <c r="DK9" s="1">
        <f>'in2'!DI9</f>
        <v>0</v>
      </c>
      <c r="DL9" s="1">
        <f>'in2'!DJ9</f>
        <v>0</v>
      </c>
      <c r="DM9" s="1">
        <f>'in2'!DK9</f>
        <v>1</v>
      </c>
      <c r="DN9" s="1">
        <f>'in2'!DL9</f>
        <v>0</v>
      </c>
      <c r="DO9" s="1">
        <f>'in2'!DM9</f>
        <v>1</v>
      </c>
      <c r="DP9" s="1">
        <f>'in2'!DN9</f>
        <v>0</v>
      </c>
      <c r="DQ9" s="1">
        <f>'in2'!DO9</f>
        <v>0</v>
      </c>
      <c r="DR9" s="1">
        <f>'in2'!DP9</f>
        <v>1</v>
      </c>
      <c r="DS9" s="1">
        <f>'in2'!DQ9</f>
        <v>0</v>
      </c>
      <c r="DT9" s="1">
        <f>'in2'!DR9</f>
        <v>0</v>
      </c>
      <c r="DU9" s="1">
        <f>'in2'!DS9</f>
        <v>0</v>
      </c>
      <c r="DV9" s="1">
        <f>'in2'!DT9</f>
        <v>0</v>
      </c>
      <c r="DW9" s="1">
        <f>'in2'!DU9</f>
        <v>1</v>
      </c>
      <c r="DX9" s="1">
        <f>'in2'!DV9</f>
        <v>1</v>
      </c>
      <c r="DY9" s="1">
        <f>'in2'!DW9</f>
        <v>0</v>
      </c>
      <c r="DZ9" s="1">
        <f>'in2'!DX9</f>
        <v>1</v>
      </c>
      <c r="EA9" s="1">
        <f>'in2'!DY9</f>
        <v>1</v>
      </c>
      <c r="EB9" s="1">
        <f>'in2'!DZ9</f>
        <v>0</v>
      </c>
      <c r="EC9" s="1">
        <f>'in2'!EA9</f>
        <v>0</v>
      </c>
      <c r="ED9" s="1">
        <f>'in2'!EB9</f>
        <v>0</v>
      </c>
      <c r="EE9" s="1">
        <f>'in2'!EC9</f>
        <v>0</v>
      </c>
      <c r="EF9" s="1">
        <f>'in2'!ED9</f>
        <v>0</v>
      </c>
      <c r="EG9" s="1">
        <f>'in2'!EE9</f>
        <v>0</v>
      </c>
      <c r="EH9" s="1">
        <f>'in2'!EF9</f>
        <v>1</v>
      </c>
      <c r="EI9" s="1">
        <f>'in2'!EG9</f>
        <v>0</v>
      </c>
      <c r="EJ9" s="1">
        <f>'in2'!EH9</f>
        <v>0</v>
      </c>
      <c r="EK9" s="1">
        <f>'in2'!EI9</f>
        <v>0</v>
      </c>
      <c r="EL9" s="1">
        <f>'in2'!EJ9</f>
        <v>0</v>
      </c>
      <c r="EM9" s="1">
        <f>'in2'!EK9</f>
        <v>0</v>
      </c>
      <c r="EN9" s="1">
        <f>'in2'!EL9</f>
        <v>0</v>
      </c>
      <c r="EO9" s="1">
        <f>'in2'!EM9</f>
        <v>0</v>
      </c>
      <c r="EP9" s="1">
        <f>'in2'!EN9</f>
        <v>0</v>
      </c>
      <c r="EQ9" s="1">
        <f>'in2'!EO9</f>
        <v>1</v>
      </c>
      <c r="ER9" s="1">
        <f>'in2'!EP9</f>
        <v>0</v>
      </c>
      <c r="ES9" s="6">
        <f t="shared" si="12"/>
        <v>16</v>
      </c>
      <c r="ET9" s="7">
        <f t="shared" si="11"/>
        <v>29.09090909090909</v>
      </c>
    </row>
    <row r="10" spans="1:150" x14ac:dyDescent="0.35">
      <c r="A10" s="43" t="str">
        <f>in!D10</f>
        <v xml:space="preserve">TRIVIÑO AYALA JONATHAN </v>
      </c>
      <c r="B10" s="43">
        <f>in!E10</f>
        <v>5712</v>
      </c>
      <c r="C10" s="1">
        <f>'in2'!M10</f>
        <v>0</v>
      </c>
      <c r="D10" s="1">
        <f>'in2'!N10</f>
        <v>0</v>
      </c>
      <c r="E10" s="1">
        <f>'in2'!O10</f>
        <v>0</v>
      </c>
      <c r="F10" s="1">
        <f>'in2'!P10</f>
        <v>0</v>
      </c>
      <c r="G10" s="1">
        <f>'in2'!Q10</f>
        <v>0</v>
      </c>
      <c r="H10" s="1">
        <f>'in2'!R10</f>
        <v>1</v>
      </c>
      <c r="I10" s="1">
        <f>'in2'!S10</f>
        <v>0</v>
      </c>
      <c r="J10" s="1">
        <f>'in2'!T10</f>
        <v>0</v>
      </c>
      <c r="K10" s="1">
        <f>'in2'!U10</f>
        <v>0</v>
      </c>
      <c r="L10" s="1">
        <f>'in2'!V10</f>
        <v>0</v>
      </c>
      <c r="M10" s="1">
        <f>'in2'!W10</f>
        <v>1</v>
      </c>
      <c r="N10" s="1">
        <f>'in2'!X10</f>
        <v>0</v>
      </c>
      <c r="O10" s="1">
        <f>'in2'!Y10</f>
        <v>0</v>
      </c>
      <c r="P10" s="1">
        <f>'in2'!Z10</f>
        <v>0</v>
      </c>
      <c r="Q10" s="1">
        <f>'in2'!AA10</f>
        <v>1</v>
      </c>
      <c r="R10" s="1">
        <f>'in2'!AB10</f>
        <v>1</v>
      </c>
      <c r="S10" s="1">
        <f>'in2'!AC10</f>
        <v>0</v>
      </c>
      <c r="T10" s="1">
        <f>'in2'!AD10</f>
        <v>1</v>
      </c>
      <c r="U10" s="1">
        <f>'in2'!AE10</f>
        <v>1</v>
      </c>
      <c r="V10" s="1">
        <f>'in2'!AF10</f>
        <v>1</v>
      </c>
      <c r="W10" s="1">
        <f>'in2'!AG10</f>
        <v>1</v>
      </c>
      <c r="X10" s="1">
        <f>'in2'!AH10</f>
        <v>0</v>
      </c>
      <c r="Y10" s="1">
        <f>'in2'!AI10</f>
        <v>0</v>
      </c>
      <c r="Z10" s="1">
        <f>'in2'!AJ10</f>
        <v>1</v>
      </c>
      <c r="AA10" s="1">
        <f>'in2'!AK10</f>
        <v>1</v>
      </c>
      <c r="AB10" s="5">
        <f t="shared" si="4"/>
        <v>10</v>
      </c>
      <c r="AC10" s="5">
        <f t="shared" si="5"/>
        <v>40</v>
      </c>
      <c r="AD10" s="1">
        <f>'in2'!AL10</f>
        <v>0</v>
      </c>
      <c r="AE10" s="1">
        <f>'in2'!AM10</f>
        <v>0</v>
      </c>
      <c r="AF10" s="1">
        <f>'in2'!AN10</f>
        <v>0</v>
      </c>
      <c r="AG10" s="1">
        <f>'in2'!AO10</f>
        <v>1</v>
      </c>
      <c r="AH10" s="1">
        <f>'in2'!AP10</f>
        <v>0</v>
      </c>
      <c r="AI10" s="1">
        <f>'in2'!AQ10</f>
        <v>0</v>
      </c>
      <c r="AJ10" s="1">
        <f>'in2'!AR10</f>
        <v>0</v>
      </c>
      <c r="AK10" s="1">
        <f>'in2'!AS10</f>
        <v>0</v>
      </c>
      <c r="AL10" s="1">
        <f>'in2'!AT10</f>
        <v>0</v>
      </c>
      <c r="AM10" s="1">
        <f>'in2'!AU10</f>
        <v>0</v>
      </c>
      <c r="AN10" s="1">
        <f>'in2'!AV10</f>
        <v>1</v>
      </c>
      <c r="AO10" s="1">
        <f>'in2'!AW10</f>
        <v>0</v>
      </c>
      <c r="AP10" s="1">
        <f>'in2'!AX10</f>
        <v>0</v>
      </c>
      <c r="AQ10" s="1">
        <f>'in2'!AY10</f>
        <v>0</v>
      </c>
      <c r="AR10" s="1">
        <f>'in2'!AZ10</f>
        <v>0</v>
      </c>
      <c r="AS10" s="1">
        <f>'in2'!BA10</f>
        <v>0</v>
      </c>
      <c r="AT10" s="1">
        <f>'in2'!BB10</f>
        <v>1</v>
      </c>
      <c r="AU10" s="1">
        <f>'in2'!BC10</f>
        <v>0</v>
      </c>
      <c r="AV10" s="1">
        <f>'in2'!BD10</f>
        <v>0</v>
      </c>
      <c r="AW10" s="1">
        <f>'in2'!BE10</f>
        <v>0</v>
      </c>
      <c r="AX10" s="1">
        <f>'in2'!BF10</f>
        <v>1</v>
      </c>
      <c r="AY10" s="1">
        <f>'in2'!BG10</f>
        <v>0</v>
      </c>
      <c r="AZ10" s="1">
        <f>'in2'!BH10</f>
        <v>0</v>
      </c>
      <c r="BA10" s="1">
        <f>'in2'!BI10</f>
        <v>0</v>
      </c>
      <c r="BB10" s="1">
        <f>'in2'!BJ10</f>
        <v>1</v>
      </c>
      <c r="BC10" s="3">
        <f t="shared" si="6"/>
        <v>5</v>
      </c>
      <c r="BD10" s="3">
        <f t="shared" si="7"/>
        <v>20</v>
      </c>
      <c r="BE10" s="1">
        <f>'in2'!BK10</f>
        <v>1</v>
      </c>
      <c r="BF10" s="1">
        <f>'in2'!BL10</f>
        <v>0</v>
      </c>
      <c r="BG10" s="1">
        <f>'in2'!BM10</f>
        <v>1</v>
      </c>
      <c r="BH10" s="1">
        <f>'in2'!BN10</f>
        <v>1</v>
      </c>
      <c r="BI10" s="1">
        <f>'in2'!BO10</f>
        <v>1</v>
      </c>
      <c r="BJ10" s="13">
        <f t="shared" si="0"/>
        <v>4</v>
      </c>
      <c r="BK10" s="14">
        <f t="shared" si="1"/>
        <v>80</v>
      </c>
      <c r="BL10" s="1">
        <f>'in2'!BP10</f>
        <v>1</v>
      </c>
      <c r="BM10" s="1">
        <f>'in2'!BQ10</f>
        <v>0</v>
      </c>
      <c r="BN10" s="1">
        <f>'in2'!BR10</f>
        <v>0</v>
      </c>
      <c r="BO10" s="1">
        <f>'in2'!BS10</f>
        <v>0</v>
      </c>
      <c r="BP10" s="1">
        <f>'in2'!BT10</f>
        <v>0</v>
      </c>
      <c r="BQ10" s="1">
        <f>'in2'!BU10</f>
        <v>1</v>
      </c>
      <c r="BR10" s="1">
        <f>'in2'!BV10</f>
        <v>1</v>
      </c>
      <c r="BS10" s="1">
        <f>'in2'!BW10</f>
        <v>0</v>
      </c>
      <c r="BT10" s="1">
        <f>'in2'!BX10</f>
        <v>0</v>
      </c>
      <c r="BU10" s="1">
        <f>'in2'!BY10</f>
        <v>0</v>
      </c>
      <c r="BV10" s="1">
        <f>'in2'!BZ10</f>
        <v>0</v>
      </c>
      <c r="BW10" s="1">
        <f>'in2'!CA10</f>
        <v>0</v>
      </c>
      <c r="BX10" s="1">
        <f>'in2'!CB10</f>
        <v>0</v>
      </c>
      <c r="BY10" s="11">
        <f t="shared" si="8"/>
        <v>3</v>
      </c>
      <c r="BZ10" s="16">
        <f t="shared" si="9"/>
        <v>23.076923076923077</v>
      </c>
      <c r="CA10" s="1">
        <f>'in2'!CC10</f>
        <v>1</v>
      </c>
      <c r="CB10" s="1">
        <f>'in2'!CD10</f>
        <v>1</v>
      </c>
      <c r="CC10" s="1">
        <f>'in2'!CE10</f>
        <v>0</v>
      </c>
      <c r="CD10" s="1">
        <f>'in2'!CF10</f>
        <v>1</v>
      </c>
      <c r="CE10" s="1">
        <f>'in2'!CG10</f>
        <v>1</v>
      </c>
      <c r="CF10" s="1">
        <f>'in2'!CH10</f>
        <v>0</v>
      </c>
      <c r="CG10" s="1">
        <f>'in2'!CI10</f>
        <v>0</v>
      </c>
      <c r="CH10" s="1">
        <f>'in2'!CJ10</f>
        <v>0</v>
      </c>
      <c r="CI10" s="1">
        <f>'in2'!CK10</f>
        <v>0</v>
      </c>
      <c r="CJ10" s="1">
        <f>'in2'!CL10</f>
        <v>0</v>
      </c>
      <c r="CK10" s="12">
        <f t="shared" si="13"/>
        <v>4</v>
      </c>
      <c r="CL10" s="15">
        <f t="shared" si="10"/>
        <v>40</v>
      </c>
      <c r="CM10" s="65">
        <f>'in2'!CM10</f>
        <v>1</v>
      </c>
      <c r="CN10" s="17">
        <f t="shared" si="2"/>
        <v>1</v>
      </c>
      <c r="CO10" s="17">
        <f t="shared" si="3"/>
        <v>100</v>
      </c>
      <c r="CP10" s="1">
        <f>'in2'!CN10</f>
        <v>1</v>
      </c>
      <c r="CQ10" s="1">
        <f>'in2'!CO10</f>
        <v>1</v>
      </c>
      <c r="CR10" s="1">
        <f>'in2'!CP10</f>
        <v>1</v>
      </c>
      <c r="CS10" s="1">
        <f>'in2'!CQ10</f>
        <v>1</v>
      </c>
      <c r="CT10" s="1">
        <f>'in2'!CR10</f>
        <v>1</v>
      </c>
      <c r="CU10" s="1">
        <f>'in2'!CS10</f>
        <v>1</v>
      </c>
      <c r="CV10" s="1">
        <f>'in2'!CT10</f>
        <v>1</v>
      </c>
      <c r="CW10" s="1">
        <f>'in2'!CU10</f>
        <v>0</v>
      </c>
      <c r="CX10" s="1">
        <f>'in2'!CV10</f>
        <v>0</v>
      </c>
      <c r="CY10" s="1">
        <f>'in2'!CW10</f>
        <v>1</v>
      </c>
      <c r="CZ10" s="1">
        <f>'in2'!CX10</f>
        <v>0</v>
      </c>
      <c r="DA10" s="1">
        <f>'in2'!CY10</f>
        <v>0</v>
      </c>
      <c r="DB10" s="1">
        <f>'in2'!CZ10</f>
        <v>1</v>
      </c>
      <c r="DC10" s="1">
        <f>'in2'!DA10</f>
        <v>0</v>
      </c>
      <c r="DD10" s="1">
        <f>'in2'!DB10</f>
        <v>0</v>
      </c>
      <c r="DE10" s="1">
        <f>'in2'!DC10</f>
        <v>0</v>
      </c>
      <c r="DF10" s="1">
        <f>'in2'!DD10</f>
        <v>0</v>
      </c>
      <c r="DG10" s="1">
        <f>'in2'!DE10</f>
        <v>0</v>
      </c>
      <c r="DH10" s="1">
        <f>'in2'!DF10</f>
        <v>0</v>
      </c>
      <c r="DI10" s="1">
        <f>'in2'!DG10</f>
        <v>0</v>
      </c>
      <c r="DJ10" s="1">
        <f>'in2'!DH10</f>
        <v>1</v>
      </c>
      <c r="DK10" s="1">
        <f>'in2'!DI10</f>
        <v>0</v>
      </c>
      <c r="DL10" s="1">
        <f>'in2'!DJ10</f>
        <v>0</v>
      </c>
      <c r="DM10" s="1">
        <f>'in2'!DK10</f>
        <v>0</v>
      </c>
      <c r="DN10" s="1">
        <f>'in2'!DL10</f>
        <v>0</v>
      </c>
      <c r="DO10" s="1">
        <f>'in2'!DM10</f>
        <v>1</v>
      </c>
      <c r="DP10" s="1">
        <f>'in2'!DN10</f>
        <v>0</v>
      </c>
      <c r="DQ10" s="1">
        <f>'in2'!DO10</f>
        <v>0</v>
      </c>
      <c r="DR10" s="1">
        <f>'in2'!DP10</f>
        <v>1</v>
      </c>
      <c r="DS10" s="1">
        <f>'in2'!DQ10</f>
        <v>0</v>
      </c>
      <c r="DT10" s="1">
        <f>'in2'!DR10</f>
        <v>1</v>
      </c>
      <c r="DU10" s="1">
        <f>'in2'!DS10</f>
        <v>0</v>
      </c>
      <c r="DV10" s="1">
        <f>'in2'!DT10</f>
        <v>0</v>
      </c>
      <c r="DW10" s="1">
        <f>'in2'!DU10</f>
        <v>1</v>
      </c>
      <c r="DX10" s="1">
        <f>'in2'!DV10</f>
        <v>1</v>
      </c>
      <c r="DY10" s="1">
        <f>'in2'!DW10</f>
        <v>0</v>
      </c>
      <c r="DZ10" s="1">
        <f>'in2'!DX10</f>
        <v>1</v>
      </c>
      <c r="EA10" s="1">
        <f>'in2'!DY10</f>
        <v>1</v>
      </c>
      <c r="EB10" s="1">
        <f>'in2'!DZ10</f>
        <v>0</v>
      </c>
      <c r="EC10" s="1">
        <f>'in2'!EA10</f>
        <v>0</v>
      </c>
      <c r="ED10" s="1">
        <f>'in2'!EB10</f>
        <v>0</v>
      </c>
      <c r="EE10" s="1">
        <f>'in2'!EC10</f>
        <v>1</v>
      </c>
      <c r="EF10" s="1">
        <f>'in2'!ED10</f>
        <v>1</v>
      </c>
      <c r="EG10" s="1">
        <f>'in2'!EE10</f>
        <v>0</v>
      </c>
      <c r="EH10" s="1">
        <f>'in2'!EF10</f>
        <v>1</v>
      </c>
      <c r="EI10" s="1">
        <f>'in2'!EG10</f>
        <v>0</v>
      </c>
      <c r="EJ10" s="1">
        <f>'in2'!EH10</f>
        <v>0</v>
      </c>
      <c r="EK10" s="1">
        <f>'in2'!EI10</f>
        <v>0</v>
      </c>
      <c r="EL10" s="1">
        <f>'in2'!EJ10</f>
        <v>0</v>
      </c>
      <c r="EM10" s="1">
        <f>'in2'!EK10</f>
        <v>1</v>
      </c>
      <c r="EN10" s="1">
        <f>'in2'!EL10</f>
        <v>0</v>
      </c>
      <c r="EO10" s="1">
        <f>'in2'!EM10</f>
        <v>0</v>
      </c>
      <c r="EP10" s="1">
        <f>'in2'!EN10</f>
        <v>0</v>
      </c>
      <c r="EQ10" s="1">
        <f>'in2'!EO10</f>
        <v>0</v>
      </c>
      <c r="ER10" s="1">
        <f>'in2'!EP10</f>
        <v>0</v>
      </c>
      <c r="ES10" s="6">
        <f t="shared" si="12"/>
        <v>21</v>
      </c>
      <c r="ET10" s="7">
        <f t="shared" si="11"/>
        <v>38.18181818181818</v>
      </c>
    </row>
    <row r="11" spans="1:150" x14ac:dyDescent="0.35">
      <c r="A11" s="43" t="str">
        <f>in!D11</f>
        <v>VELASQUEZ GANOT MARIA JOSE</v>
      </c>
      <c r="B11" s="43">
        <f>in!E11</f>
        <v>5713</v>
      </c>
      <c r="C11" s="1">
        <f>'in2'!M11</f>
        <v>1</v>
      </c>
      <c r="D11" s="1">
        <f>'in2'!N11</f>
        <v>0</v>
      </c>
      <c r="E11" s="1">
        <f>'in2'!O11</f>
        <v>0</v>
      </c>
      <c r="F11" s="1">
        <f>'in2'!P11</f>
        <v>1</v>
      </c>
      <c r="G11" s="1">
        <f>'in2'!Q11</f>
        <v>0</v>
      </c>
      <c r="H11" s="1">
        <f>'in2'!R11</f>
        <v>0</v>
      </c>
      <c r="I11" s="1">
        <f>'in2'!S11</f>
        <v>0</v>
      </c>
      <c r="J11" s="1">
        <f>'in2'!T11</f>
        <v>1</v>
      </c>
      <c r="K11" s="1">
        <f>'in2'!U11</f>
        <v>1</v>
      </c>
      <c r="L11" s="1">
        <f>'in2'!V11</f>
        <v>0</v>
      </c>
      <c r="M11" s="1">
        <f>'in2'!W11</f>
        <v>0</v>
      </c>
      <c r="N11" s="1">
        <f>'in2'!X11</f>
        <v>0</v>
      </c>
      <c r="O11" s="1">
        <f>'in2'!Y11</f>
        <v>0</v>
      </c>
      <c r="P11" s="1">
        <f>'in2'!Z11</f>
        <v>0</v>
      </c>
      <c r="Q11" s="1">
        <f>'in2'!AA11</f>
        <v>1</v>
      </c>
      <c r="R11" s="1">
        <f>'in2'!AB11</f>
        <v>1</v>
      </c>
      <c r="S11" s="1">
        <f>'in2'!AC11</f>
        <v>1</v>
      </c>
      <c r="T11" s="1">
        <f>'in2'!AD11</f>
        <v>1</v>
      </c>
      <c r="U11" s="1">
        <f>'in2'!AE11</f>
        <v>1</v>
      </c>
      <c r="V11" s="1">
        <f>'in2'!AF11</f>
        <v>1</v>
      </c>
      <c r="W11" s="1">
        <f>'in2'!AG11</f>
        <v>1</v>
      </c>
      <c r="X11" s="1">
        <f>'in2'!AH11</f>
        <v>0</v>
      </c>
      <c r="Y11" s="1">
        <f>'in2'!AI11</f>
        <v>0</v>
      </c>
      <c r="Z11" s="1">
        <f>'in2'!AJ11</f>
        <v>0</v>
      </c>
      <c r="AA11" s="1">
        <f>'in2'!AK11</f>
        <v>0</v>
      </c>
      <c r="AB11" s="5">
        <f t="shared" si="4"/>
        <v>11</v>
      </c>
      <c r="AC11" s="5">
        <f t="shared" si="5"/>
        <v>44</v>
      </c>
      <c r="AD11" s="1">
        <f>'in2'!AL11</f>
        <v>1</v>
      </c>
      <c r="AE11" s="1">
        <f>'in2'!AM11</f>
        <v>1</v>
      </c>
      <c r="AF11" s="1">
        <f>'in2'!AN11</f>
        <v>1</v>
      </c>
      <c r="AG11" s="1">
        <f>'in2'!AO11</f>
        <v>1</v>
      </c>
      <c r="AH11" s="1">
        <f>'in2'!AP11</f>
        <v>0</v>
      </c>
      <c r="AI11" s="1">
        <f>'in2'!AQ11</f>
        <v>1</v>
      </c>
      <c r="AJ11" s="1">
        <f>'in2'!AR11</f>
        <v>1</v>
      </c>
      <c r="AK11" s="1">
        <f>'in2'!AS11</f>
        <v>0</v>
      </c>
      <c r="AL11" s="1">
        <f>'in2'!AT11</f>
        <v>0</v>
      </c>
      <c r="AM11" s="1">
        <f>'in2'!AU11</f>
        <v>0</v>
      </c>
      <c r="AN11" s="1">
        <f>'in2'!AV11</f>
        <v>1</v>
      </c>
      <c r="AO11" s="1">
        <f>'in2'!AW11</f>
        <v>0</v>
      </c>
      <c r="AP11" s="1">
        <f>'in2'!AX11</f>
        <v>1</v>
      </c>
      <c r="AQ11" s="1">
        <f>'in2'!AY11</f>
        <v>0</v>
      </c>
      <c r="AR11" s="1">
        <f>'in2'!AZ11</f>
        <v>0</v>
      </c>
      <c r="AS11" s="1">
        <f>'in2'!BA11</f>
        <v>0</v>
      </c>
      <c r="AT11" s="1">
        <f>'in2'!BB11</f>
        <v>0</v>
      </c>
      <c r="AU11" s="1">
        <f>'in2'!BC11</f>
        <v>0</v>
      </c>
      <c r="AV11" s="1">
        <f>'in2'!BD11</f>
        <v>0</v>
      </c>
      <c r="AW11" s="1">
        <f>'in2'!BE11</f>
        <v>0</v>
      </c>
      <c r="AX11" s="1">
        <f>'in2'!BF11</f>
        <v>1</v>
      </c>
      <c r="AY11" s="1">
        <f>'in2'!BG11</f>
        <v>0</v>
      </c>
      <c r="AZ11" s="1">
        <f>'in2'!BH11</f>
        <v>0</v>
      </c>
      <c r="BA11" s="1">
        <f>'in2'!BI11</f>
        <v>0</v>
      </c>
      <c r="BB11" s="1">
        <f>'in2'!BJ11</f>
        <v>1</v>
      </c>
      <c r="BC11" s="3">
        <f t="shared" si="6"/>
        <v>10</v>
      </c>
      <c r="BD11" s="3">
        <f t="shared" si="7"/>
        <v>40</v>
      </c>
      <c r="BE11" s="1">
        <f>'in2'!BK11</f>
        <v>0</v>
      </c>
      <c r="BF11" s="1">
        <f>'in2'!BL11</f>
        <v>0</v>
      </c>
      <c r="BG11" s="1">
        <f>'in2'!BM11</f>
        <v>0</v>
      </c>
      <c r="BH11" s="1">
        <f>'in2'!BN11</f>
        <v>0</v>
      </c>
      <c r="BI11" s="1">
        <f>'in2'!BO11</f>
        <v>1</v>
      </c>
      <c r="BJ11" s="13">
        <f t="shared" si="0"/>
        <v>1</v>
      </c>
      <c r="BK11" s="14">
        <f t="shared" si="1"/>
        <v>20</v>
      </c>
      <c r="BL11" s="1">
        <f>'in2'!BP11</f>
        <v>0</v>
      </c>
      <c r="BM11" s="1">
        <f>'in2'!BQ11</f>
        <v>1</v>
      </c>
      <c r="BN11" s="1">
        <f>'in2'!BR11</f>
        <v>0</v>
      </c>
      <c r="BO11" s="1">
        <f>'in2'!BS11</f>
        <v>0</v>
      </c>
      <c r="BP11" s="1">
        <f>'in2'!BT11</f>
        <v>1</v>
      </c>
      <c r="BQ11" s="1">
        <f>'in2'!BU11</f>
        <v>0</v>
      </c>
      <c r="BR11" s="1">
        <f>'in2'!BV11</f>
        <v>1</v>
      </c>
      <c r="BS11" s="1">
        <f>'in2'!BW11</f>
        <v>0</v>
      </c>
      <c r="BT11" s="1">
        <f>'in2'!BX11</f>
        <v>0</v>
      </c>
      <c r="BU11" s="1">
        <f>'in2'!BY11</f>
        <v>0</v>
      </c>
      <c r="BV11" s="1">
        <f>'in2'!BZ11</f>
        <v>0</v>
      </c>
      <c r="BW11" s="1">
        <f>'in2'!CA11</f>
        <v>0</v>
      </c>
      <c r="BX11" s="1">
        <f>'in2'!CB11</f>
        <v>1</v>
      </c>
      <c r="BY11" s="11">
        <f t="shared" si="8"/>
        <v>4</v>
      </c>
      <c r="BZ11" s="16">
        <f t="shared" si="9"/>
        <v>30.76923076923077</v>
      </c>
      <c r="CA11" s="1">
        <f>'in2'!CC11</f>
        <v>1</v>
      </c>
      <c r="CB11" s="1">
        <f>'in2'!CD11</f>
        <v>0</v>
      </c>
      <c r="CC11" s="1">
        <f>'in2'!CE11</f>
        <v>0</v>
      </c>
      <c r="CD11" s="1">
        <f>'in2'!CF11</f>
        <v>1</v>
      </c>
      <c r="CE11" s="1">
        <f>'in2'!CG11</f>
        <v>0</v>
      </c>
      <c r="CF11" s="1">
        <f>'in2'!CH11</f>
        <v>0</v>
      </c>
      <c r="CG11" s="1">
        <f>'in2'!CI11</f>
        <v>0</v>
      </c>
      <c r="CH11" s="1">
        <f>'in2'!CJ11</f>
        <v>0</v>
      </c>
      <c r="CI11" s="1">
        <f>'in2'!CK11</f>
        <v>0</v>
      </c>
      <c r="CJ11" s="1">
        <f>'in2'!CL11</f>
        <v>0</v>
      </c>
      <c r="CK11" s="12">
        <f t="shared" si="13"/>
        <v>2</v>
      </c>
      <c r="CL11" s="15">
        <f t="shared" si="10"/>
        <v>20</v>
      </c>
      <c r="CM11" s="65">
        <f>'in2'!CM11</f>
        <v>0</v>
      </c>
      <c r="CN11" s="17">
        <f t="shared" si="2"/>
        <v>0</v>
      </c>
      <c r="CO11" s="17">
        <f t="shared" si="3"/>
        <v>0</v>
      </c>
      <c r="CP11" s="1">
        <f>'in2'!CN11</f>
        <v>1</v>
      </c>
      <c r="CQ11" s="1">
        <f>'in2'!CO11</f>
        <v>1</v>
      </c>
      <c r="CR11" s="1">
        <f>'in2'!CP11</f>
        <v>0</v>
      </c>
      <c r="CS11" s="1">
        <f>'in2'!CQ11</f>
        <v>0</v>
      </c>
      <c r="CT11" s="1">
        <f>'in2'!CR11</f>
        <v>0</v>
      </c>
      <c r="CU11" s="1">
        <f>'in2'!CS11</f>
        <v>1</v>
      </c>
      <c r="CV11" s="1">
        <f>'in2'!CT11</f>
        <v>0</v>
      </c>
      <c r="CW11" s="1">
        <f>'in2'!CU11</f>
        <v>0</v>
      </c>
      <c r="CX11" s="1">
        <f>'in2'!CV11</f>
        <v>0</v>
      </c>
      <c r="CY11" s="1">
        <f>'in2'!CW11</f>
        <v>1</v>
      </c>
      <c r="CZ11" s="1">
        <f>'in2'!CX11</f>
        <v>1</v>
      </c>
      <c r="DA11" s="1">
        <f>'in2'!CY11</f>
        <v>1</v>
      </c>
      <c r="DB11" s="1">
        <f>'in2'!CZ11</f>
        <v>0</v>
      </c>
      <c r="DC11" s="1">
        <f>'in2'!DA11</f>
        <v>0</v>
      </c>
      <c r="DD11" s="1">
        <f>'in2'!DB11</f>
        <v>0</v>
      </c>
      <c r="DE11" s="1">
        <f>'in2'!DC11</f>
        <v>0</v>
      </c>
      <c r="DF11" s="1">
        <f>'in2'!DD11</f>
        <v>1</v>
      </c>
      <c r="DG11" s="1">
        <f>'in2'!DE11</f>
        <v>1</v>
      </c>
      <c r="DH11" s="1">
        <f>'in2'!DF11</f>
        <v>1</v>
      </c>
      <c r="DI11" s="1">
        <f>'in2'!DG11</f>
        <v>1</v>
      </c>
      <c r="DJ11" s="1">
        <f>'in2'!DH11</f>
        <v>1</v>
      </c>
      <c r="DK11" s="1">
        <f>'in2'!DI11</f>
        <v>1</v>
      </c>
      <c r="DL11" s="1">
        <f>'in2'!DJ11</f>
        <v>0</v>
      </c>
      <c r="DM11" s="1">
        <f>'in2'!DK11</f>
        <v>0</v>
      </c>
      <c r="DN11" s="1">
        <f>'in2'!DL11</f>
        <v>1</v>
      </c>
      <c r="DO11" s="1">
        <f>'in2'!DM11</f>
        <v>0</v>
      </c>
      <c r="DP11" s="1">
        <f>'in2'!DN11</f>
        <v>0</v>
      </c>
      <c r="DQ11" s="1">
        <f>'in2'!DO11</f>
        <v>0</v>
      </c>
      <c r="DR11" s="1">
        <f>'in2'!DP11</f>
        <v>1</v>
      </c>
      <c r="DS11" s="1">
        <f>'in2'!DQ11</f>
        <v>1</v>
      </c>
      <c r="DT11" s="1">
        <f>'in2'!DR11</f>
        <v>0</v>
      </c>
      <c r="DU11" s="1">
        <f>'in2'!DS11</f>
        <v>1</v>
      </c>
      <c r="DV11" s="1">
        <f>'in2'!DT11</f>
        <v>1</v>
      </c>
      <c r="DW11" s="1">
        <f>'in2'!DU11</f>
        <v>1</v>
      </c>
      <c r="DX11" s="1">
        <f>'in2'!DV11</f>
        <v>1</v>
      </c>
      <c r="DY11" s="1">
        <f>'in2'!DW11</f>
        <v>0</v>
      </c>
      <c r="DZ11" s="1">
        <f>'in2'!DX11</f>
        <v>1</v>
      </c>
      <c r="EA11" s="1">
        <f>'in2'!DY11</f>
        <v>0</v>
      </c>
      <c r="EB11" s="1">
        <f>'in2'!DZ11</f>
        <v>0</v>
      </c>
      <c r="EC11" s="1">
        <f>'in2'!EA11</f>
        <v>1</v>
      </c>
      <c r="ED11" s="1">
        <f>'in2'!EB11</f>
        <v>1</v>
      </c>
      <c r="EE11" s="1">
        <f>'in2'!EC11</f>
        <v>0</v>
      </c>
      <c r="EF11" s="1">
        <f>'in2'!ED11</f>
        <v>0</v>
      </c>
      <c r="EG11" s="1">
        <f>'in2'!EE11</f>
        <v>0</v>
      </c>
      <c r="EH11" s="1">
        <f>'in2'!EF11</f>
        <v>1</v>
      </c>
      <c r="EI11" s="1">
        <f>'in2'!EG11</f>
        <v>0</v>
      </c>
      <c r="EJ11" s="1">
        <f>'in2'!EH11</f>
        <v>0</v>
      </c>
      <c r="EK11" s="1">
        <f>'in2'!EI11</f>
        <v>0</v>
      </c>
      <c r="EL11" s="1">
        <f>'in2'!EJ11</f>
        <v>0</v>
      </c>
      <c r="EM11" s="1">
        <f>'in2'!EK11</f>
        <v>1</v>
      </c>
      <c r="EN11" s="1">
        <f>'in2'!EL11</f>
        <v>0</v>
      </c>
      <c r="EO11" s="1">
        <f>'in2'!EM11</f>
        <v>0</v>
      </c>
      <c r="EP11" s="1">
        <f>'in2'!EN11</f>
        <v>0</v>
      </c>
      <c r="EQ11" s="1">
        <f>'in2'!EO11</f>
        <v>0</v>
      </c>
      <c r="ER11" s="1">
        <f>'in2'!EP11</f>
        <v>0</v>
      </c>
      <c r="ES11" s="6">
        <f t="shared" si="12"/>
        <v>24</v>
      </c>
      <c r="ET11" s="7">
        <f t="shared" si="11"/>
        <v>43.636363636363633</v>
      </c>
    </row>
    <row r="12" spans="1:150" x14ac:dyDescent="0.35">
      <c r="A12" s="43" t="str">
        <f>in!D12</f>
        <v>ZARZA BARRAGAN JOHAN SEBASTIAN</v>
      </c>
      <c r="B12" s="43">
        <f>in!E12</f>
        <v>5714</v>
      </c>
      <c r="C12" s="1">
        <f>'in2'!M12</f>
        <v>0</v>
      </c>
      <c r="D12" s="1">
        <f>'in2'!N12</f>
        <v>0</v>
      </c>
      <c r="E12" s="1">
        <f>'in2'!O12</f>
        <v>0</v>
      </c>
      <c r="F12" s="1">
        <f>'in2'!P12</f>
        <v>1</v>
      </c>
      <c r="G12" s="1">
        <f>'in2'!Q12</f>
        <v>0</v>
      </c>
      <c r="H12" s="1">
        <f>'in2'!R12</f>
        <v>0</v>
      </c>
      <c r="I12" s="1">
        <f>'in2'!S12</f>
        <v>0</v>
      </c>
      <c r="J12" s="1">
        <f>'in2'!T12</f>
        <v>0</v>
      </c>
      <c r="K12" s="1">
        <f>'in2'!U12</f>
        <v>0</v>
      </c>
      <c r="L12" s="1">
        <f>'in2'!V12</f>
        <v>0</v>
      </c>
      <c r="M12" s="1">
        <f>'in2'!W12</f>
        <v>1</v>
      </c>
      <c r="N12" s="1">
        <f>'in2'!X12</f>
        <v>0</v>
      </c>
      <c r="O12" s="1">
        <f>'in2'!Y12</f>
        <v>0</v>
      </c>
      <c r="P12" s="1">
        <f>'in2'!Z12</f>
        <v>0</v>
      </c>
      <c r="Q12" s="1">
        <f>'in2'!AA12</f>
        <v>0</v>
      </c>
      <c r="R12" s="1">
        <f>'in2'!AB12</f>
        <v>1</v>
      </c>
      <c r="S12" s="1">
        <f>'in2'!AC12</f>
        <v>0</v>
      </c>
      <c r="T12" s="1">
        <f>'in2'!AD12</f>
        <v>1</v>
      </c>
      <c r="U12" s="1">
        <f>'in2'!AE12</f>
        <v>1</v>
      </c>
      <c r="V12" s="1">
        <f>'in2'!AF12</f>
        <v>1</v>
      </c>
      <c r="W12" s="1">
        <f>'in2'!AG12</f>
        <v>1</v>
      </c>
      <c r="X12" s="1">
        <f>'in2'!AH12</f>
        <v>0</v>
      </c>
      <c r="Y12" s="1">
        <f>'in2'!AI12</f>
        <v>0</v>
      </c>
      <c r="Z12" s="1">
        <f>'in2'!AJ12</f>
        <v>0</v>
      </c>
      <c r="AA12" s="1">
        <f>'in2'!AK12</f>
        <v>0</v>
      </c>
      <c r="AB12" s="5">
        <f t="shared" si="4"/>
        <v>7</v>
      </c>
      <c r="AC12" s="5">
        <f t="shared" si="5"/>
        <v>28</v>
      </c>
      <c r="AD12" s="1">
        <f>'in2'!AL12</f>
        <v>0</v>
      </c>
      <c r="AE12" s="1">
        <f>'in2'!AM12</f>
        <v>0</v>
      </c>
      <c r="AF12" s="1">
        <f>'in2'!AN12</f>
        <v>0</v>
      </c>
      <c r="AG12" s="1">
        <f>'in2'!AO12</f>
        <v>1</v>
      </c>
      <c r="AH12" s="1">
        <f>'in2'!AP12</f>
        <v>0</v>
      </c>
      <c r="AI12" s="1">
        <f>'in2'!AQ12</f>
        <v>1</v>
      </c>
      <c r="AJ12" s="1">
        <f>'in2'!AR12</f>
        <v>0</v>
      </c>
      <c r="AK12" s="1">
        <f>'in2'!AS12</f>
        <v>0</v>
      </c>
      <c r="AL12" s="1">
        <f>'in2'!AT12</f>
        <v>0</v>
      </c>
      <c r="AM12" s="1">
        <f>'in2'!AU12</f>
        <v>0</v>
      </c>
      <c r="AN12" s="1">
        <f>'in2'!AV12</f>
        <v>1</v>
      </c>
      <c r="AO12" s="1">
        <f>'in2'!AW12</f>
        <v>0</v>
      </c>
      <c r="AP12" s="1">
        <f>'in2'!AX12</f>
        <v>1</v>
      </c>
      <c r="AQ12" s="1">
        <f>'in2'!AY12</f>
        <v>1</v>
      </c>
      <c r="AR12" s="1">
        <f>'in2'!AZ12</f>
        <v>1</v>
      </c>
      <c r="AS12" s="1">
        <f>'in2'!BA12</f>
        <v>0</v>
      </c>
      <c r="AT12" s="1">
        <f>'in2'!BB12</f>
        <v>0</v>
      </c>
      <c r="AU12" s="1">
        <f>'in2'!BC12</f>
        <v>0</v>
      </c>
      <c r="AV12" s="1">
        <f>'in2'!BD12</f>
        <v>0</v>
      </c>
      <c r="AW12" s="1">
        <f>'in2'!BE12</f>
        <v>0</v>
      </c>
      <c r="AX12" s="1">
        <f>'in2'!BF12</f>
        <v>0</v>
      </c>
      <c r="AY12" s="1">
        <f>'in2'!BG12</f>
        <v>0</v>
      </c>
      <c r="AZ12" s="1">
        <f>'in2'!BH12</f>
        <v>0</v>
      </c>
      <c r="BA12" s="1">
        <f>'in2'!BI12</f>
        <v>1</v>
      </c>
      <c r="BB12" s="1">
        <f>'in2'!BJ12</f>
        <v>0</v>
      </c>
      <c r="BC12" s="3">
        <f t="shared" si="6"/>
        <v>7</v>
      </c>
      <c r="BD12" s="3">
        <f t="shared" si="7"/>
        <v>28</v>
      </c>
      <c r="BE12" s="1">
        <f>'in2'!BK12</f>
        <v>0</v>
      </c>
      <c r="BF12" s="1">
        <f>'in2'!BL12</f>
        <v>0</v>
      </c>
      <c r="BG12" s="1">
        <f>'in2'!BM12</f>
        <v>0</v>
      </c>
      <c r="BH12" s="1">
        <f>'in2'!BN12</f>
        <v>1</v>
      </c>
      <c r="BI12" s="1">
        <f>'in2'!BO12</f>
        <v>1</v>
      </c>
      <c r="BJ12" s="13">
        <f t="shared" si="0"/>
        <v>2</v>
      </c>
      <c r="BK12" s="14">
        <f t="shared" si="1"/>
        <v>40</v>
      </c>
      <c r="BL12" s="1">
        <f>'in2'!BP12</f>
        <v>0</v>
      </c>
      <c r="BM12" s="1">
        <f>'in2'!BQ12</f>
        <v>0</v>
      </c>
      <c r="BN12" s="1">
        <f>'in2'!BR12</f>
        <v>0</v>
      </c>
      <c r="BO12" s="1">
        <f>'in2'!BS12</f>
        <v>1</v>
      </c>
      <c r="BP12" s="1">
        <f>'in2'!BT12</f>
        <v>0</v>
      </c>
      <c r="BQ12" s="1">
        <f>'in2'!BU12</f>
        <v>1</v>
      </c>
      <c r="BR12" s="1">
        <f>'in2'!BV12</f>
        <v>1</v>
      </c>
      <c r="BS12" s="1">
        <f>'in2'!BW12</f>
        <v>0</v>
      </c>
      <c r="BT12" s="1">
        <f>'in2'!BX12</f>
        <v>0</v>
      </c>
      <c r="BU12" s="1">
        <f>'in2'!BY12</f>
        <v>1</v>
      </c>
      <c r="BV12" s="1">
        <f>'in2'!BZ12</f>
        <v>0</v>
      </c>
      <c r="BW12" s="1">
        <f>'in2'!CA12</f>
        <v>0</v>
      </c>
      <c r="BX12" s="1">
        <f>'in2'!CB12</f>
        <v>0</v>
      </c>
      <c r="BY12" s="11">
        <f t="shared" si="8"/>
        <v>4</v>
      </c>
      <c r="BZ12" s="16">
        <f t="shared" si="9"/>
        <v>30.76923076923077</v>
      </c>
      <c r="CA12" s="1">
        <f>'in2'!CC12</f>
        <v>0</v>
      </c>
      <c r="CB12" s="1">
        <f>'in2'!CD12</f>
        <v>0</v>
      </c>
      <c r="CC12" s="1">
        <f>'in2'!CE12</f>
        <v>0</v>
      </c>
      <c r="CD12" s="1">
        <f>'in2'!CF12</f>
        <v>0</v>
      </c>
      <c r="CE12" s="1">
        <f>'in2'!CG12</f>
        <v>0</v>
      </c>
      <c r="CF12" s="1">
        <f>'in2'!CH12</f>
        <v>0</v>
      </c>
      <c r="CG12" s="1">
        <f>'in2'!CI12</f>
        <v>0</v>
      </c>
      <c r="CH12" s="1">
        <f>'in2'!CJ12</f>
        <v>1</v>
      </c>
      <c r="CI12" s="1">
        <f>'in2'!CK12</f>
        <v>1</v>
      </c>
      <c r="CJ12" s="1">
        <f>'in2'!CL12</f>
        <v>1</v>
      </c>
      <c r="CK12" s="12">
        <f t="shared" si="13"/>
        <v>3</v>
      </c>
      <c r="CL12" s="15">
        <f t="shared" si="10"/>
        <v>30</v>
      </c>
      <c r="CM12" s="65">
        <f>'in2'!CM12</f>
        <v>1</v>
      </c>
      <c r="CN12" s="17">
        <f t="shared" si="2"/>
        <v>1</v>
      </c>
      <c r="CO12" s="17">
        <f t="shared" si="3"/>
        <v>100</v>
      </c>
      <c r="CP12" s="1">
        <f>'in2'!CN12</f>
        <v>1</v>
      </c>
      <c r="CQ12" s="1">
        <f>'in2'!CO12</f>
        <v>1</v>
      </c>
      <c r="CR12" s="1">
        <f>'in2'!CP12</f>
        <v>0</v>
      </c>
      <c r="CS12" s="1">
        <f>'in2'!CQ12</f>
        <v>0</v>
      </c>
      <c r="CT12" s="1">
        <f>'in2'!CR12</f>
        <v>0</v>
      </c>
      <c r="CU12" s="1">
        <f>'in2'!CS12</f>
        <v>1</v>
      </c>
      <c r="CV12" s="1">
        <f>'in2'!CT12</f>
        <v>1</v>
      </c>
      <c r="CW12" s="1">
        <f>'in2'!CU12</f>
        <v>0</v>
      </c>
      <c r="CX12" s="1">
        <f>'in2'!CV12</f>
        <v>0</v>
      </c>
      <c r="CY12" s="1">
        <f>'in2'!CW12</f>
        <v>1</v>
      </c>
      <c r="CZ12" s="1">
        <f>'in2'!CX12</f>
        <v>1</v>
      </c>
      <c r="DA12" s="1">
        <f>'in2'!CY12</f>
        <v>1</v>
      </c>
      <c r="DB12" s="1">
        <f>'in2'!CZ12</f>
        <v>0</v>
      </c>
      <c r="DC12" s="1">
        <f>'in2'!DA12</f>
        <v>0</v>
      </c>
      <c r="DD12" s="1">
        <f>'in2'!DB12</f>
        <v>0</v>
      </c>
      <c r="DE12" s="1">
        <f>'in2'!DC12</f>
        <v>1</v>
      </c>
      <c r="DF12" s="1">
        <f>'in2'!DD12</f>
        <v>0</v>
      </c>
      <c r="DG12" s="1">
        <f>'in2'!DE12</f>
        <v>1</v>
      </c>
      <c r="DH12" s="1">
        <f>'in2'!DF12</f>
        <v>0</v>
      </c>
      <c r="DI12" s="1">
        <f>'in2'!DG12</f>
        <v>0</v>
      </c>
      <c r="DJ12" s="1">
        <f>'in2'!DH12</f>
        <v>1</v>
      </c>
      <c r="DK12" s="1">
        <f>'in2'!DI12</f>
        <v>0</v>
      </c>
      <c r="DL12" s="1">
        <f>'in2'!DJ12</f>
        <v>0</v>
      </c>
      <c r="DM12" s="1">
        <f>'in2'!DK12</f>
        <v>0</v>
      </c>
      <c r="DN12" s="1">
        <f>'in2'!DL12</f>
        <v>1</v>
      </c>
      <c r="DO12" s="1">
        <f>'in2'!DM12</f>
        <v>1</v>
      </c>
      <c r="DP12" s="1">
        <f>'in2'!DN12</f>
        <v>0</v>
      </c>
      <c r="DQ12" s="1">
        <f>'in2'!DO12</f>
        <v>0</v>
      </c>
      <c r="DR12" s="1">
        <f>'in2'!DP12</f>
        <v>0</v>
      </c>
      <c r="DS12" s="1">
        <f>'in2'!DQ12</f>
        <v>1</v>
      </c>
      <c r="DT12" s="1">
        <f>'in2'!DR12</f>
        <v>0</v>
      </c>
      <c r="DU12" s="1">
        <f>'in2'!DS12</f>
        <v>0</v>
      </c>
      <c r="DV12" s="1">
        <f>'in2'!DT12</f>
        <v>0</v>
      </c>
      <c r="DW12" s="1">
        <f>'in2'!DU12</f>
        <v>1</v>
      </c>
      <c r="DX12" s="1">
        <f>'in2'!DV12</f>
        <v>1</v>
      </c>
      <c r="DY12" s="1">
        <f>'in2'!DW12</f>
        <v>0</v>
      </c>
      <c r="DZ12" s="1">
        <f>'in2'!DX12</f>
        <v>1</v>
      </c>
      <c r="EA12" s="1">
        <f>'in2'!DY12</f>
        <v>1</v>
      </c>
      <c r="EB12" s="1">
        <f>'in2'!DZ12</f>
        <v>0</v>
      </c>
      <c r="EC12" s="1">
        <f>'in2'!EA12</f>
        <v>0</v>
      </c>
      <c r="ED12" s="1">
        <f>'in2'!EB12</f>
        <v>0</v>
      </c>
      <c r="EE12" s="1">
        <f>'in2'!EC12</f>
        <v>0</v>
      </c>
      <c r="EF12" s="1">
        <f>'in2'!ED12</f>
        <v>0</v>
      </c>
      <c r="EG12" s="1">
        <f>'in2'!EE12</f>
        <v>1</v>
      </c>
      <c r="EH12" s="1">
        <f>'in2'!EF12</f>
        <v>0</v>
      </c>
      <c r="EI12" s="1">
        <f>'in2'!EG12</f>
        <v>0</v>
      </c>
      <c r="EJ12" s="1">
        <f>'in2'!EH12</f>
        <v>0</v>
      </c>
      <c r="EK12" s="1">
        <f>'in2'!EI12</f>
        <v>0</v>
      </c>
      <c r="EL12" s="1">
        <f>'in2'!EJ12</f>
        <v>0</v>
      </c>
      <c r="EM12" s="1">
        <f>'in2'!EK12</f>
        <v>0</v>
      </c>
      <c r="EN12" s="1">
        <f>'in2'!EL12</f>
        <v>0</v>
      </c>
      <c r="EO12" s="1">
        <f>'in2'!EM12</f>
        <v>0</v>
      </c>
      <c r="EP12" s="1">
        <f>'in2'!EN12</f>
        <v>0</v>
      </c>
      <c r="EQ12" s="1">
        <f>'in2'!EO12</f>
        <v>0</v>
      </c>
      <c r="ER12" s="1">
        <f>'in2'!EP12</f>
        <v>1</v>
      </c>
      <c r="ES12" s="6">
        <f t="shared" si="12"/>
        <v>19</v>
      </c>
      <c r="ET12" s="7">
        <f t="shared" si="11"/>
        <v>34.545454545454547</v>
      </c>
    </row>
    <row r="13" spans="1:150" x14ac:dyDescent="0.35">
      <c r="A13" s="43" t="str">
        <f>in!D13</f>
        <v xml:space="preserve">BENITEZ GALINDO SAMUEL DAVID  </v>
      </c>
      <c r="B13" s="43">
        <f>in!E13</f>
        <v>5801</v>
      </c>
      <c r="C13" s="1">
        <f>'in2'!M13</f>
        <v>0</v>
      </c>
      <c r="D13" s="1">
        <f>'in2'!N13</f>
        <v>0</v>
      </c>
      <c r="E13" s="1">
        <f>'in2'!O13</f>
        <v>0</v>
      </c>
      <c r="F13" s="1">
        <f>'in2'!P13</f>
        <v>0</v>
      </c>
      <c r="G13" s="1">
        <f>'in2'!Q13</f>
        <v>0</v>
      </c>
      <c r="H13" s="1">
        <f>'in2'!R13</f>
        <v>1</v>
      </c>
      <c r="I13" s="1">
        <f>'in2'!S13</f>
        <v>0</v>
      </c>
      <c r="J13" s="1">
        <f>'in2'!T13</f>
        <v>0</v>
      </c>
      <c r="K13" s="1">
        <f>'in2'!U13</f>
        <v>0</v>
      </c>
      <c r="L13" s="1">
        <f>'in2'!V13</f>
        <v>0</v>
      </c>
      <c r="M13" s="1">
        <f>'in2'!W13</f>
        <v>0</v>
      </c>
      <c r="N13" s="1">
        <f>'in2'!X13</f>
        <v>0</v>
      </c>
      <c r="O13" s="1">
        <f>'in2'!Y13</f>
        <v>1</v>
      </c>
      <c r="P13" s="1">
        <f>'in2'!Z13</f>
        <v>0</v>
      </c>
      <c r="Q13" s="1">
        <f>'in2'!AA13</f>
        <v>0</v>
      </c>
      <c r="R13" s="1">
        <f>'in2'!AB13</f>
        <v>1</v>
      </c>
      <c r="S13" s="1">
        <f>'in2'!AC13</f>
        <v>0</v>
      </c>
      <c r="T13" s="1">
        <f>'in2'!AD13</f>
        <v>1</v>
      </c>
      <c r="U13" s="1">
        <f>'in2'!AE13</f>
        <v>0</v>
      </c>
      <c r="V13" s="1">
        <f>'in2'!AF13</f>
        <v>0</v>
      </c>
      <c r="W13" s="1">
        <f>'in2'!AG13</f>
        <v>1</v>
      </c>
      <c r="X13" s="1">
        <f>'in2'!AH13</f>
        <v>0</v>
      </c>
      <c r="Y13" s="1">
        <f>'in2'!AI13</f>
        <v>0</v>
      </c>
      <c r="Z13" s="1">
        <f>'in2'!AJ13</f>
        <v>0</v>
      </c>
      <c r="AA13" s="1">
        <f>'in2'!AK13</f>
        <v>1</v>
      </c>
      <c r="AB13" s="5">
        <f t="shared" si="4"/>
        <v>6</v>
      </c>
      <c r="AC13" s="5">
        <f t="shared" si="5"/>
        <v>24</v>
      </c>
      <c r="AD13" s="1">
        <f>'in2'!AL13</f>
        <v>0</v>
      </c>
      <c r="AE13" s="1">
        <f>'in2'!AM13</f>
        <v>1</v>
      </c>
      <c r="AF13" s="1">
        <f>'in2'!AN13</f>
        <v>0</v>
      </c>
      <c r="AG13" s="1">
        <f>'in2'!AO13</f>
        <v>0</v>
      </c>
      <c r="AH13" s="1">
        <f>'in2'!AP13</f>
        <v>0</v>
      </c>
      <c r="AI13" s="1">
        <f>'in2'!AQ13</f>
        <v>0</v>
      </c>
      <c r="AJ13" s="1">
        <f>'in2'!AR13</f>
        <v>0</v>
      </c>
      <c r="AK13" s="1">
        <f>'in2'!AS13</f>
        <v>0</v>
      </c>
      <c r="AL13" s="1">
        <f>'in2'!AT13</f>
        <v>1</v>
      </c>
      <c r="AM13" s="1">
        <f>'in2'!AU13</f>
        <v>1</v>
      </c>
      <c r="AN13" s="1">
        <f>'in2'!AV13</f>
        <v>0</v>
      </c>
      <c r="AO13" s="1">
        <f>'in2'!AW13</f>
        <v>0</v>
      </c>
      <c r="AP13" s="1">
        <f>'in2'!AX13</f>
        <v>1</v>
      </c>
      <c r="AQ13" s="1">
        <f>'in2'!AY13</f>
        <v>0</v>
      </c>
      <c r="AR13" s="1">
        <f>'in2'!AZ13</f>
        <v>0</v>
      </c>
      <c r="AS13" s="1">
        <f>'in2'!BA13</f>
        <v>0</v>
      </c>
      <c r="AT13" s="1">
        <f>'in2'!BB13</f>
        <v>0</v>
      </c>
      <c r="AU13" s="1">
        <f>'in2'!BC13</f>
        <v>1</v>
      </c>
      <c r="AV13" s="1">
        <f>'in2'!BD13</f>
        <v>0</v>
      </c>
      <c r="AW13" s="1">
        <f>'in2'!BE13</f>
        <v>0</v>
      </c>
      <c r="AX13" s="1">
        <f>'in2'!BF13</f>
        <v>0</v>
      </c>
      <c r="AY13" s="1">
        <f>'in2'!BG13</f>
        <v>0</v>
      </c>
      <c r="AZ13" s="1">
        <f>'in2'!BH13</f>
        <v>0</v>
      </c>
      <c r="BA13" s="1">
        <f>'in2'!BI13</f>
        <v>0</v>
      </c>
      <c r="BB13" s="1">
        <f>'in2'!BJ13</f>
        <v>0</v>
      </c>
      <c r="BC13" s="3">
        <f t="shared" si="6"/>
        <v>5</v>
      </c>
      <c r="BD13" s="3">
        <f t="shared" si="7"/>
        <v>20</v>
      </c>
      <c r="BE13" s="1">
        <f>'in2'!BK13</f>
        <v>0</v>
      </c>
      <c r="BF13" s="1">
        <f>'in2'!BL13</f>
        <v>0</v>
      </c>
      <c r="BG13" s="1">
        <f>'in2'!BM13</f>
        <v>0</v>
      </c>
      <c r="BH13" s="1">
        <f>'in2'!BN13</f>
        <v>0</v>
      </c>
      <c r="BI13" s="1">
        <f>'in2'!BO13</f>
        <v>1</v>
      </c>
      <c r="BJ13" s="13">
        <f t="shared" si="0"/>
        <v>1</v>
      </c>
      <c r="BK13" s="14">
        <f t="shared" si="1"/>
        <v>20</v>
      </c>
      <c r="BL13" s="1">
        <f>'in2'!BP13</f>
        <v>0</v>
      </c>
      <c r="BM13" s="1">
        <f>'in2'!BQ13</f>
        <v>1</v>
      </c>
      <c r="BN13" s="1">
        <f>'in2'!BR13</f>
        <v>0</v>
      </c>
      <c r="BO13" s="1">
        <f>'in2'!BS13</f>
        <v>0</v>
      </c>
      <c r="BP13" s="1">
        <f>'in2'!BT13</f>
        <v>1</v>
      </c>
      <c r="BQ13" s="1">
        <f>'in2'!BU13</f>
        <v>0</v>
      </c>
      <c r="BR13" s="1">
        <f>'in2'!BV13</f>
        <v>0</v>
      </c>
      <c r="BS13" s="1">
        <f>'in2'!BW13</f>
        <v>0</v>
      </c>
      <c r="BT13" s="1">
        <f>'in2'!BX13</f>
        <v>1</v>
      </c>
      <c r="BU13" s="1">
        <f>'in2'!BY13</f>
        <v>1</v>
      </c>
      <c r="BV13" s="1">
        <f>'in2'!BZ13</f>
        <v>0</v>
      </c>
      <c r="BW13" s="1">
        <f>'in2'!CA13</f>
        <v>0</v>
      </c>
      <c r="BX13" s="1">
        <f>'in2'!CB13</f>
        <v>1</v>
      </c>
      <c r="BY13" s="11">
        <f t="shared" si="8"/>
        <v>5</v>
      </c>
      <c r="BZ13" s="16">
        <f t="shared" si="9"/>
        <v>38.46153846153846</v>
      </c>
      <c r="CA13" s="1">
        <f>'in2'!CC13</f>
        <v>0</v>
      </c>
      <c r="CB13" s="1">
        <f>'in2'!CD13</f>
        <v>0</v>
      </c>
      <c r="CC13" s="1">
        <f>'in2'!CE13</f>
        <v>0</v>
      </c>
      <c r="CD13" s="1">
        <f>'in2'!CF13</f>
        <v>0</v>
      </c>
      <c r="CE13" s="1">
        <f>'in2'!CG13</f>
        <v>0</v>
      </c>
      <c r="CF13" s="1">
        <f>'in2'!CH13</f>
        <v>0</v>
      </c>
      <c r="CG13" s="1">
        <f>'in2'!CI13</f>
        <v>0</v>
      </c>
      <c r="CH13" s="1">
        <f>'in2'!CJ13</f>
        <v>1</v>
      </c>
      <c r="CI13" s="1">
        <f>'in2'!CK13</f>
        <v>0</v>
      </c>
      <c r="CJ13" s="1">
        <f>'in2'!CL13</f>
        <v>0</v>
      </c>
      <c r="CK13" s="12">
        <f t="shared" si="13"/>
        <v>1</v>
      </c>
      <c r="CL13" s="15">
        <f t="shared" si="10"/>
        <v>10</v>
      </c>
      <c r="CM13" s="65">
        <f>'in2'!CM13</f>
        <v>0</v>
      </c>
      <c r="CN13" s="17">
        <f t="shared" si="2"/>
        <v>0</v>
      </c>
      <c r="CO13" s="17">
        <f t="shared" si="3"/>
        <v>0</v>
      </c>
      <c r="CP13" s="1">
        <f>'in2'!CN13</f>
        <v>0</v>
      </c>
      <c r="CQ13" s="1">
        <f>'in2'!CO13</f>
        <v>1</v>
      </c>
      <c r="CR13" s="1">
        <f>'in2'!CP13</f>
        <v>0</v>
      </c>
      <c r="CS13" s="1">
        <f>'in2'!CQ13</f>
        <v>0</v>
      </c>
      <c r="CT13" s="1">
        <f>'in2'!CR13</f>
        <v>0</v>
      </c>
      <c r="CU13" s="1">
        <f>'in2'!CS13</f>
        <v>0</v>
      </c>
      <c r="CV13" s="1">
        <f>'in2'!CT13</f>
        <v>1</v>
      </c>
      <c r="CW13" s="1">
        <f>'in2'!CU13</f>
        <v>0</v>
      </c>
      <c r="CX13" s="1">
        <f>'in2'!CV13</f>
        <v>0</v>
      </c>
      <c r="CY13" s="1">
        <f>'in2'!CW13</f>
        <v>1</v>
      </c>
      <c r="CZ13" s="1">
        <f>'in2'!CX13</f>
        <v>0</v>
      </c>
      <c r="DA13" s="1">
        <f>'in2'!CY13</f>
        <v>0</v>
      </c>
      <c r="DB13" s="1">
        <f>'in2'!CZ13</f>
        <v>0</v>
      </c>
      <c r="DC13" s="1">
        <f>'in2'!DA13</f>
        <v>0</v>
      </c>
      <c r="DD13" s="1">
        <f>'in2'!DB13</f>
        <v>1</v>
      </c>
      <c r="DE13" s="1">
        <f>'in2'!DC13</f>
        <v>1</v>
      </c>
      <c r="DF13" s="1">
        <f>'in2'!DD13</f>
        <v>1</v>
      </c>
      <c r="DG13" s="1">
        <f>'in2'!DE13</f>
        <v>0</v>
      </c>
      <c r="DH13" s="1">
        <f>'in2'!DF13</f>
        <v>0</v>
      </c>
      <c r="DI13" s="1">
        <f>'in2'!DG13</f>
        <v>0</v>
      </c>
      <c r="DJ13" s="1">
        <f>'in2'!DH13</f>
        <v>0</v>
      </c>
      <c r="DK13" s="1">
        <f>'in2'!DI13</f>
        <v>0</v>
      </c>
      <c r="DL13" s="1">
        <f>'in2'!DJ13</f>
        <v>1</v>
      </c>
      <c r="DM13" s="1">
        <f>'in2'!DK13</f>
        <v>0</v>
      </c>
      <c r="DN13" s="1">
        <f>'in2'!DL13</f>
        <v>0</v>
      </c>
      <c r="DO13" s="1">
        <f>'in2'!DM13</f>
        <v>0</v>
      </c>
      <c r="DP13" s="1">
        <f>'in2'!DN13</f>
        <v>1</v>
      </c>
      <c r="DQ13" s="1">
        <f>'in2'!DO13</f>
        <v>1</v>
      </c>
      <c r="DR13" s="1">
        <f>'in2'!DP13</f>
        <v>0</v>
      </c>
      <c r="DS13" s="1">
        <f>'in2'!DQ13</f>
        <v>0</v>
      </c>
      <c r="DT13" s="1">
        <f>'in2'!DR13</f>
        <v>1</v>
      </c>
      <c r="DU13" s="1">
        <f>'in2'!DS13</f>
        <v>0</v>
      </c>
      <c r="DV13" s="1">
        <f>'in2'!DT13</f>
        <v>0</v>
      </c>
      <c r="DW13" s="1">
        <f>'in2'!DU13</f>
        <v>1</v>
      </c>
      <c r="DX13" s="1">
        <f>'in2'!DV13</f>
        <v>1</v>
      </c>
      <c r="DY13" s="1">
        <f>'in2'!DW13</f>
        <v>0</v>
      </c>
      <c r="DZ13" s="1">
        <f>'in2'!DX13</f>
        <v>1</v>
      </c>
      <c r="EA13" s="1">
        <f>'in2'!DY13</f>
        <v>1</v>
      </c>
      <c r="EB13" s="1">
        <f>'in2'!DZ13</f>
        <v>0</v>
      </c>
      <c r="EC13" s="1">
        <f>'in2'!EA13</f>
        <v>0</v>
      </c>
      <c r="ED13" s="1">
        <f>'in2'!EB13</f>
        <v>1</v>
      </c>
      <c r="EE13" s="1">
        <f>'in2'!EC13</f>
        <v>0</v>
      </c>
      <c r="EF13" s="1">
        <f>'in2'!ED13</f>
        <v>0</v>
      </c>
      <c r="EG13" s="1">
        <f>'in2'!EE13</f>
        <v>0</v>
      </c>
      <c r="EH13" s="1">
        <f>'in2'!EF13</f>
        <v>0</v>
      </c>
      <c r="EI13" s="1">
        <f>'in2'!EG13</f>
        <v>0</v>
      </c>
      <c r="EJ13" s="1">
        <f>'in2'!EH13</f>
        <v>0</v>
      </c>
      <c r="EK13" s="1">
        <f>'in2'!EI13</f>
        <v>0</v>
      </c>
      <c r="EL13" s="1">
        <f>'in2'!EJ13</f>
        <v>0</v>
      </c>
      <c r="EM13" s="1">
        <f>'in2'!EK13</f>
        <v>0</v>
      </c>
      <c r="EN13" s="1">
        <f>'in2'!EL13</f>
        <v>0</v>
      </c>
      <c r="EO13" s="1">
        <f>'in2'!EM13</f>
        <v>0</v>
      </c>
      <c r="EP13" s="1">
        <f>'in2'!EN13</f>
        <v>1</v>
      </c>
      <c r="EQ13" s="1">
        <f>'in2'!EO13</f>
        <v>0</v>
      </c>
      <c r="ER13" s="1">
        <f>'in2'!EP13</f>
        <v>0</v>
      </c>
      <c r="ES13" s="6">
        <f t="shared" si="12"/>
        <v>16</v>
      </c>
      <c r="ET13" s="7">
        <f t="shared" si="11"/>
        <v>29.09090909090909</v>
      </c>
    </row>
    <row r="14" spans="1:150" x14ac:dyDescent="0.35">
      <c r="A14" s="43" t="str">
        <f>in!D14</f>
        <v xml:space="preserve">CASTAÑO EMERIS DANIELA LUCIA  </v>
      </c>
      <c r="B14" s="43">
        <f>in!E14</f>
        <v>5802</v>
      </c>
      <c r="C14" s="1">
        <f>'in2'!M14</f>
        <v>0</v>
      </c>
      <c r="D14" s="1">
        <f>'in2'!N14</f>
        <v>0</v>
      </c>
      <c r="E14" s="1">
        <f>'in2'!O14</f>
        <v>0</v>
      </c>
      <c r="F14" s="1">
        <f>'in2'!P14</f>
        <v>1</v>
      </c>
      <c r="G14" s="1">
        <f>'in2'!Q14</f>
        <v>0</v>
      </c>
      <c r="H14" s="1">
        <f>'in2'!R14</f>
        <v>0</v>
      </c>
      <c r="I14" s="1">
        <f>'in2'!S14</f>
        <v>0</v>
      </c>
      <c r="J14" s="1">
        <f>'in2'!T14</f>
        <v>0</v>
      </c>
      <c r="K14" s="1">
        <f>'in2'!U14</f>
        <v>1</v>
      </c>
      <c r="L14" s="1">
        <f>'in2'!V14</f>
        <v>0</v>
      </c>
      <c r="M14" s="1">
        <f>'in2'!W14</f>
        <v>1</v>
      </c>
      <c r="N14" s="1">
        <f>'in2'!X14</f>
        <v>0</v>
      </c>
      <c r="O14" s="1">
        <f>'in2'!Y14</f>
        <v>0</v>
      </c>
      <c r="P14" s="1">
        <f>'in2'!Z14</f>
        <v>0</v>
      </c>
      <c r="Q14" s="1">
        <f>'in2'!AA14</f>
        <v>1</v>
      </c>
      <c r="R14" s="1">
        <f>'in2'!AB14</f>
        <v>0</v>
      </c>
      <c r="S14" s="1">
        <f>'in2'!AC14</f>
        <v>0</v>
      </c>
      <c r="T14" s="1">
        <f>'in2'!AD14</f>
        <v>1</v>
      </c>
      <c r="U14" s="1">
        <f>'in2'!AE14</f>
        <v>1</v>
      </c>
      <c r="V14" s="1">
        <f>'in2'!AF14</f>
        <v>1</v>
      </c>
      <c r="W14" s="1">
        <f>'in2'!AG14</f>
        <v>0</v>
      </c>
      <c r="X14" s="1">
        <f>'in2'!AH14</f>
        <v>0</v>
      </c>
      <c r="Y14" s="1">
        <f>'in2'!AI14</f>
        <v>1</v>
      </c>
      <c r="Z14" s="1">
        <f>'in2'!AJ14</f>
        <v>0</v>
      </c>
      <c r="AA14" s="1">
        <f>'in2'!AK14</f>
        <v>0</v>
      </c>
      <c r="AB14" s="5">
        <f t="shared" si="4"/>
        <v>8</v>
      </c>
      <c r="AC14" s="5">
        <f t="shared" si="5"/>
        <v>32</v>
      </c>
      <c r="AD14" s="1">
        <f>'in2'!AL14</f>
        <v>1</v>
      </c>
      <c r="AE14" s="1">
        <f>'in2'!AM14</f>
        <v>1</v>
      </c>
      <c r="AF14" s="1">
        <f>'in2'!AN14</f>
        <v>0</v>
      </c>
      <c r="AG14" s="1">
        <f>'in2'!AO14</f>
        <v>1</v>
      </c>
      <c r="AH14" s="1">
        <f>'in2'!AP14</f>
        <v>0</v>
      </c>
      <c r="AI14" s="1">
        <f>'in2'!AQ14</f>
        <v>0</v>
      </c>
      <c r="AJ14" s="1">
        <f>'in2'!AR14</f>
        <v>0</v>
      </c>
      <c r="AK14" s="1">
        <f>'in2'!AS14</f>
        <v>0</v>
      </c>
      <c r="AL14" s="1">
        <f>'in2'!AT14</f>
        <v>0</v>
      </c>
      <c r="AM14" s="1">
        <f>'in2'!AU14</f>
        <v>0</v>
      </c>
      <c r="AN14" s="1">
        <f>'in2'!AV14</f>
        <v>1</v>
      </c>
      <c r="AO14" s="1">
        <f>'in2'!AW14</f>
        <v>0</v>
      </c>
      <c r="AP14" s="1">
        <f>'in2'!AX14</f>
        <v>0</v>
      </c>
      <c r="AQ14" s="1">
        <f>'in2'!AY14</f>
        <v>0</v>
      </c>
      <c r="AR14" s="1">
        <f>'in2'!AZ14</f>
        <v>0</v>
      </c>
      <c r="AS14" s="1">
        <f>'in2'!BA14</f>
        <v>0</v>
      </c>
      <c r="AT14" s="1">
        <f>'in2'!BB14</f>
        <v>1</v>
      </c>
      <c r="AU14" s="1">
        <f>'in2'!BC14</f>
        <v>0</v>
      </c>
      <c r="AV14" s="1">
        <f>'in2'!BD14</f>
        <v>1</v>
      </c>
      <c r="AW14" s="1">
        <f>'in2'!BE14</f>
        <v>0</v>
      </c>
      <c r="AX14" s="1">
        <f>'in2'!BF14</f>
        <v>0</v>
      </c>
      <c r="AY14" s="1">
        <f>'in2'!BG14</f>
        <v>0</v>
      </c>
      <c r="AZ14" s="1">
        <f>'in2'!BH14</f>
        <v>1</v>
      </c>
      <c r="BA14" s="1">
        <f>'in2'!BI14</f>
        <v>0</v>
      </c>
      <c r="BB14" s="1">
        <f>'in2'!BJ14</f>
        <v>0</v>
      </c>
      <c r="BC14" s="3">
        <f t="shared" si="6"/>
        <v>7</v>
      </c>
      <c r="BD14" s="3">
        <f t="shared" si="7"/>
        <v>28</v>
      </c>
      <c r="BE14" s="1">
        <f>'in2'!BK14</f>
        <v>1</v>
      </c>
      <c r="BF14" s="1">
        <f>'in2'!BL14</f>
        <v>0</v>
      </c>
      <c r="BG14" s="1">
        <f>'in2'!BM14</f>
        <v>1</v>
      </c>
      <c r="BH14" s="1">
        <f>'in2'!BN14</f>
        <v>1</v>
      </c>
      <c r="BI14" s="1">
        <f>'in2'!BO14</f>
        <v>1</v>
      </c>
      <c r="BJ14" s="13">
        <f t="shared" si="0"/>
        <v>4</v>
      </c>
      <c r="BK14" s="14">
        <f t="shared" si="1"/>
        <v>80</v>
      </c>
      <c r="BL14" s="1">
        <f>'in2'!BP14</f>
        <v>1</v>
      </c>
      <c r="BM14" s="1">
        <f>'in2'!BQ14</f>
        <v>0</v>
      </c>
      <c r="BN14" s="1">
        <f>'in2'!BR14</f>
        <v>1</v>
      </c>
      <c r="BO14" s="1">
        <f>'in2'!BS14</f>
        <v>0</v>
      </c>
      <c r="BP14" s="1">
        <f>'in2'!BT14</f>
        <v>0</v>
      </c>
      <c r="BQ14" s="1">
        <f>'in2'!BU14</f>
        <v>0</v>
      </c>
      <c r="BR14" s="1">
        <f>'in2'!BV14</f>
        <v>1</v>
      </c>
      <c r="BS14" s="1">
        <f>'in2'!BW14</f>
        <v>0</v>
      </c>
      <c r="BT14" s="1">
        <f>'in2'!BX14</f>
        <v>0</v>
      </c>
      <c r="BU14" s="1">
        <f>'in2'!BY14</f>
        <v>0</v>
      </c>
      <c r="BV14" s="1">
        <f>'in2'!BZ14</f>
        <v>0</v>
      </c>
      <c r="BW14" s="1">
        <f>'in2'!CA14</f>
        <v>0</v>
      </c>
      <c r="BX14" s="1">
        <f>'in2'!CB14</f>
        <v>0</v>
      </c>
      <c r="BY14" s="11">
        <f t="shared" si="8"/>
        <v>3</v>
      </c>
      <c r="BZ14" s="16">
        <f t="shared" si="9"/>
        <v>23.076923076923077</v>
      </c>
      <c r="CA14" s="1">
        <f>'in2'!CC14</f>
        <v>0</v>
      </c>
      <c r="CB14" s="1">
        <f>'in2'!CD14</f>
        <v>0</v>
      </c>
      <c r="CC14" s="1">
        <f>'in2'!CE14</f>
        <v>0</v>
      </c>
      <c r="CD14" s="1">
        <f>'in2'!CF14</f>
        <v>1</v>
      </c>
      <c r="CE14" s="1">
        <f>'in2'!CG14</f>
        <v>0</v>
      </c>
      <c r="CF14" s="1">
        <f>'in2'!CH14</f>
        <v>0</v>
      </c>
      <c r="CG14" s="1">
        <f>'in2'!CI14</f>
        <v>0</v>
      </c>
      <c r="CH14" s="1">
        <f>'in2'!CJ14</f>
        <v>0</v>
      </c>
      <c r="CI14" s="1">
        <f>'in2'!CK14</f>
        <v>0</v>
      </c>
      <c r="CJ14" s="1">
        <f>'in2'!CL14</f>
        <v>1</v>
      </c>
      <c r="CK14" s="12">
        <f t="shared" si="13"/>
        <v>2</v>
      </c>
      <c r="CL14" s="15">
        <f t="shared" si="10"/>
        <v>20</v>
      </c>
      <c r="CM14" s="65">
        <f>'in2'!CM14</f>
        <v>0</v>
      </c>
      <c r="CN14" s="17">
        <f t="shared" si="2"/>
        <v>0</v>
      </c>
      <c r="CO14" s="17">
        <f t="shared" si="3"/>
        <v>0</v>
      </c>
      <c r="CP14" s="1">
        <f>'in2'!CN14</f>
        <v>0</v>
      </c>
      <c r="CQ14" s="1">
        <f>'in2'!CO14</f>
        <v>1</v>
      </c>
      <c r="CR14" s="1">
        <f>'in2'!CP14</f>
        <v>1</v>
      </c>
      <c r="CS14" s="1">
        <f>'in2'!CQ14</f>
        <v>0</v>
      </c>
      <c r="CT14" s="1">
        <f>'in2'!CR14</f>
        <v>0</v>
      </c>
      <c r="CU14" s="1">
        <f>'in2'!CS14</f>
        <v>1</v>
      </c>
      <c r="CV14" s="1">
        <f>'in2'!CT14</f>
        <v>0</v>
      </c>
      <c r="CW14" s="1">
        <f>'in2'!CU14</f>
        <v>1</v>
      </c>
      <c r="CX14" s="1">
        <f>'in2'!CV14</f>
        <v>0</v>
      </c>
      <c r="CY14" s="1">
        <f>'in2'!CW14</f>
        <v>1</v>
      </c>
      <c r="CZ14" s="1">
        <f>'in2'!CX14</f>
        <v>0</v>
      </c>
      <c r="DA14" s="1">
        <f>'in2'!CY14</f>
        <v>0</v>
      </c>
      <c r="DB14" s="1">
        <f>'in2'!CZ14</f>
        <v>0</v>
      </c>
      <c r="DC14" s="1">
        <f>'in2'!DA14</f>
        <v>0</v>
      </c>
      <c r="DD14" s="1">
        <f>'in2'!DB14</f>
        <v>0</v>
      </c>
      <c r="DE14" s="1">
        <f>'in2'!DC14</f>
        <v>1</v>
      </c>
      <c r="DF14" s="1">
        <f>'in2'!DD14</f>
        <v>1</v>
      </c>
      <c r="DG14" s="1">
        <f>'in2'!DE14</f>
        <v>0</v>
      </c>
      <c r="DH14" s="1">
        <f>'in2'!DF14</f>
        <v>1</v>
      </c>
      <c r="DI14" s="1">
        <f>'in2'!DG14</f>
        <v>0</v>
      </c>
      <c r="DJ14" s="1">
        <f>'in2'!DH14</f>
        <v>0</v>
      </c>
      <c r="DK14" s="1">
        <f>'in2'!DI14</f>
        <v>0</v>
      </c>
      <c r="DL14" s="1">
        <f>'in2'!DJ14</f>
        <v>0</v>
      </c>
      <c r="DM14" s="1">
        <f>'in2'!DK14</f>
        <v>1</v>
      </c>
      <c r="DN14" s="1">
        <f>'in2'!DL14</f>
        <v>1</v>
      </c>
      <c r="DO14" s="1">
        <f>'in2'!DM14</f>
        <v>0</v>
      </c>
      <c r="DP14" s="1">
        <f>'in2'!DN14</f>
        <v>1</v>
      </c>
      <c r="DQ14" s="1">
        <f>'in2'!DO14</f>
        <v>0</v>
      </c>
      <c r="DR14" s="1">
        <f>'in2'!DP14</f>
        <v>0</v>
      </c>
      <c r="DS14" s="1">
        <f>'in2'!DQ14</f>
        <v>1</v>
      </c>
      <c r="DT14" s="1">
        <f>'in2'!DR14</f>
        <v>1</v>
      </c>
      <c r="DU14" s="1">
        <f>'in2'!DS14</f>
        <v>0</v>
      </c>
      <c r="DV14" s="1">
        <f>'in2'!DT14</f>
        <v>1</v>
      </c>
      <c r="DW14" s="1">
        <f>'in2'!DU14</f>
        <v>0</v>
      </c>
      <c r="DX14" s="1">
        <f>'in2'!DV14</f>
        <v>0</v>
      </c>
      <c r="DY14" s="1">
        <f>'in2'!DW14</f>
        <v>0</v>
      </c>
      <c r="DZ14" s="1">
        <f>'in2'!DX14</f>
        <v>1</v>
      </c>
      <c r="EA14" s="1">
        <f>'in2'!DY14</f>
        <v>1</v>
      </c>
      <c r="EB14" s="1">
        <f>'in2'!DZ14</f>
        <v>0</v>
      </c>
      <c r="EC14" s="1">
        <f>'in2'!EA14</f>
        <v>0</v>
      </c>
      <c r="ED14" s="1">
        <f>'in2'!EB14</f>
        <v>0</v>
      </c>
      <c r="EE14" s="1">
        <f>'in2'!EC14</f>
        <v>0</v>
      </c>
      <c r="EF14" s="1">
        <f>'in2'!ED14</f>
        <v>1</v>
      </c>
      <c r="EG14" s="1">
        <f>'in2'!EE14</f>
        <v>0</v>
      </c>
      <c r="EH14" s="1">
        <f>'in2'!EF14</f>
        <v>0</v>
      </c>
      <c r="EI14" s="1">
        <f>'in2'!EG14</f>
        <v>0</v>
      </c>
      <c r="EJ14" s="1">
        <f>'in2'!EH14</f>
        <v>1</v>
      </c>
      <c r="EK14" s="1">
        <f>'in2'!EI14</f>
        <v>0</v>
      </c>
      <c r="EL14" s="1">
        <f>'in2'!EJ14</f>
        <v>0</v>
      </c>
      <c r="EM14" s="1">
        <f>'in2'!EK14</f>
        <v>0</v>
      </c>
      <c r="EN14" s="1">
        <f>'in2'!EL14</f>
        <v>1</v>
      </c>
      <c r="EO14" s="1">
        <f>'in2'!EM14</f>
        <v>0</v>
      </c>
      <c r="EP14" s="1">
        <f>'in2'!EN14</f>
        <v>0</v>
      </c>
      <c r="EQ14" s="1">
        <f>'in2'!EO14</f>
        <v>0</v>
      </c>
      <c r="ER14" s="1">
        <f>'in2'!EP14</f>
        <v>1</v>
      </c>
      <c r="ES14" s="6">
        <f t="shared" si="12"/>
        <v>20</v>
      </c>
      <c r="ET14" s="7">
        <f t="shared" si="11"/>
        <v>36.363636363636367</v>
      </c>
    </row>
    <row r="15" spans="1:150" x14ac:dyDescent="0.35">
      <c r="A15" s="43" t="str">
        <f>in!D15</f>
        <v xml:space="preserve">CAUSIL RAMOS SANTIAGO DAVID  </v>
      </c>
      <c r="B15" s="43">
        <f>in!E15</f>
        <v>5803</v>
      </c>
      <c r="C15" s="1">
        <f>'in2'!M15</f>
        <v>0</v>
      </c>
      <c r="D15" s="1">
        <f>'in2'!N15</f>
        <v>0</v>
      </c>
      <c r="E15" s="1">
        <f>'in2'!O15</f>
        <v>0</v>
      </c>
      <c r="F15" s="1">
        <f>'in2'!P15</f>
        <v>0</v>
      </c>
      <c r="G15" s="1">
        <f>'in2'!Q15</f>
        <v>0</v>
      </c>
      <c r="H15" s="1">
        <f>'in2'!R15</f>
        <v>0</v>
      </c>
      <c r="I15" s="1">
        <f>'in2'!S15</f>
        <v>0</v>
      </c>
      <c r="J15" s="1">
        <f>'in2'!T15</f>
        <v>0</v>
      </c>
      <c r="K15" s="1">
        <f>'in2'!U15</f>
        <v>0</v>
      </c>
      <c r="L15" s="1">
        <f>'in2'!V15</f>
        <v>0</v>
      </c>
      <c r="M15" s="1">
        <f>'in2'!W15</f>
        <v>0</v>
      </c>
      <c r="N15" s="1">
        <f>'in2'!X15</f>
        <v>0</v>
      </c>
      <c r="O15" s="1">
        <f>'in2'!Y15</f>
        <v>0</v>
      </c>
      <c r="P15" s="1">
        <f>'in2'!Z15</f>
        <v>0</v>
      </c>
      <c r="Q15" s="1">
        <f>'in2'!AA15</f>
        <v>0</v>
      </c>
      <c r="R15" s="1">
        <f>'in2'!AB15</f>
        <v>0</v>
      </c>
      <c r="S15" s="1">
        <f>'in2'!AC15</f>
        <v>0</v>
      </c>
      <c r="T15" s="1">
        <f>'in2'!AD15</f>
        <v>0</v>
      </c>
      <c r="U15" s="1">
        <f>'in2'!AE15</f>
        <v>1</v>
      </c>
      <c r="V15" s="1">
        <f>'in2'!AF15</f>
        <v>0</v>
      </c>
      <c r="W15" s="1">
        <f>'in2'!AG15</f>
        <v>1</v>
      </c>
      <c r="X15" s="1">
        <f>'in2'!AH15</f>
        <v>0</v>
      </c>
      <c r="Y15" s="1">
        <f>'in2'!AI15</f>
        <v>1</v>
      </c>
      <c r="Z15" s="1">
        <f>'in2'!AJ15</f>
        <v>0</v>
      </c>
      <c r="AA15" s="1">
        <f>'in2'!AK15</f>
        <v>0</v>
      </c>
      <c r="AB15" s="5">
        <f t="shared" si="4"/>
        <v>3</v>
      </c>
      <c r="AC15" s="5">
        <f t="shared" si="5"/>
        <v>12</v>
      </c>
      <c r="AD15" s="1">
        <f>'in2'!AL15</f>
        <v>0</v>
      </c>
      <c r="AE15" s="1">
        <f>'in2'!AM15</f>
        <v>1</v>
      </c>
      <c r="AF15" s="1">
        <f>'in2'!AN15</f>
        <v>1</v>
      </c>
      <c r="AG15" s="1">
        <f>'in2'!AO15</f>
        <v>1</v>
      </c>
      <c r="AH15" s="1">
        <f>'in2'!AP15</f>
        <v>0</v>
      </c>
      <c r="AI15" s="1">
        <f>'in2'!AQ15</f>
        <v>0</v>
      </c>
      <c r="AJ15" s="1">
        <f>'in2'!AR15</f>
        <v>1</v>
      </c>
      <c r="AK15" s="1">
        <f>'in2'!AS15</f>
        <v>0</v>
      </c>
      <c r="AL15" s="1">
        <f>'in2'!AT15</f>
        <v>0</v>
      </c>
      <c r="AM15" s="1">
        <f>'in2'!AU15</f>
        <v>0</v>
      </c>
      <c r="AN15" s="1">
        <f>'in2'!AV15</f>
        <v>1</v>
      </c>
      <c r="AO15" s="1">
        <f>'in2'!AW15</f>
        <v>0</v>
      </c>
      <c r="AP15" s="1">
        <f>'in2'!AX15</f>
        <v>0</v>
      </c>
      <c r="AQ15" s="1">
        <f>'in2'!AY15</f>
        <v>0</v>
      </c>
      <c r="AR15" s="1">
        <f>'in2'!AZ15</f>
        <v>0</v>
      </c>
      <c r="AS15" s="1">
        <f>'in2'!BA15</f>
        <v>0</v>
      </c>
      <c r="AT15" s="1">
        <f>'in2'!BB15</f>
        <v>0</v>
      </c>
      <c r="AU15" s="1">
        <f>'in2'!BC15</f>
        <v>0</v>
      </c>
      <c r="AV15" s="1">
        <f>'in2'!BD15</f>
        <v>0</v>
      </c>
      <c r="AW15" s="1">
        <f>'in2'!BE15</f>
        <v>1</v>
      </c>
      <c r="AX15" s="1">
        <f>'in2'!BF15</f>
        <v>0</v>
      </c>
      <c r="AY15" s="1">
        <f>'in2'!BG15</f>
        <v>0</v>
      </c>
      <c r="AZ15" s="1">
        <f>'in2'!BH15</f>
        <v>0</v>
      </c>
      <c r="BA15" s="1">
        <f>'in2'!BI15</f>
        <v>0</v>
      </c>
      <c r="BB15" s="1">
        <f>'in2'!BJ15</f>
        <v>0</v>
      </c>
      <c r="BC15" s="3">
        <f t="shared" si="6"/>
        <v>6</v>
      </c>
      <c r="BD15" s="3">
        <f t="shared" si="7"/>
        <v>24</v>
      </c>
      <c r="BE15" s="1">
        <f>'in2'!BK15</f>
        <v>0</v>
      </c>
      <c r="BF15" s="1">
        <f>'in2'!BL15</f>
        <v>0</v>
      </c>
      <c r="BG15" s="1">
        <f>'in2'!BM15</f>
        <v>0</v>
      </c>
      <c r="BH15" s="1">
        <f>'in2'!BN15</f>
        <v>0</v>
      </c>
      <c r="BI15" s="1">
        <f>'in2'!BO15</f>
        <v>0</v>
      </c>
      <c r="BJ15" s="13">
        <f t="shared" si="0"/>
        <v>0</v>
      </c>
      <c r="BK15" s="14">
        <f t="shared" si="1"/>
        <v>0</v>
      </c>
      <c r="BL15" s="1">
        <f>'in2'!BP15</f>
        <v>0</v>
      </c>
      <c r="BM15" s="1">
        <f>'in2'!BQ15</f>
        <v>1</v>
      </c>
      <c r="BN15" s="1">
        <f>'in2'!BR15</f>
        <v>1</v>
      </c>
      <c r="BO15" s="1">
        <f>'in2'!BS15</f>
        <v>1</v>
      </c>
      <c r="BP15" s="1">
        <f>'in2'!BT15</f>
        <v>0</v>
      </c>
      <c r="BQ15" s="1">
        <f>'in2'!BU15</f>
        <v>0</v>
      </c>
      <c r="BR15" s="1">
        <f>'in2'!BV15</f>
        <v>1</v>
      </c>
      <c r="BS15" s="1">
        <f>'in2'!BW15</f>
        <v>0</v>
      </c>
      <c r="BT15" s="1">
        <f>'in2'!BX15</f>
        <v>1</v>
      </c>
      <c r="BU15" s="1">
        <f>'in2'!BY15</f>
        <v>1</v>
      </c>
      <c r="BV15" s="1">
        <f>'in2'!BZ15</f>
        <v>0</v>
      </c>
      <c r="BW15" s="1">
        <f>'in2'!CA15</f>
        <v>0</v>
      </c>
      <c r="BX15" s="1">
        <f>'in2'!CB15</f>
        <v>0</v>
      </c>
      <c r="BY15" s="11">
        <f t="shared" si="8"/>
        <v>6</v>
      </c>
      <c r="BZ15" s="16">
        <f t="shared" si="9"/>
        <v>46.153846153846153</v>
      </c>
      <c r="CA15" s="1">
        <f>'in2'!CC15</f>
        <v>1</v>
      </c>
      <c r="CB15" s="1">
        <f>'in2'!CD15</f>
        <v>0</v>
      </c>
      <c r="CC15" s="1">
        <f>'in2'!CE15</f>
        <v>0</v>
      </c>
      <c r="CD15" s="1">
        <f>'in2'!CF15</f>
        <v>0</v>
      </c>
      <c r="CE15" s="1">
        <f>'in2'!CG15</f>
        <v>0</v>
      </c>
      <c r="CF15" s="1">
        <f>'in2'!CH15</f>
        <v>0</v>
      </c>
      <c r="CG15" s="1">
        <f>'in2'!CI15</f>
        <v>0</v>
      </c>
      <c r="CH15" s="1">
        <f>'in2'!CJ15</f>
        <v>1</v>
      </c>
      <c r="CI15" s="1">
        <f>'in2'!CK15</f>
        <v>0</v>
      </c>
      <c r="CJ15" s="1">
        <f>'in2'!CL15</f>
        <v>0</v>
      </c>
      <c r="CK15" s="12">
        <f t="shared" si="13"/>
        <v>2</v>
      </c>
      <c r="CL15" s="15">
        <f t="shared" si="10"/>
        <v>20</v>
      </c>
      <c r="CM15" s="65">
        <f>'in2'!CM15</f>
        <v>0</v>
      </c>
      <c r="CN15" s="17">
        <f t="shared" si="2"/>
        <v>0</v>
      </c>
      <c r="CO15" s="17">
        <f t="shared" si="3"/>
        <v>0</v>
      </c>
      <c r="CP15" s="1">
        <f>'in2'!CN15</f>
        <v>0</v>
      </c>
      <c r="CQ15" s="1">
        <f>'in2'!CO15</f>
        <v>0</v>
      </c>
      <c r="CR15" s="1">
        <f>'in2'!CP15</f>
        <v>0</v>
      </c>
      <c r="CS15" s="1">
        <f>'in2'!CQ15</f>
        <v>0</v>
      </c>
      <c r="CT15" s="1">
        <f>'in2'!CR15</f>
        <v>0</v>
      </c>
      <c r="CU15" s="1">
        <f>'in2'!CS15</f>
        <v>1</v>
      </c>
      <c r="CV15" s="1">
        <f>'in2'!CT15</f>
        <v>0</v>
      </c>
      <c r="CW15" s="1">
        <f>'in2'!CU15</f>
        <v>0</v>
      </c>
      <c r="CX15" s="1">
        <f>'in2'!CV15</f>
        <v>0</v>
      </c>
      <c r="CY15" s="1">
        <f>'in2'!CW15</f>
        <v>1</v>
      </c>
      <c r="CZ15" s="1">
        <f>'in2'!CX15</f>
        <v>1</v>
      </c>
      <c r="DA15" s="1">
        <f>'in2'!CY15</f>
        <v>0</v>
      </c>
      <c r="DB15" s="1">
        <f>'in2'!CZ15</f>
        <v>0</v>
      </c>
      <c r="DC15" s="1">
        <f>'in2'!DA15</f>
        <v>0</v>
      </c>
      <c r="DD15" s="1">
        <f>'in2'!DB15</f>
        <v>0</v>
      </c>
      <c r="DE15" s="1">
        <f>'in2'!DC15</f>
        <v>1</v>
      </c>
      <c r="DF15" s="1">
        <f>'in2'!DD15</f>
        <v>0</v>
      </c>
      <c r="DG15" s="1">
        <f>'in2'!DE15</f>
        <v>0</v>
      </c>
      <c r="DH15" s="1">
        <f>'in2'!DF15</f>
        <v>1</v>
      </c>
      <c r="DI15" s="1">
        <f>'in2'!DG15</f>
        <v>0</v>
      </c>
      <c r="DJ15" s="1">
        <f>'in2'!DH15</f>
        <v>1</v>
      </c>
      <c r="DK15" s="1">
        <f>'in2'!DI15</f>
        <v>1</v>
      </c>
      <c r="DL15" s="1">
        <f>'in2'!DJ15</f>
        <v>0</v>
      </c>
      <c r="DM15" s="1">
        <f>'in2'!DK15</f>
        <v>1</v>
      </c>
      <c r="DN15" s="1">
        <f>'in2'!DL15</f>
        <v>0</v>
      </c>
      <c r="DO15" s="1">
        <f>'in2'!DM15</f>
        <v>1</v>
      </c>
      <c r="DP15" s="1">
        <f>'in2'!DN15</f>
        <v>0</v>
      </c>
      <c r="DQ15" s="1">
        <f>'in2'!DO15</f>
        <v>1</v>
      </c>
      <c r="DR15" s="1">
        <f>'in2'!DP15</f>
        <v>0</v>
      </c>
      <c r="DS15" s="1">
        <f>'in2'!DQ15</f>
        <v>0</v>
      </c>
      <c r="DT15" s="1">
        <f>'in2'!DR15</f>
        <v>1</v>
      </c>
      <c r="DU15" s="1">
        <f>'in2'!DS15</f>
        <v>1</v>
      </c>
      <c r="DV15" s="1">
        <f>'in2'!DT15</f>
        <v>0</v>
      </c>
      <c r="DW15" s="1">
        <f>'in2'!DU15</f>
        <v>1</v>
      </c>
      <c r="DX15" s="1">
        <f>'in2'!DV15</f>
        <v>0</v>
      </c>
      <c r="DY15" s="1">
        <f>'in2'!DW15</f>
        <v>0</v>
      </c>
      <c r="DZ15" s="1">
        <f>'in2'!DX15</f>
        <v>0</v>
      </c>
      <c r="EA15" s="1">
        <f>'in2'!DY15</f>
        <v>1</v>
      </c>
      <c r="EB15" s="1">
        <f>'in2'!DZ15</f>
        <v>0</v>
      </c>
      <c r="EC15" s="1">
        <f>'in2'!EA15</f>
        <v>0</v>
      </c>
      <c r="ED15" s="1">
        <f>'in2'!EB15</f>
        <v>0</v>
      </c>
      <c r="EE15" s="1">
        <f>'in2'!EC15</f>
        <v>0</v>
      </c>
      <c r="EF15" s="1">
        <f>'in2'!ED15</f>
        <v>0</v>
      </c>
      <c r="EG15" s="1">
        <f>'in2'!EE15</f>
        <v>0</v>
      </c>
      <c r="EH15" s="1">
        <f>'in2'!EF15</f>
        <v>0</v>
      </c>
      <c r="EI15" s="1">
        <f>'in2'!EG15</f>
        <v>1</v>
      </c>
      <c r="EJ15" s="1">
        <f>'in2'!EH15</f>
        <v>1</v>
      </c>
      <c r="EK15" s="1">
        <f>'in2'!EI15</f>
        <v>0</v>
      </c>
      <c r="EL15" s="1">
        <f>'in2'!EJ15</f>
        <v>0</v>
      </c>
      <c r="EM15" s="1">
        <f>'in2'!EK15</f>
        <v>1</v>
      </c>
      <c r="EN15" s="1">
        <f>'in2'!EL15</f>
        <v>1</v>
      </c>
      <c r="EO15" s="1">
        <f>'in2'!EM15</f>
        <v>0</v>
      </c>
      <c r="EP15" s="1">
        <f>'in2'!EN15</f>
        <v>1</v>
      </c>
      <c r="EQ15" s="1">
        <f>'in2'!EO15</f>
        <v>1</v>
      </c>
      <c r="ER15" s="1">
        <f>'in2'!EP15</f>
        <v>0</v>
      </c>
      <c r="ES15" s="6">
        <f t="shared" si="12"/>
        <v>20</v>
      </c>
      <c r="ET15" s="7">
        <f t="shared" si="11"/>
        <v>36.363636363636367</v>
      </c>
    </row>
    <row r="16" spans="1:150" x14ac:dyDescent="0.35">
      <c r="A16" s="43" t="str">
        <f>in!D16</f>
        <v xml:space="preserve">CHAMORRO ARTEAGA JUAN DAVID  </v>
      </c>
      <c r="B16" s="43">
        <f>in!E16</f>
        <v>5804</v>
      </c>
      <c r="C16" s="1">
        <f>'in2'!M16</f>
        <v>0</v>
      </c>
      <c r="D16" s="1">
        <f>'in2'!N16</f>
        <v>0</v>
      </c>
      <c r="E16" s="1">
        <f>'in2'!O16</f>
        <v>0</v>
      </c>
      <c r="F16" s="1">
        <f>'in2'!P16</f>
        <v>0</v>
      </c>
      <c r="G16" s="1">
        <f>'in2'!Q16</f>
        <v>0</v>
      </c>
      <c r="H16" s="1">
        <f>'in2'!R16</f>
        <v>0</v>
      </c>
      <c r="I16" s="1">
        <f>'in2'!S16</f>
        <v>0</v>
      </c>
      <c r="J16" s="1">
        <f>'in2'!T16</f>
        <v>0</v>
      </c>
      <c r="K16" s="1">
        <f>'in2'!U16</f>
        <v>0</v>
      </c>
      <c r="L16" s="1">
        <f>'in2'!V16</f>
        <v>0</v>
      </c>
      <c r="M16" s="1">
        <f>'in2'!W16</f>
        <v>1</v>
      </c>
      <c r="N16" s="1">
        <f>'in2'!X16</f>
        <v>0</v>
      </c>
      <c r="O16" s="1">
        <f>'in2'!Y16</f>
        <v>0</v>
      </c>
      <c r="P16" s="1">
        <f>'in2'!Z16</f>
        <v>0</v>
      </c>
      <c r="Q16" s="1">
        <f>'in2'!AA16</f>
        <v>1</v>
      </c>
      <c r="R16" s="1">
        <f>'in2'!AB16</f>
        <v>1</v>
      </c>
      <c r="S16" s="1">
        <f>'in2'!AC16</f>
        <v>0</v>
      </c>
      <c r="T16" s="1">
        <f>'in2'!AD16</f>
        <v>1</v>
      </c>
      <c r="U16" s="1">
        <f>'in2'!AE16</f>
        <v>1</v>
      </c>
      <c r="V16" s="1">
        <f>'in2'!AF16</f>
        <v>1</v>
      </c>
      <c r="W16" s="1">
        <f>'in2'!AG16</f>
        <v>1</v>
      </c>
      <c r="X16" s="1">
        <f>'in2'!AH16</f>
        <v>0</v>
      </c>
      <c r="Y16" s="1">
        <f>'in2'!AI16</f>
        <v>0</v>
      </c>
      <c r="Z16" s="1">
        <f>'in2'!AJ16</f>
        <v>0</v>
      </c>
      <c r="AA16" s="1">
        <f>'in2'!AK16</f>
        <v>0</v>
      </c>
      <c r="AB16" s="5">
        <f t="shared" si="4"/>
        <v>7</v>
      </c>
      <c r="AC16" s="5">
        <f t="shared" si="5"/>
        <v>28</v>
      </c>
      <c r="AD16" s="1">
        <f>'in2'!AL16</f>
        <v>0</v>
      </c>
      <c r="AE16" s="1">
        <f>'in2'!AM16</f>
        <v>0</v>
      </c>
      <c r="AF16" s="1">
        <f>'in2'!AN16</f>
        <v>1</v>
      </c>
      <c r="AG16" s="1">
        <f>'in2'!AO16</f>
        <v>1</v>
      </c>
      <c r="AH16" s="1">
        <f>'in2'!AP16</f>
        <v>0</v>
      </c>
      <c r="AI16" s="1">
        <f>'in2'!AQ16</f>
        <v>1</v>
      </c>
      <c r="AJ16" s="1">
        <f>'in2'!AR16</f>
        <v>0</v>
      </c>
      <c r="AK16" s="1">
        <f>'in2'!AS16</f>
        <v>1</v>
      </c>
      <c r="AL16" s="1">
        <f>'in2'!AT16</f>
        <v>0</v>
      </c>
      <c r="AM16" s="1">
        <f>'in2'!AU16</f>
        <v>0</v>
      </c>
      <c r="AN16" s="1">
        <f>'in2'!AV16</f>
        <v>1</v>
      </c>
      <c r="AO16" s="1">
        <f>'in2'!AW16</f>
        <v>0</v>
      </c>
      <c r="AP16" s="1">
        <f>'in2'!AX16</f>
        <v>1</v>
      </c>
      <c r="AQ16" s="1">
        <f>'in2'!AY16</f>
        <v>1</v>
      </c>
      <c r="AR16" s="1">
        <f>'in2'!AZ16</f>
        <v>0</v>
      </c>
      <c r="AS16" s="1">
        <f>'in2'!BA16</f>
        <v>0</v>
      </c>
      <c r="AT16" s="1">
        <f>'in2'!BB16</f>
        <v>0</v>
      </c>
      <c r="AU16" s="1">
        <f>'in2'!BC16</f>
        <v>0</v>
      </c>
      <c r="AV16" s="1">
        <f>'in2'!BD16</f>
        <v>0</v>
      </c>
      <c r="AW16" s="1">
        <f>'in2'!BE16</f>
        <v>0</v>
      </c>
      <c r="AX16" s="1">
        <f>'in2'!BF16</f>
        <v>1</v>
      </c>
      <c r="AY16" s="1">
        <f>'in2'!BG16</f>
        <v>0</v>
      </c>
      <c r="AZ16" s="1">
        <f>'in2'!BH16</f>
        <v>0</v>
      </c>
      <c r="BA16" s="1">
        <f>'in2'!BI16</f>
        <v>0</v>
      </c>
      <c r="BB16" s="1">
        <f>'in2'!BJ16</f>
        <v>0</v>
      </c>
      <c r="BC16" s="3">
        <f t="shared" si="6"/>
        <v>8</v>
      </c>
      <c r="BD16" s="3">
        <f t="shared" si="7"/>
        <v>32</v>
      </c>
      <c r="BE16" s="1">
        <f>'in2'!BK16</f>
        <v>1</v>
      </c>
      <c r="BF16" s="1">
        <f>'in2'!BL16</f>
        <v>1</v>
      </c>
      <c r="BG16" s="1">
        <f>'in2'!BM16</f>
        <v>0</v>
      </c>
      <c r="BH16" s="1">
        <f>'in2'!BN16</f>
        <v>0</v>
      </c>
      <c r="BI16" s="1">
        <f>'in2'!BO16</f>
        <v>1</v>
      </c>
      <c r="BJ16" s="13">
        <f t="shared" si="0"/>
        <v>3</v>
      </c>
      <c r="BK16" s="14">
        <f t="shared" si="1"/>
        <v>60</v>
      </c>
      <c r="BL16" s="1">
        <f>'in2'!BP16</f>
        <v>0</v>
      </c>
      <c r="BM16" s="1">
        <f>'in2'!BQ16</f>
        <v>0</v>
      </c>
      <c r="BN16" s="1">
        <f>'in2'!BR16</f>
        <v>0</v>
      </c>
      <c r="BO16" s="1">
        <f>'in2'!BS16</f>
        <v>0</v>
      </c>
      <c r="BP16" s="1">
        <f>'in2'!BT16</f>
        <v>0</v>
      </c>
      <c r="BQ16" s="1">
        <f>'in2'!BU16</f>
        <v>0</v>
      </c>
      <c r="BR16" s="1">
        <f>'in2'!BV16</f>
        <v>0</v>
      </c>
      <c r="BS16" s="1">
        <f>'in2'!BW16</f>
        <v>0</v>
      </c>
      <c r="BT16" s="1">
        <f>'in2'!BX16</f>
        <v>0</v>
      </c>
      <c r="BU16" s="1">
        <f>'in2'!BY16</f>
        <v>0</v>
      </c>
      <c r="BV16" s="1">
        <f>'in2'!BZ16</f>
        <v>0</v>
      </c>
      <c r="BW16" s="1">
        <f>'in2'!CA16</f>
        <v>0</v>
      </c>
      <c r="BX16" s="1">
        <f>'in2'!CB16</f>
        <v>0</v>
      </c>
      <c r="BY16" s="11">
        <f t="shared" si="8"/>
        <v>0</v>
      </c>
      <c r="BZ16" s="16">
        <f t="shared" si="9"/>
        <v>0</v>
      </c>
      <c r="CA16" s="1">
        <f>'in2'!CC16</f>
        <v>0</v>
      </c>
      <c r="CB16" s="1">
        <f>'in2'!CD16</f>
        <v>1</v>
      </c>
      <c r="CC16" s="1">
        <f>'in2'!CE16</f>
        <v>0</v>
      </c>
      <c r="CD16" s="1">
        <f>'in2'!CF16</f>
        <v>0</v>
      </c>
      <c r="CE16" s="1">
        <f>'in2'!CG16</f>
        <v>0</v>
      </c>
      <c r="CF16" s="1">
        <f>'in2'!CH16</f>
        <v>0</v>
      </c>
      <c r="CG16" s="1">
        <f>'in2'!CI16</f>
        <v>0</v>
      </c>
      <c r="CH16" s="1">
        <f>'in2'!CJ16</f>
        <v>1</v>
      </c>
      <c r="CI16" s="1">
        <f>'in2'!CK16</f>
        <v>0</v>
      </c>
      <c r="CJ16" s="1">
        <f>'in2'!CL16</f>
        <v>1</v>
      </c>
      <c r="CK16" s="12">
        <f t="shared" si="13"/>
        <v>3</v>
      </c>
      <c r="CL16" s="15">
        <f t="shared" si="10"/>
        <v>30</v>
      </c>
      <c r="CM16" s="65">
        <f>'in2'!CM16</f>
        <v>0</v>
      </c>
      <c r="CN16" s="17">
        <f t="shared" si="2"/>
        <v>0</v>
      </c>
      <c r="CO16" s="17">
        <f t="shared" si="3"/>
        <v>0</v>
      </c>
      <c r="CP16" s="1">
        <f>'in2'!CN16</f>
        <v>0</v>
      </c>
      <c r="CQ16" s="1">
        <f>'in2'!CO16</f>
        <v>0</v>
      </c>
      <c r="CR16" s="1">
        <f>'in2'!CP16</f>
        <v>1</v>
      </c>
      <c r="CS16" s="1">
        <f>'in2'!CQ16</f>
        <v>0</v>
      </c>
      <c r="CT16" s="1">
        <f>'in2'!CR16</f>
        <v>0</v>
      </c>
      <c r="CU16" s="1">
        <f>'in2'!CS16</f>
        <v>1</v>
      </c>
      <c r="CV16" s="1">
        <f>'in2'!CT16</f>
        <v>0</v>
      </c>
      <c r="CW16" s="1">
        <f>'in2'!CU16</f>
        <v>0</v>
      </c>
      <c r="CX16" s="1">
        <f>'in2'!CV16</f>
        <v>0</v>
      </c>
      <c r="CY16" s="1">
        <f>'in2'!CW16</f>
        <v>1</v>
      </c>
      <c r="CZ16" s="1">
        <f>'in2'!CX16</f>
        <v>0</v>
      </c>
      <c r="DA16" s="1">
        <f>'in2'!CY16</f>
        <v>0</v>
      </c>
      <c r="DB16" s="1">
        <f>'in2'!CZ16</f>
        <v>1</v>
      </c>
      <c r="DC16" s="1">
        <f>'in2'!DA16</f>
        <v>0</v>
      </c>
      <c r="DD16" s="1">
        <f>'in2'!DB16</f>
        <v>0</v>
      </c>
      <c r="DE16" s="1">
        <f>'in2'!DC16</f>
        <v>0</v>
      </c>
      <c r="DF16" s="1">
        <f>'in2'!DD16</f>
        <v>0</v>
      </c>
      <c r="DG16" s="1">
        <f>'in2'!DE16</f>
        <v>1</v>
      </c>
      <c r="DH16" s="1">
        <f>'in2'!DF16</f>
        <v>1</v>
      </c>
      <c r="DI16" s="1">
        <f>'in2'!DG16</f>
        <v>0</v>
      </c>
      <c r="DJ16" s="1">
        <f>'in2'!DH16</f>
        <v>0</v>
      </c>
      <c r="DK16" s="1">
        <f>'in2'!DI16</f>
        <v>0</v>
      </c>
      <c r="DL16" s="1">
        <f>'in2'!DJ16</f>
        <v>0</v>
      </c>
      <c r="DM16" s="1">
        <f>'in2'!DK16</f>
        <v>1</v>
      </c>
      <c r="DN16" s="1">
        <f>'in2'!DL16</f>
        <v>0</v>
      </c>
      <c r="DO16" s="1">
        <f>'in2'!DM16</f>
        <v>0</v>
      </c>
      <c r="DP16" s="1">
        <f>'in2'!DN16</f>
        <v>1</v>
      </c>
      <c r="DQ16" s="1">
        <f>'in2'!DO16</f>
        <v>1</v>
      </c>
      <c r="DR16" s="1">
        <f>'in2'!DP16</f>
        <v>0</v>
      </c>
      <c r="DS16" s="1">
        <f>'in2'!DQ16</f>
        <v>0</v>
      </c>
      <c r="DT16" s="1">
        <f>'in2'!DR16</f>
        <v>0</v>
      </c>
      <c r="DU16" s="1">
        <f>'in2'!DS16</f>
        <v>0</v>
      </c>
      <c r="DV16" s="1">
        <f>'in2'!DT16</f>
        <v>0</v>
      </c>
      <c r="DW16" s="1">
        <f>'in2'!DU16</f>
        <v>0</v>
      </c>
      <c r="DX16" s="1">
        <f>'in2'!DV16</f>
        <v>0</v>
      </c>
      <c r="DY16" s="1">
        <f>'in2'!DW16</f>
        <v>0</v>
      </c>
      <c r="DZ16" s="1">
        <f>'in2'!DX16</f>
        <v>0</v>
      </c>
      <c r="EA16" s="1">
        <f>'in2'!DY16</f>
        <v>0</v>
      </c>
      <c r="EB16" s="1">
        <f>'in2'!DZ16</f>
        <v>0</v>
      </c>
      <c r="EC16" s="1">
        <f>'in2'!EA16</f>
        <v>0</v>
      </c>
      <c r="ED16" s="1">
        <f>'in2'!EB16</f>
        <v>0</v>
      </c>
      <c r="EE16" s="1">
        <f>'in2'!EC16</f>
        <v>0</v>
      </c>
      <c r="EF16" s="1">
        <f>'in2'!ED16</f>
        <v>0</v>
      </c>
      <c r="EG16" s="1">
        <f>'in2'!EE16</f>
        <v>0</v>
      </c>
      <c r="EH16" s="1">
        <f>'in2'!EF16</f>
        <v>0</v>
      </c>
      <c r="EI16" s="1">
        <f>'in2'!EG16</f>
        <v>1</v>
      </c>
      <c r="EJ16" s="1">
        <f>'in2'!EH16</f>
        <v>0</v>
      </c>
      <c r="EK16" s="1">
        <f>'in2'!EI16</f>
        <v>0</v>
      </c>
      <c r="EL16" s="1">
        <f>'in2'!EJ16</f>
        <v>0</v>
      </c>
      <c r="EM16" s="1">
        <f>'in2'!EK16</f>
        <v>1</v>
      </c>
      <c r="EN16" s="1">
        <f>'in2'!EL16</f>
        <v>0</v>
      </c>
      <c r="EO16" s="1">
        <f>'in2'!EM16</f>
        <v>0</v>
      </c>
      <c r="EP16" s="1">
        <f>'in2'!EN16</f>
        <v>0</v>
      </c>
      <c r="EQ16" s="1">
        <f>'in2'!EO16</f>
        <v>1</v>
      </c>
      <c r="ER16" s="1">
        <f>'in2'!EP16</f>
        <v>0</v>
      </c>
      <c r="ES16" s="6">
        <f t="shared" si="12"/>
        <v>12</v>
      </c>
      <c r="ET16" s="7">
        <f t="shared" si="11"/>
        <v>21.818181818181817</v>
      </c>
    </row>
    <row r="17" spans="1:150" x14ac:dyDescent="0.35">
      <c r="A17" s="43" t="str">
        <f>in!D17</f>
        <v xml:space="preserve">FLOREZ HERNANDEZ BRAYAN ANDRES  </v>
      </c>
      <c r="B17" s="43">
        <f>in!E17</f>
        <v>5850</v>
      </c>
      <c r="C17" s="1">
        <f>'in2'!M17</f>
        <v>0</v>
      </c>
      <c r="D17" s="1">
        <f>'in2'!N17</f>
        <v>0</v>
      </c>
      <c r="E17" s="1">
        <f>'in2'!O17</f>
        <v>0</v>
      </c>
      <c r="F17" s="1">
        <f>'in2'!P17</f>
        <v>0</v>
      </c>
      <c r="G17" s="1">
        <f>'in2'!Q17</f>
        <v>0</v>
      </c>
      <c r="H17" s="1">
        <f>'in2'!R17</f>
        <v>0</v>
      </c>
      <c r="I17" s="1">
        <f>'in2'!S17</f>
        <v>0</v>
      </c>
      <c r="J17" s="1">
        <f>'in2'!T17</f>
        <v>1</v>
      </c>
      <c r="K17" s="1">
        <f>'in2'!U17</f>
        <v>1</v>
      </c>
      <c r="L17" s="1">
        <f>'in2'!V17</f>
        <v>0</v>
      </c>
      <c r="M17" s="1">
        <f>'in2'!W17</f>
        <v>0</v>
      </c>
      <c r="N17" s="1">
        <f>'in2'!X17</f>
        <v>0</v>
      </c>
      <c r="O17" s="1">
        <f>'in2'!Y17</f>
        <v>1</v>
      </c>
      <c r="P17" s="1">
        <f>'in2'!Z17</f>
        <v>0</v>
      </c>
      <c r="Q17" s="1">
        <f>'in2'!AA17</f>
        <v>0</v>
      </c>
      <c r="R17" s="1">
        <f>'in2'!AB17</f>
        <v>0</v>
      </c>
      <c r="S17" s="1">
        <f>'in2'!AC17</f>
        <v>0</v>
      </c>
      <c r="T17" s="1">
        <f>'in2'!AD17</f>
        <v>0</v>
      </c>
      <c r="U17" s="1">
        <f>'in2'!AE17</f>
        <v>1</v>
      </c>
      <c r="V17" s="1">
        <f>'in2'!AF17</f>
        <v>0</v>
      </c>
      <c r="W17" s="1">
        <f>'in2'!AG17</f>
        <v>1</v>
      </c>
      <c r="X17" s="1">
        <f>'in2'!AH17</f>
        <v>0</v>
      </c>
      <c r="Y17" s="1">
        <f>'in2'!AI17</f>
        <v>1</v>
      </c>
      <c r="Z17" s="1">
        <f>'in2'!AJ17</f>
        <v>0</v>
      </c>
      <c r="AA17" s="1">
        <f>'in2'!AK17</f>
        <v>1</v>
      </c>
      <c r="AB17" s="5">
        <f t="shared" si="4"/>
        <v>7</v>
      </c>
      <c r="AC17" s="5">
        <f t="shared" si="5"/>
        <v>28</v>
      </c>
      <c r="AD17" s="1">
        <f>'in2'!AL17</f>
        <v>1</v>
      </c>
      <c r="AE17" s="1">
        <f>'in2'!AM17</f>
        <v>1</v>
      </c>
      <c r="AF17" s="1">
        <f>'in2'!AN17</f>
        <v>0</v>
      </c>
      <c r="AG17" s="1">
        <f>'in2'!AO17</f>
        <v>1</v>
      </c>
      <c r="AH17" s="1">
        <f>'in2'!AP17</f>
        <v>0</v>
      </c>
      <c r="AI17" s="1">
        <f>'in2'!AQ17</f>
        <v>0</v>
      </c>
      <c r="AJ17" s="1">
        <f>'in2'!AR17</f>
        <v>0</v>
      </c>
      <c r="AK17" s="1">
        <f>'in2'!AS17</f>
        <v>1</v>
      </c>
      <c r="AL17" s="1">
        <f>'in2'!AT17</f>
        <v>0</v>
      </c>
      <c r="AM17" s="1">
        <f>'in2'!AU17</f>
        <v>0</v>
      </c>
      <c r="AN17" s="1">
        <f>'in2'!AV17</f>
        <v>0</v>
      </c>
      <c r="AO17" s="1">
        <f>'in2'!AW17</f>
        <v>0</v>
      </c>
      <c r="AP17" s="1">
        <f>'in2'!AX17</f>
        <v>1</v>
      </c>
      <c r="AQ17" s="1">
        <f>'in2'!AY17</f>
        <v>0</v>
      </c>
      <c r="AR17" s="1">
        <f>'in2'!AZ17</f>
        <v>1</v>
      </c>
      <c r="AS17" s="1">
        <f>'in2'!BA17</f>
        <v>0</v>
      </c>
      <c r="AT17" s="1">
        <f>'in2'!BB17</f>
        <v>0</v>
      </c>
      <c r="AU17" s="1">
        <f>'in2'!BC17</f>
        <v>0</v>
      </c>
      <c r="AV17" s="1">
        <f>'in2'!BD17</f>
        <v>1</v>
      </c>
      <c r="AW17" s="1">
        <f>'in2'!BE17</f>
        <v>0</v>
      </c>
      <c r="AX17" s="1">
        <f>'in2'!BF17</f>
        <v>0</v>
      </c>
      <c r="AY17" s="1">
        <f>'in2'!BG17</f>
        <v>0</v>
      </c>
      <c r="AZ17" s="1">
        <f>'in2'!BH17</f>
        <v>0</v>
      </c>
      <c r="BA17" s="1">
        <f>'in2'!BI17</f>
        <v>0</v>
      </c>
      <c r="BB17" s="1">
        <f>'in2'!BJ17</f>
        <v>0</v>
      </c>
      <c r="BC17" s="3">
        <f t="shared" si="6"/>
        <v>7</v>
      </c>
      <c r="BD17" s="3">
        <f t="shared" si="7"/>
        <v>28</v>
      </c>
      <c r="BE17" s="1">
        <f>'in2'!BK17</f>
        <v>0</v>
      </c>
      <c r="BF17" s="1">
        <f>'in2'!BL17</f>
        <v>0</v>
      </c>
      <c r="BG17" s="1">
        <f>'in2'!BM17</f>
        <v>1</v>
      </c>
      <c r="BH17" s="1">
        <f>'in2'!BN17</f>
        <v>0</v>
      </c>
      <c r="BI17" s="1">
        <f>'in2'!BO17</f>
        <v>1</v>
      </c>
      <c r="BJ17" s="13">
        <f t="shared" si="0"/>
        <v>2</v>
      </c>
      <c r="BK17" s="14">
        <f t="shared" si="1"/>
        <v>40</v>
      </c>
      <c r="BL17" s="1">
        <f>'in2'!BP17</f>
        <v>0</v>
      </c>
      <c r="BM17" s="1">
        <f>'in2'!BQ17</f>
        <v>1</v>
      </c>
      <c r="BN17" s="1">
        <f>'in2'!BR17</f>
        <v>1</v>
      </c>
      <c r="BO17" s="1">
        <f>'in2'!BS17</f>
        <v>0</v>
      </c>
      <c r="BP17" s="1">
        <f>'in2'!BT17</f>
        <v>1</v>
      </c>
      <c r="BQ17" s="1">
        <f>'in2'!BU17</f>
        <v>1</v>
      </c>
      <c r="BR17" s="1">
        <f>'in2'!BV17</f>
        <v>0</v>
      </c>
      <c r="BS17" s="1">
        <f>'in2'!BW17</f>
        <v>0</v>
      </c>
      <c r="BT17" s="1">
        <f>'in2'!BX17</f>
        <v>0</v>
      </c>
      <c r="BU17" s="1">
        <f>'in2'!BY17</f>
        <v>0</v>
      </c>
      <c r="BV17" s="1">
        <f>'in2'!BZ17</f>
        <v>0</v>
      </c>
      <c r="BW17" s="1">
        <f>'in2'!CA17</f>
        <v>0</v>
      </c>
      <c r="BX17" s="1">
        <f>'in2'!CB17</f>
        <v>0</v>
      </c>
      <c r="BY17" s="11">
        <f t="shared" si="8"/>
        <v>4</v>
      </c>
      <c r="BZ17" s="16">
        <f t="shared" si="9"/>
        <v>30.76923076923077</v>
      </c>
      <c r="CA17" s="1">
        <f>'in2'!CC17</f>
        <v>1</v>
      </c>
      <c r="CB17" s="1">
        <f>'in2'!CD17</f>
        <v>1</v>
      </c>
      <c r="CC17" s="1">
        <f>'in2'!CE17</f>
        <v>0</v>
      </c>
      <c r="CD17" s="1">
        <f>'in2'!CF17</f>
        <v>0</v>
      </c>
      <c r="CE17" s="1">
        <f>'in2'!CG17</f>
        <v>0</v>
      </c>
      <c r="CF17" s="1">
        <f>'in2'!CH17</f>
        <v>1</v>
      </c>
      <c r="CG17" s="1">
        <f>'in2'!CI17</f>
        <v>0</v>
      </c>
      <c r="CH17" s="1">
        <f>'in2'!CJ17</f>
        <v>1</v>
      </c>
      <c r="CI17" s="1">
        <f>'in2'!CK17</f>
        <v>0</v>
      </c>
      <c r="CJ17" s="1">
        <f>'in2'!CL17</f>
        <v>0</v>
      </c>
      <c r="CK17" s="12">
        <f t="shared" si="13"/>
        <v>4</v>
      </c>
      <c r="CL17" s="15">
        <f t="shared" si="10"/>
        <v>40</v>
      </c>
      <c r="CM17" s="65">
        <f>'in2'!CM17</f>
        <v>1</v>
      </c>
      <c r="CN17" s="17">
        <f t="shared" si="2"/>
        <v>1</v>
      </c>
      <c r="CO17" s="17">
        <f t="shared" si="3"/>
        <v>100</v>
      </c>
      <c r="CP17" s="1">
        <f>'in2'!CN17</f>
        <v>1</v>
      </c>
      <c r="CQ17" s="1">
        <f>'in2'!CO17</f>
        <v>1</v>
      </c>
      <c r="CR17" s="1">
        <f>'in2'!CP17</f>
        <v>1</v>
      </c>
      <c r="CS17" s="1">
        <f>'in2'!CQ17</f>
        <v>0</v>
      </c>
      <c r="CT17" s="1">
        <f>'in2'!CR17</f>
        <v>0</v>
      </c>
      <c r="CU17" s="1">
        <f>'in2'!CS17</f>
        <v>1</v>
      </c>
      <c r="CV17" s="1">
        <f>'in2'!CT17</f>
        <v>0</v>
      </c>
      <c r="CW17" s="1">
        <f>'in2'!CU17</f>
        <v>0</v>
      </c>
      <c r="CX17" s="1">
        <f>'in2'!CV17</f>
        <v>0</v>
      </c>
      <c r="CY17" s="1">
        <f>'in2'!CW17</f>
        <v>1</v>
      </c>
      <c r="CZ17" s="1">
        <f>'in2'!CX17</f>
        <v>0</v>
      </c>
      <c r="DA17" s="1">
        <f>'in2'!CY17</f>
        <v>0</v>
      </c>
      <c r="DB17" s="1">
        <f>'in2'!CZ17</f>
        <v>0</v>
      </c>
      <c r="DC17" s="1">
        <f>'in2'!DA17</f>
        <v>0</v>
      </c>
      <c r="DD17" s="1">
        <f>'in2'!DB17</f>
        <v>0</v>
      </c>
      <c r="DE17" s="1">
        <f>'in2'!DC17</f>
        <v>0</v>
      </c>
      <c r="DF17" s="1">
        <f>'in2'!DD17</f>
        <v>1</v>
      </c>
      <c r="DG17" s="1">
        <f>'in2'!DE17</f>
        <v>0</v>
      </c>
      <c r="DH17" s="1">
        <f>'in2'!DF17</f>
        <v>1</v>
      </c>
      <c r="DI17" s="1">
        <f>'in2'!DG17</f>
        <v>0</v>
      </c>
      <c r="DJ17" s="1">
        <f>'in2'!DH17</f>
        <v>1</v>
      </c>
      <c r="DK17" s="1">
        <f>'in2'!DI17</f>
        <v>0</v>
      </c>
      <c r="DL17" s="1">
        <f>'in2'!DJ17</f>
        <v>0</v>
      </c>
      <c r="DM17" s="1">
        <f>'in2'!DK17</f>
        <v>0</v>
      </c>
      <c r="DN17" s="1">
        <f>'in2'!DL17</f>
        <v>1</v>
      </c>
      <c r="DO17" s="1">
        <f>'in2'!DM17</f>
        <v>1</v>
      </c>
      <c r="DP17" s="1">
        <f>'in2'!DN17</f>
        <v>1</v>
      </c>
      <c r="DQ17" s="1">
        <f>'in2'!DO17</f>
        <v>0</v>
      </c>
      <c r="DR17" s="1">
        <f>'in2'!DP17</f>
        <v>1</v>
      </c>
      <c r="DS17" s="1">
        <f>'in2'!DQ17</f>
        <v>1</v>
      </c>
      <c r="DT17" s="1">
        <f>'in2'!DR17</f>
        <v>1</v>
      </c>
      <c r="DU17" s="1">
        <f>'in2'!DS17</f>
        <v>0</v>
      </c>
      <c r="DV17" s="1">
        <f>'in2'!DT17</f>
        <v>0</v>
      </c>
      <c r="DW17" s="1">
        <f>'in2'!DU17</f>
        <v>1</v>
      </c>
      <c r="DX17" s="1">
        <f>'in2'!DV17</f>
        <v>1</v>
      </c>
      <c r="DY17" s="1">
        <f>'in2'!DW17</f>
        <v>0</v>
      </c>
      <c r="DZ17" s="1">
        <f>'in2'!DX17</f>
        <v>1</v>
      </c>
      <c r="EA17" s="1">
        <f>'in2'!DY17</f>
        <v>1</v>
      </c>
      <c r="EB17" s="1">
        <f>'in2'!DZ17</f>
        <v>0</v>
      </c>
      <c r="EC17" s="1">
        <f>'in2'!EA17</f>
        <v>0</v>
      </c>
      <c r="ED17" s="1">
        <f>'in2'!EB17</f>
        <v>0</v>
      </c>
      <c r="EE17" s="1">
        <f>'in2'!EC17</f>
        <v>0</v>
      </c>
      <c r="EF17" s="1">
        <f>'in2'!ED17</f>
        <v>1</v>
      </c>
      <c r="EG17" s="1">
        <f>'in2'!EE17</f>
        <v>0</v>
      </c>
      <c r="EH17" s="1">
        <f>'in2'!EF17</f>
        <v>0</v>
      </c>
      <c r="EI17" s="1">
        <f>'in2'!EG17</f>
        <v>0</v>
      </c>
      <c r="EJ17" s="1">
        <f>'in2'!EH17</f>
        <v>0</v>
      </c>
      <c r="EK17" s="1">
        <f>'in2'!EI17</f>
        <v>0</v>
      </c>
      <c r="EL17" s="1">
        <f>'in2'!EJ17</f>
        <v>0</v>
      </c>
      <c r="EM17" s="1">
        <f>'in2'!EK17</f>
        <v>1</v>
      </c>
      <c r="EN17" s="1">
        <f>'in2'!EL17</f>
        <v>0</v>
      </c>
      <c r="EO17" s="1">
        <f>'in2'!EM17</f>
        <v>0</v>
      </c>
      <c r="EP17" s="1">
        <f>'in2'!EN17</f>
        <v>0</v>
      </c>
      <c r="EQ17" s="1">
        <f>'in2'!EO17</f>
        <v>1</v>
      </c>
      <c r="ER17" s="1">
        <f>'in2'!EP17</f>
        <v>0</v>
      </c>
      <c r="ES17" s="6">
        <f t="shared" si="12"/>
        <v>21</v>
      </c>
      <c r="ET17" s="7">
        <f t="shared" si="11"/>
        <v>38.18181818181818</v>
      </c>
    </row>
    <row r="18" spans="1:150" x14ac:dyDescent="0.35">
      <c r="A18" s="43" t="str">
        <f>in!D18</f>
        <v xml:space="preserve">LOZANO BENITEZ HECTOR DAVID  </v>
      </c>
      <c r="B18" s="43">
        <f>in!E18</f>
        <v>5806</v>
      </c>
      <c r="C18" s="1">
        <f>'in2'!M18</f>
        <v>1</v>
      </c>
      <c r="D18" s="1">
        <f>'in2'!N18</f>
        <v>0</v>
      </c>
      <c r="E18" s="1">
        <f>'in2'!O18</f>
        <v>1</v>
      </c>
      <c r="F18" s="1">
        <f>'in2'!P18</f>
        <v>0</v>
      </c>
      <c r="G18" s="1">
        <f>'in2'!Q18</f>
        <v>0</v>
      </c>
      <c r="H18" s="1">
        <f>'in2'!R18</f>
        <v>0</v>
      </c>
      <c r="I18" s="1">
        <f>'in2'!S18</f>
        <v>0</v>
      </c>
      <c r="J18" s="1">
        <f>'in2'!T18</f>
        <v>0</v>
      </c>
      <c r="K18" s="1">
        <f>'in2'!U18</f>
        <v>0</v>
      </c>
      <c r="L18" s="1">
        <f>'in2'!V18</f>
        <v>0</v>
      </c>
      <c r="M18" s="1">
        <f>'in2'!W18</f>
        <v>0</v>
      </c>
      <c r="N18" s="1">
        <f>'in2'!X18</f>
        <v>0</v>
      </c>
      <c r="O18" s="1">
        <f>'in2'!Y18</f>
        <v>0</v>
      </c>
      <c r="P18" s="1">
        <f>'in2'!Z18</f>
        <v>0</v>
      </c>
      <c r="Q18" s="1">
        <f>'in2'!AA18</f>
        <v>0</v>
      </c>
      <c r="R18" s="1">
        <f>'in2'!AB18</f>
        <v>0</v>
      </c>
      <c r="S18" s="1">
        <f>'in2'!AC18</f>
        <v>0</v>
      </c>
      <c r="T18" s="1">
        <f>'in2'!AD18</f>
        <v>0</v>
      </c>
      <c r="U18" s="1">
        <f>'in2'!AE18</f>
        <v>0</v>
      </c>
      <c r="V18" s="1">
        <f>'in2'!AF18</f>
        <v>0</v>
      </c>
      <c r="W18" s="1">
        <f>'in2'!AG18</f>
        <v>0</v>
      </c>
      <c r="X18" s="1">
        <f>'in2'!AH18</f>
        <v>0</v>
      </c>
      <c r="Y18" s="1">
        <f>'in2'!AI18</f>
        <v>0</v>
      </c>
      <c r="Z18" s="1">
        <f>'in2'!AJ18</f>
        <v>0</v>
      </c>
      <c r="AA18" s="1">
        <f>'in2'!AK18</f>
        <v>1</v>
      </c>
      <c r="AB18" s="5">
        <f t="shared" si="4"/>
        <v>3</v>
      </c>
      <c r="AC18" s="5">
        <f t="shared" si="5"/>
        <v>12</v>
      </c>
      <c r="AD18" s="1">
        <f>'in2'!AL18</f>
        <v>1</v>
      </c>
      <c r="AE18" s="1">
        <f>'in2'!AM18</f>
        <v>0</v>
      </c>
      <c r="AF18" s="1">
        <f>'in2'!AN18</f>
        <v>0</v>
      </c>
      <c r="AG18" s="1">
        <f>'in2'!AO18</f>
        <v>1</v>
      </c>
      <c r="AH18" s="1">
        <f>'in2'!AP18</f>
        <v>0</v>
      </c>
      <c r="AI18" s="1">
        <f>'in2'!AQ18</f>
        <v>0</v>
      </c>
      <c r="AJ18" s="1">
        <f>'in2'!AR18</f>
        <v>0</v>
      </c>
      <c r="AK18" s="1">
        <f>'in2'!AS18</f>
        <v>1</v>
      </c>
      <c r="AL18" s="1">
        <f>'in2'!AT18</f>
        <v>0</v>
      </c>
      <c r="AM18" s="1">
        <f>'in2'!AU18</f>
        <v>0</v>
      </c>
      <c r="AN18" s="1">
        <f>'in2'!AV18</f>
        <v>0</v>
      </c>
      <c r="AO18" s="1">
        <f>'in2'!AW18</f>
        <v>1</v>
      </c>
      <c r="AP18" s="1">
        <f>'in2'!AX18</f>
        <v>1</v>
      </c>
      <c r="AQ18" s="1">
        <f>'in2'!AY18</f>
        <v>0</v>
      </c>
      <c r="AR18" s="1">
        <f>'in2'!AZ18</f>
        <v>0</v>
      </c>
      <c r="AS18" s="1">
        <f>'in2'!BA18</f>
        <v>0</v>
      </c>
      <c r="AT18" s="1">
        <f>'in2'!BB18</f>
        <v>0</v>
      </c>
      <c r="AU18" s="1">
        <f>'in2'!BC18</f>
        <v>0</v>
      </c>
      <c r="AV18" s="1">
        <f>'in2'!BD18</f>
        <v>0</v>
      </c>
      <c r="AW18" s="1">
        <f>'in2'!BE18</f>
        <v>0</v>
      </c>
      <c r="AX18" s="1">
        <f>'in2'!BF18</f>
        <v>0</v>
      </c>
      <c r="AY18" s="1">
        <f>'in2'!BG18</f>
        <v>0</v>
      </c>
      <c r="AZ18" s="1">
        <f>'in2'!BH18</f>
        <v>0</v>
      </c>
      <c r="BA18" s="1">
        <f>'in2'!BI18</f>
        <v>1</v>
      </c>
      <c r="BB18" s="1">
        <f>'in2'!BJ18</f>
        <v>0</v>
      </c>
      <c r="BC18" s="3">
        <f t="shared" si="6"/>
        <v>6</v>
      </c>
      <c r="BD18" s="3">
        <f t="shared" si="7"/>
        <v>24</v>
      </c>
      <c r="BE18" s="1">
        <f>'in2'!BK18</f>
        <v>1</v>
      </c>
      <c r="BF18" s="1">
        <f>'in2'!BL18</f>
        <v>0</v>
      </c>
      <c r="BG18" s="1">
        <f>'in2'!BM18</f>
        <v>1</v>
      </c>
      <c r="BH18" s="1">
        <f>'in2'!BN18</f>
        <v>0</v>
      </c>
      <c r="BI18" s="1">
        <f>'in2'!BO18</f>
        <v>0</v>
      </c>
      <c r="BJ18" s="13">
        <f t="shared" si="0"/>
        <v>2</v>
      </c>
      <c r="BK18" s="14">
        <f t="shared" si="1"/>
        <v>40</v>
      </c>
      <c r="BL18" s="1">
        <f>'in2'!BP18</f>
        <v>0</v>
      </c>
      <c r="BM18" s="1">
        <f>'in2'!BQ18</f>
        <v>1</v>
      </c>
      <c r="BN18" s="1">
        <f>'in2'!BR18</f>
        <v>0</v>
      </c>
      <c r="BO18" s="1">
        <f>'in2'!BS18</f>
        <v>1</v>
      </c>
      <c r="BP18" s="1">
        <f>'in2'!BT18</f>
        <v>0</v>
      </c>
      <c r="BQ18" s="1">
        <f>'in2'!BU18</f>
        <v>0</v>
      </c>
      <c r="BR18" s="1">
        <f>'in2'!BV18</f>
        <v>1</v>
      </c>
      <c r="BS18" s="1">
        <f>'in2'!BW18</f>
        <v>0</v>
      </c>
      <c r="BT18" s="1">
        <f>'in2'!BX18</f>
        <v>0</v>
      </c>
      <c r="BU18" s="1">
        <f>'in2'!BY18</f>
        <v>0</v>
      </c>
      <c r="BV18" s="1">
        <f>'in2'!BZ18</f>
        <v>0</v>
      </c>
      <c r="BW18" s="1">
        <f>'in2'!CA18</f>
        <v>0</v>
      </c>
      <c r="BX18" s="1">
        <f>'in2'!CB18</f>
        <v>1</v>
      </c>
      <c r="BY18" s="11">
        <f t="shared" si="8"/>
        <v>4</v>
      </c>
      <c r="BZ18" s="16">
        <f t="shared" si="9"/>
        <v>30.76923076923077</v>
      </c>
      <c r="CA18" s="1">
        <f>'in2'!CC18</f>
        <v>1</v>
      </c>
      <c r="CB18" s="1">
        <f>'in2'!CD18</f>
        <v>1</v>
      </c>
      <c r="CC18" s="1">
        <f>'in2'!CE18</f>
        <v>1</v>
      </c>
      <c r="CD18" s="1">
        <f>'in2'!CF18</f>
        <v>1</v>
      </c>
      <c r="CE18" s="1">
        <f>'in2'!CG18</f>
        <v>1</v>
      </c>
      <c r="CF18" s="1">
        <f>'in2'!CH18</f>
        <v>0</v>
      </c>
      <c r="CG18" s="1">
        <f>'in2'!CI18</f>
        <v>1</v>
      </c>
      <c r="CH18" s="1">
        <f>'in2'!CJ18</f>
        <v>0</v>
      </c>
      <c r="CI18" s="1">
        <f>'in2'!CK18</f>
        <v>0</v>
      </c>
      <c r="CJ18" s="1">
        <f>'in2'!CL18</f>
        <v>0</v>
      </c>
      <c r="CK18" s="12">
        <f t="shared" si="13"/>
        <v>6</v>
      </c>
      <c r="CL18" s="15">
        <f t="shared" si="10"/>
        <v>60</v>
      </c>
      <c r="CM18" s="65">
        <f>'in2'!CM18</f>
        <v>1</v>
      </c>
      <c r="CN18" s="17">
        <f t="shared" si="2"/>
        <v>1</v>
      </c>
      <c r="CO18" s="17">
        <f t="shared" si="3"/>
        <v>100</v>
      </c>
      <c r="CP18" s="1">
        <f>'in2'!CN18</f>
        <v>0</v>
      </c>
      <c r="CQ18" s="1">
        <f>'in2'!CO18</f>
        <v>0</v>
      </c>
      <c r="CR18" s="1">
        <f>'in2'!CP18</f>
        <v>0</v>
      </c>
      <c r="CS18" s="1">
        <f>'in2'!CQ18</f>
        <v>0</v>
      </c>
      <c r="CT18" s="1">
        <f>'in2'!CR18</f>
        <v>0</v>
      </c>
      <c r="CU18" s="1">
        <f>'in2'!CS18</f>
        <v>1</v>
      </c>
      <c r="CV18" s="1">
        <f>'in2'!CT18</f>
        <v>0</v>
      </c>
      <c r="CW18" s="1">
        <f>'in2'!CU18</f>
        <v>0</v>
      </c>
      <c r="CX18" s="1">
        <f>'in2'!CV18</f>
        <v>1</v>
      </c>
      <c r="CY18" s="1">
        <f>'in2'!CW18</f>
        <v>1</v>
      </c>
      <c r="CZ18" s="1">
        <f>'in2'!CX18</f>
        <v>0</v>
      </c>
      <c r="DA18" s="1">
        <f>'in2'!CY18</f>
        <v>1</v>
      </c>
      <c r="DB18" s="1">
        <f>'in2'!CZ18</f>
        <v>0</v>
      </c>
      <c r="DC18" s="1">
        <f>'in2'!DA18</f>
        <v>0</v>
      </c>
      <c r="DD18" s="1">
        <f>'in2'!DB18</f>
        <v>0</v>
      </c>
      <c r="DE18" s="1">
        <f>'in2'!DC18</f>
        <v>0</v>
      </c>
      <c r="DF18" s="1">
        <f>'in2'!DD18</f>
        <v>0</v>
      </c>
      <c r="DG18" s="1">
        <f>'in2'!DE18</f>
        <v>1</v>
      </c>
      <c r="DH18" s="1">
        <f>'in2'!DF18</f>
        <v>0</v>
      </c>
      <c r="DI18" s="1">
        <f>'in2'!DG18</f>
        <v>0</v>
      </c>
      <c r="DJ18" s="1">
        <f>'in2'!DH18</f>
        <v>1</v>
      </c>
      <c r="DK18" s="1">
        <f>'in2'!DI18</f>
        <v>1</v>
      </c>
      <c r="DL18" s="1">
        <f>'in2'!DJ18</f>
        <v>0</v>
      </c>
      <c r="DM18" s="1">
        <f>'in2'!DK18</f>
        <v>0</v>
      </c>
      <c r="DN18" s="1">
        <f>'in2'!DL18</f>
        <v>1</v>
      </c>
      <c r="DO18" s="1">
        <f>'in2'!DM18</f>
        <v>0</v>
      </c>
      <c r="DP18" s="1">
        <f>'in2'!DN18</f>
        <v>0</v>
      </c>
      <c r="DQ18" s="1">
        <f>'in2'!DO18</f>
        <v>0</v>
      </c>
      <c r="DR18" s="1">
        <f>'in2'!DP18</f>
        <v>1</v>
      </c>
      <c r="DS18" s="1">
        <f>'in2'!DQ18</f>
        <v>0</v>
      </c>
      <c r="DT18" s="1">
        <f>'in2'!DR18</f>
        <v>0</v>
      </c>
      <c r="DU18" s="1">
        <f>'in2'!DS18</f>
        <v>0</v>
      </c>
      <c r="DV18" s="1">
        <f>'in2'!DT18</f>
        <v>0</v>
      </c>
      <c r="DW18" s="1">
        <f>'in2'!DU18</f>
        <v>1</v>
      </c>
      <c r="DX18" s="1">
        <f>'in2'!DV18</f>
        <v>1</v>
      </c>
      <c r="DY18" s="1">
        <f>'in2'!DW18</f>
        <v>1</v>
      </c>
      <c r="DZ18" s="1">
        <f>'in2'!DX18</f>
        <v>1</v>
      </c>
      <c r="EA18" s="1">
        <f>'in2'!DY18</f>
        <v>0</v>
      </c>
      <c r="EB18" s="1">
        <f>'in2'!DZ18</f>
        <v>0</v>
      </c>
      <c r="EC18" s="1">
        <f>'in2'!EA18</f>
        <v>0</v>
      </c>
      <c r="ED18" s="1">
        <f>'in2'!EB18</f>
        <v>0</v>
      </c>
      <c r="EE18" s="1">
        <f>'in2'!EC18</f>
        <v>0</v>
      </c>
      <c r="EF18" s="1">
        <f>'in2'!ED18</f>
        <v>1</v>
      </c>
      <c r="EG18" s="1">
        <f>'in2'!EE18</f>
        <v>0</v>
      </c>
      <c r="EH18" s="1">
        <f>'in2'!EF18</f>
        <v>0</v>
      </c>
      <c r="EI18" s="1">
        <f>'in2'!EG18</f>
        <v>0</v>
      </c>
      <c r="EJ18" s="1">
        <f>'in2'!EH18</f>
        <v>0</v>
      </c>
      <c r="EK18" s="1">
        <f>'in2'!EI18</f>
        <v>0</v>
      </c>
      <c r="EL18" s="1">
        <f>'in2'!EJ18</f>
        <v>0</v>
      </c>
      <c r="EM18" s="1">
        <f>'in2'!EK18</f>
        <v>0</v>
      </c>
      <c r="EN18" s="1">
        <f>'in2'!EL18</f>
        <v>0</v>
      </c>
      <c r="EO18" s="1">
        <f>'in2'!EM18</f>
        <v>1</v>
      </c>
      <c r="EP18" s="1">
        <f>'in2'!EN18</f>
        <v>1</v>
      </c>
      <c r="EQ18" s="1">
        <f>'in2'!EO18</f>
        <v>1</v>
      </c>
      <c r="ER18" s="1">
        <f>'in2'!EP18</f>
        <v>1</v>
      </c>
      <c r="ES18" s="6">
        <f t="shared" si="12"/>
        <v>18</v>
      </c>
      <c r="ET18" s="7">
        <f t="shared" si="11"/>
        <v>32.727272727272727</v>
      </c>
    </row>
    <row r="19" spans="1:150" x14ac:dyDescent="0.35">
      <c r="A19" s="43" t="str">
        <f>in!D19</f>
        <v xml:space="preserve">MACHADO CARVAJAL YANDRI VANESSA  </v>
      </c>
      <c r="B19" s="43">
        <f>in!E19</f>
        <v>5807</v>
      </c>
      <c r="C19" s="1">
        <f>'in2'!M19</f>
        <v>1</v>
      </c>
      <c r="D19" s="1">
        <f>'in2'!N19</f>
        <v>0</v>
      </c>
      <c r="E19" s="1">
        <f>'in2'!O19</f>
        <v>1</v>
      </c>
      <c r="F19" s="1">
        <f>'in2'!P19</f>
        <v>1</v>
      </c>
      <c r="G19" s="1">
        <f>'in2'!Q19</f>
        <v>0</v>
      </c>
      <c r="H19" s="1">
        <f>'in2'!R19</f>
        <v>0</v>
      </c>
      <c r="I19" s="1">
        <f>'in2'!S19</f>
        <v>1</v>
      </c>
      <c r="J19" s="1">
        <f>'in2'!T19</f>
        <v>0</v>
      </c>
      <c r="K19" s="1">
        <f>'in2'!U19</f>
        <v>1</v>
      </c>
      <c r="L19" s="1">
        <f>'in2'!V19</f>
        <v>0</v>
      </c>
      <c r="M19" s="1">
        <f>'in2'!W19</f>
        <v>0</v>
      </c>
      <c r="N19" s="1">
        <f>'in2'!X19</f>
        <v>0</v>
      </c>
      <c r="O19" s="1">
        <f>'in2'!Y19</f>
        <v>0</v>
      </c>
      <c r="P19" s="1">
        <f>'in2'!Z19</f>
        <v>0</v>
      </c>
      <c r="Q19" s="1">
        <f>'in2'!AA19</f>
        <v>0</v>
      </c>
      <c r="R19" s="1">
        <f>'in2'!AB19</f>
        <v>0</v>
      </c>
      <c r="S19" s="1">
        <f>'in2'!AC19</f>
        <v>1</v>
      </c>
      <c r="T19" s="1">
        <f>'in2'!AD19</f>
        <v>0</v>
      </c>
      <c r="U19" s="1">
        <f>'in2'!AE19</f>
        <v>0</v>
      </c>
      <c r="V19" s="1">
        <f>'in2'!AF19</f>
        <v>1</v>
      </c>
      <c r="W19" s="1">
        <f>'in2'!AG19</f>
        <v>1</v>
      </c>
      <c r="X19" s="1">
        <f>'in2'!AH19</f>
        <v>0</v>
      </c>
      <c r="Y19" s="1">
        <f>'in2'!AI19</f>
        <v>1</v>
      </c>
      <c r="Z19" s="1">
        <f>'in2'!AJ19</f>
        <v>0</v>
      </c>
      <c r="AA19" s="1">
        <f>'in2'!AK19</f>
        <v>1</v>
      </c>
      <c r="AB19" s="5">
        <f t="shared" si="4"/>
        <v>10</v>
      </c>
      <c r="AC19" s="5">
        <f t="shared" si="5"/>
        <v>40</v>
      </c>
      <c r="AD19" s="1">
        <f>'in2'!AL19</f>
        <v>0</v>
      </c>
      <c r="AE19" s="1">
        <f>'in2'!AM19</f>
        <v>0</v>
      </c>
      <c r="AF19" s="1">
        <f>'in2'!AN19</f>
        <v>0</v>
      </c>
      <c r="AG19" s="1">
        <f>'in2'!AO19</f>
        <v>1</v>
      </c>
      <c r="AH19" s="1">
        <f>'in2'!AP19</f>
        <v>1</v>
      </c>
      <c r="AI19" s="1">
        <f>'in2'!AQ19</f>
        <v>0</v>
      </c>
      <c r="AJ19" s="1">
        <f>'in2'!AR19</f>
        <v>1</v>
      </c>
      <c r="AK19" s="1">
        <f>'in2'!AS19</f>
        <v>0</v>
      </c>
      <c r="AL19" s="1">
        <f>'in2'!AT19</f>
        <v>0</v>
      </c>
      <c r="AM19" s="1">
        <f>'in2'!AU19</f>
        <v>1</v>
      </c>
      <c r="AN19" s="1">
        <f>'in2'!AV19</f>
        <v>1</v>
      </c>
      <c r="AO19" s="1">
        <f>'in2'!AW19</f>
        <v>0</v>
      </c>
      <c r="AP19" s="1">
        <f>'in2'!AX19</f>
        <v>1</v>
      </c>
      <c r="AQ19" s="1">
        <f>'in2'!AY19</f>
        <v>1</v>
      </c>
      <c r="AR19" s="1">
        <f>'in2'!AZ19</f>
        <v>0</v>
      </c>
      <c r="AS19" s="1">
        <f>'in2'!BA19</f>
        <v>0</v>
      </c>
      <c r="AT19" s="1">
        <f>'in2'!BB19</f>
        <v>0</v>
      </c>
      <c r="AU19" s="1">
        <f>'in2'!BC19</f>
        <v>0</v>
      </c>
      <c r="AV19" s="1">
        <f>'in2'!BD19</f>
        <v>1</v>
      </c>
      <c r="AW19" s="1">
        <f>'in2'!BE19</f>
        <v>0</v>
      </c>
      <c r="AX19" s="1">
        <f>'in2'!BF19</f>
        <v>0</v>
      </c>
      <c r="AY19" s="1">
        <f>'in2'!BG19</f>
        <v>0</v>
      </c>
      <c r="AZ19" s="1">
        <f>'in2'!BH19</f>
        <v>1</v>
      </c>
      <c r="BA19" s="1">
        <f>'in2'!BI19</f>
        <v>0</v>
      </c>
      <c r="BB19" s="1">
        <f>'in2'!BJ19</f>
        <v>1</v>
      </c>
      <c r="BC19" s="3">
        <f t="shared" si="6"/>
        <v>10</v>
      </c>
      <c r="BD19" s="3">
        <f t="shared" si="7"/>
        <v>40</v>
      </c>
      <c r="BE19" s="1">
        <f>'in2'!BK19</f>
        <v>1</v>
      </c>
      <c r="BF19" s="1">
        <f>'in2'!BL19</f>
        <v>0</v>
      </c>
      <c r="BG19" s="1">
        <f>'in2'!BM19</f>
        <v>0</v>
      </c>
      <c r="BH19" s="1">
        <f>'in2'!BN19</f>
        <v>1</v>
      </c>
      <c r="BI19" s="1">
        <f>'in2'!BO19</f>
        <v>0</v>
      </c>
      <c r="BJ19" s="13">
        <f t="shared" si="0"/>
        <v>2</v>
      </c>
      <c r="BK19" s="14">
        <f t="shared" si="1"/>
        <v>40</v>
      </c>
      <c r="BL19" s="1">
        <f>'in2'!BP19</f>
        <v>1</v>
      </c>
      <c r="BM19" s="1">
        <f>'in2'!BQ19</f>
        <v>1</v>
      </c>
      <c r="BN19" s="1">
        <f>'in2'!BR19</f>
        <v>0</v>
      </c>
      <c r="BO19" s="1">
        <f>'in2'!BS19</f>
        <v>0</v>
      </c>
      <c r="BP19" s="1">
        <f>'in2'!BT19</f>
        <v>0</v>
      </c>
      <c r="BQ19" s="1">
        <f>'in2'!BU19</f>
        <v>0</v>
      </c>
      <c r="BR19" s="1">
        <f>'in2'!BV19</f>
        <v>0</v>
      </c>
      <c r="BS19" s="1">
        <f>'in2'!BW19</f>
        <v>1</v>
      </c>
      <c r="BT19" s="1">
        <f>'in2'!BX19</f>
        <v>1</v>
      </c>
      <c r="BU19" s="1">
        <f>'in2'!BY19</f>
        <v>0</v>
      </c>
      <c r="BV19" s="1">
        <f>'in2'!BZ19</f>
        <v>0</v>
      </c>
      <c r="BW19" s="1">
        <f>'in2'!CA19</f>
        <v>1</v>
      </c>
      <c r="BX19" s="1">
        <f>'in2'!CB19</f>
        <v>0</v>
      </c>
      <c r="BY19" s="11">
        <f t="shared" si="8"/>
        <v>5</v>
      </c>
      <c r="BZ19" s="16">
        <f t="shared" si="9"/>
        <v>38.46153846153846</v>
      </c>
      <c r="CA19" s="1">
        <f>'in2'!CC19</f>
        <v>0</v>
      </c>
      <c r="CB19" s="1">
        <f>'in2'!CD19</f>
        <v>1</v>
      </c>
      <c r="CC19" s="1">
        <f>'in2'!CE19</f>
        <v>0</v>
      </c>
      <c r="CD19" s="1">
        <f>'in2'!CF19</f>
        <v>0</v>
      </c>
      <c r="CE19" s="1">
        <f>'in2'!CG19</f>
        <v>0</v>
      </c>
      <c r="CF19" s="1">
        <f>'in2'!CH19</f>
        <v>0</v>
      </c>
      <c r="CG19" s="1">
        <f>'in2'!CI19</f>
        <v>1</v>
      </c>
      <c r="CH19" s="1">
        <f>'in2'!CJ19</f>
        <v>0</v>
      </c>
      <c r="CI19" s="1">
        <f>'in2'!CK19</f>
        <v>0</v>
      </c>
      <c r="CJ19" s="1">
        <f>'in2'!CL19</f>
        <v>1</v>
      </c>
      <c r="CK19" s="12">
        <f t="shared" si="13"/>
        <v>3</v>
      </c>
      <c r="CL19" s="15">
        <f t="shared" si="10"/>
        <v>30</v>
      </c>
      <c r="CM19" s="65">
        <f>'in2'!CM19</f>
        <v>0</v>
      </c>
      <c r="CN19" s="17">
        <f t="shared" si="2"/>
        <v>0</v>
      </c>
      <c r="CO19" s="17">
        <f t="shared" si="3"/>
        <v>0</v>
      </c>
      <c r="CP19" s="1">
        <f>'in2'!CN19</f>
        <v>1</v>
      </c>
      <c r="CQ19" s="1">
        <f>'in2'!CO19</f>
        <v>1</v>
      </c>
      <c r="CR19" s="1">
        <f>'in2'!CP19</f>
        <v>1</v>
      </c>
      <c r="CS19" s="1">
        <f>'in2'!CQ19</f>
        <v>0</v>
      </c>
      <c r="CT19" s="1">
        <f>'in2'!CR19</f>
        <v>0</v>
      </c>
      <c r="CU19" s="1">
        <f>'in2'!CS19</f>
        <v>1</v>
      </c>
      <c r="CV19" s="1">
        <f>'in2'!CT19</f>
        <v>0</v>
      </c>
      <c r="CW19" s="1">
        <f>'in2'!CU19</f>
        <v>0</v>
      </c>
      <c r="CX19" s="1">
        <f>'in2'!CV19</f>
        <v>0</v>
      </c>
      <c r="CY19" s="1">
        <f>'in2'!CW19</f>
        <v>1</v>
      </c>
      <c r="CZ19" s="1">
        <f>'in2'!CX19</f>
        <v>0</v>
      </c>
      <c r="DA19" s="1">
        <f>'in2'!CY19</f>
        <v>0</v>
      </c>
      <c r="DB19" s="1">
        <f>'in2'!CZ19</f>
        <v>0</v>
      </c>
      <c r="DC19" s="1">
        <f>'in2'!DA19</f>
        <v>0</v>
      </c>
      <c r="DD19" s="1">
        <f>'in2'!DB19</f>
        <v>0</v>
      </c>
      <c r="DE19" s="1">
        <f>'in2'!DC19</f>
        <v>0</v>
      </c>
      <c r="DF19" s="1">
        <f>'in2'!DD19</f>
        <v>0</v>
      </c>
      <c r="DG19" s="1">
        <f>'in2'!DE19</f>
        <v>1</v>
      </c>
      <c r="DH19" s="1">
        <f>'in2'!DF19</f>
        <v>1</v>
      </c>
      <c r="DI19" s="1">
        <f>'in2'!DG19</f>
        <v>0</v>
      </c>
      <c r="DJ19" s="1">
        <f>'in2'!DH19</f>
        <v>1</v>
      </c>
      <c r="DK19" s="1">
        <f>'in2'!DI19</f>
        <v>1</v>
      </c>
      <c r="DL19" s="1">
        <f>'in2'!DJ19</f>
        <v>0</v>
      </c>
      <c r="DM19" s="1">
        <f>'in2'!DK19</f>
        <v>0</v>
      </c>
      <c r="DN19" s="1">
        <f>'in2'!DL19</f>
        <v>0</v>
      </c>
      <c r="DO19" s="1">
        <f>'in2'!DM19</f>
        <v>1</v>
      </c>
      <c r="DP19" s="1">
        <f>'in2'!DN19</f>
        <v>0</v>
      </c>
      <c r="DQ19" s="1">
        <f>'in2'!DO19</f>
        <v>0</v>
      </c>
      <c r="DR19" s="1">
        <f>'in2'!DP19</f>
        <v>0</v>
      </c>
      <c r="DS19" s="1">
        <f>'in2'!DQ19</f>
        <v>0</v>
      </c>
      <c r="DT19" s="1">
        <f>'in2'!DR19</f>
        <v>0</v>
      </c>
      <c r="DU19" s="1">
        <f>'in2'!DS19</f>
        <v>0</v>
      </c>
      <c r="DV19" s="1">
        <f>'in2'!DT19</f>
        <v>0</v>
      </c>
      <c r="DW19" s="1">
        <f>'in2'!DU19</f>
        <v>1</v>
      </c>
      <c r="DX19" s="1">
        <f>'in2'!DV19</f>
        <v>1</v>
      </c>
      <c r="DY19" s="1">
        <f>'in2'!DW19</f>
        <v>0</v>
      </c>
      <c r="DZ19" s="1">
        <f>'in2'!DX19</f>
        <v>1</v>
      </c>
      <c r="EA19" s="1">
        <f>'in2'!DY19</f>
        <v>1</v>
      </c>
      <c r="EB19" s="1">
        <f>'in2'!DZ19</f>
        <v>0</v>
      </c>
      <c r="EC19" s="1">
        <f>'in2'!EA19</f>
        <v>0</v>
      </c>
      <c r="ED19" s="1">
        <f>'in2'!EB19</f>
        <v>0</v>
      </c>
      <c r="EE19" s="1">
        <f>'in2'!EC19</f>
        <v>0</v>
      </c>
      <c r="EF19" s="1">
        <f>'in2'!ED19</f>
        <v>1</v>
      </c>
      <c r="EG19" s="1">
        <f>'in2'!EE19</f>
        <v>1</v>
      </c>
      <c r="EH19" s="1">
        <f>'in2'!EF19</f>
        <v>0</v>
      </c>
      <c r="EI19" s="1">
        <f>'in2'!EG19</f>
        <v>0</v>
      </c>
      <c r="EJ19" s="1">
        <f>'in2'!EH19</f>
        <v>0</v>
      </c>
      <c r="EK19" s="1">
        <f>'in2'!EI19</f>
        <v>0</v>
      </c>
      <c r="EL19" s="1">
        <f>'in2'!EJ19</f>
        <v>1</v>
      </c>
      <c r="EM19" s="1">
        <f>'in2'!EK19</f>
        <v>0</v>
      </c>
      <c r="EN19" s="1">
        <f>'in2'!EL19</f>
        <v>1</v>
      </c>
      <c r="EO19" s="1">
        <f>'in2'!EM19</f>
        <v>0</v>
      </c>
      <c r="EP19" s="1">
        <f>'in2'!EN19</f>
        <v>0</v>
      </c>
      <c r="EQ19" s="1">
        <f>'in2'!EO19</f>
        <v>0</v>
      </c>
      <c r="ER19" s="1">
        <f>'in2'!EP19</f>
        <v>1</v>
      </c>
      <c r="ES19" s="6">
        <f t="shared" si="12"/>
        <v>19</v>
      </c>
      <c r="ET19" s="7">
        <f t="shared" si="11"/>
        <v>34.545454545454547</v>
      </c>
    </row>
    <row r="20" spans="1:150" x14ac:dyDescent="0.35">
      <c r="A20" s="43" t="str">
        <f>in!D20</f>
        <v xml:space="preserve">MARTINEZ CAUCIL SARETH MILENA  </v>
      </c>
      <c r="B20" s="43">
        <f>in!E20</f>
        <v>5808</v>
      </c>
      <c r="C20" s="1">
        <f>'in2'!M20</f>
        <v>1</v>
      </c>
      <c r="D20" s="1">
        <f>'in2'!N20</f>
        <v>0</v>
      </c>
      <c r="E20" s="1">
        <f>'in2'!O20</f>
        <v>0</v>
      </c>
      <c r="F20" s="1">
        <f>'in2'!P20</f>
        <v>1</v>
      </c>
      <c r="G20" s="1">
        <f>'in2'!Q20</f>
        <v>0</v>
      </c>
      <c r="H20" s="1">
        <f>'in2'!R20</f>
        <v>0</v>
      </c>
      <c r="I20" s="1">
        <f>'in2'!S20</f>
        <v>1</v>
      </c>
      <c r="J20" s="1">
        <f>'in2'!T20</f>
        <v>0</v>
      </c>
      <c r="K20" s="1">
        <f>'in2'!U20</f>
        <v>0</v>
      </c>
      <c r="L20" s="1">
        <f>'in2'!V20</f>
        <v>0</v>
      </c>
      <c r="M20" s="1">
        <f>'in2'!W20</f>
        <v>1</v>
      </c>
      <c r="N20" s="1">
        <f>'in2'!X20</f>
        <v>0</v>
      </c>
      <c r="O20" s="1">
        <f>'in2'!Y20</f>
        <v>0</v>
      </c>
      <c r="P20" s="1">
        <f>'in2'!Z20</f>
        <v>0</v>
      </c>
      <c r="Q20" s="1">
        <f>'in2'!AA20</f>
        <v>0</v>
      </c>
      <c r="R20" s="1">
        <f>'in2'!AB20</f>
        <v>0</v>
      </c>
      <c r="S20" s="1">
        <f>'in2'!AC20</f>
        <v>0</v>
      </c>
      <c r="T20" s="1">
        <f>'in2'!AD20</f>
        <v>0</v>
      </c>
      <c r="U20" s="1">
        <f>'in2'!AE20</f>
        <v>1</v>
      </c>
      <c r="V20" s="1">
        <f>'in2'!AF20</f>
        <v>1</v>
      </c>
      <c r="W20" s="1">
        <f>'in2'!AG20</f>
        <v>0</v>
      </c>
      <c r="X20" s="1">
        <f>'in2'!AH20</f>
        <v>0</v>
      </c>
      <c r="Y20" s="1">
        <f>'in2'!AI20</f>
        <v>1</v>
      </c>
      <c r="Z20" s="1">
        <f>'in2'!AJ20</f>
        <v>0</v>
      </c>
      <c r="AA20" s="1">
        <f>'in2'!AK20</f>
        <v>0</v>
      </c>
      <c r="AB20" s="5">
        <f t="shared" si="4"/>
        <v>7</v>
      </c>
      <c r="AC20" s="5">
        <f t="shared" si="5"/>
        <v>28</v>
      </c>
      <c r="AD20" s="1">
        <f>'in2'!AL20</f>
        <v>0</v>
      </c>
      <c r="AE20" s="1">
        <f>'in2'!AM20</f>
        <v>1</v>
      </c>
      <c r="AF20" s="1">
        <f>'in2'!AN20</f>
        <v>0</v>
      </c>
      <c r="AG20" s="1">
        <f>'in2'!AO20</f>
        <v>0</v>
      </c>
      <c r="AH20" s="1">
        <f>'in2'!AP20</f>
        <v>0</v>
      </c>
      <c r="AI20" s="1">
        <f>'in2'!AQ20</f>
        <v>0</v>
      </c>
      <c r="AJ20" s="1">
        <f>'in2'!AR20</f>
        <v>1</v>
      </c>
      <c r="AK20" s="1">
        <f>'in2'!AS20</f>
        <v>0</v>
      </c>
      <c r="AL20" s="1">
        <f>'in2'!AT20</f>
        <v>0</v>
      </c>
      <c r="AM20" s="1">
        <f>'in2'!AU20</f>
        <v>0</v>
      </c>
      <c r="AN20" s="1">
        <f>'in2'!AV20</f>
        <v>0</v>
      </c>
      <c r="AO20" s="1">
        <f>'in2'!AW20</f>
        <v>0</v>
      </c>
      <c r="AP20" s="1">
        <f>'in2'!AX20</f>
        <v>1</v>
      </c>
      <c r="AQ20" s="1">
        <f>'in2'!AY20</f>
        <v>0</v>
      </c>
      <c r="AR20" s="1">
        <f>'in2'!AZ20</f>
        <v>0</v>
      </c>
      <c r="AS20" s="1">
        <f>'in2'!BA20</f>
        <v>1</v>
      </c>
      <c r="AT20" s="1">
        <f>'in2'!BB20</f>
        <v>0</v>
      </c>
      <c r="AU20" s="1">
        <f>'in2'!BC20</f>
        <v>0</v>
      </c>
      <c r="AV20" s="1">
        <f>'in2'!BD20</f>
        <v>0</v>
      </c>
      <c r="AW20" s="1">
        <f>'in2'!BE20</f>
        <v>0</v>
      </c>
      <c r="AX20" s="1">
        <f>'in2'!BF20</f>
        <v>0</v>
      </c>
      <c r="AY20" s="1">
        <f>'in2'!BG20</f>
        <v>0</v>
      </c>
      <c r="AZ20" s="1">
        <f>'in2'!BH20</f>
        <v>0</v>
      </c>
      <c r="BA20" s="1">
        <f>'in2'!BI20</f>
        <v>0</v>
      </c>
      <c r="BB20" s="1">
        <f>'in2'!BJ20</f>
        <v>0</v>
      </c>
      <c r="BC20" s="3">
        <f t="shared" si="6"/>
        <v>4</v>
      </c>
      <c r="BD20" s="3">
        <f t="shared" si="7"/>
        <v>16</v>
      </c>
      <c r="BE20" s="1">
        <f>'in2'!BK20</f>
        <v>0</v>
      </c>
      <c r="BF20" s="1">
        <f>'in2'!BL20</f>
        <v>1</v>
      </c>
      <c r="BG20" s="1">
        <f>'in2'!BM20</f>
        <v>0</v>
      </c>
      <c r="BH20" s="1">
        <f>'in2'!BN20</f>
        <v>1</v>
      </c>
      <c r="BI20" s="1">
        <f>'in2'!BO20</f>
        <v>1</v>
      </c>
      <c r="BJ20" s="13">
        <f t="shared" si="0"/>
        <v>3</v>
      </c>
      <c r="BK20" s="14">
        <f t="shared" si="1"/>
        <v>60</v>
      </c>
      <c r="BL20" s="1">
        <f>'in2'!BP20</f>
        <v>0</v>
      </c>
      <c r="BM20" s="1">
        <f>'in2'!BQ20</f>
        <v>0</v>
      </c>
      <c r="BN20" s="1">
        <f>'in2'!BR20</f>
        <v>0</v>
      </c>
      <c r="BO20" s="1">
        <f>'in2'!BS20</f>
        <v>0</v>
      </c>
      <c r="BP20" s="1">
        <f>'in2'!BT20</f>
        <v>0</v>
      </c>
      <c r="BQ20" s="1">
        <f>'in2'!BU20</f>
        <v>0</v>
      </c>
      <c r="BR20" s="1">
        <f>'in2'!BV20</f>
        <v>1</v>
      </c>
      <c r="BS20" s="1">
        <f>'in2'!BW20</f>
        <v>0</v>
      </c>
      <c r="BT20" s="1">
        <f>'in2'!BX20</f>
        <v>0</v>
      </c>
      <c r="BU20" s="1">
        <f>'in2'!BY20</f>
        <v>1</v>
      </c>
      <c r="BV20" s="1">
        <f>'in2'!BZ20</f>
        <v>1</v>
      </c>
      <c r="BW20" s="1">
        <f>'in2'!CA20</f>
        <v>0</v>
      </c>
      <c r="BX20" s="1">
        <f>'in2'!CB20</f>
        <v>0</v>
      </c>
      <c r="BY20" s="11">
        <f t="shared" si="8"/>
        <v>3</v>
      </c>
      <c r="BZ20" s="16">
        <f t="shared" si="9"/>
        <v>23.076923076923077</v>
      </c>
      <c r="CA20" s="1">
        <f>'in2'!CC20</f>
        <v>1</v>
      </c>
      <c r="CB20" s="1">
        <f>'in2'!CD20</f>
        <v>0</v>
      </c>
      <c r="CC20" s="1">
        <f>'in2'!CE20</f>
        <v>0</v>
      </c>
      <c r="CD20" s="1">
        <f>'in2'!CF20</f>
        <v>0</v>
      </c>
      <c r="CE20" s="1">
        <f>'in2'!CG20</f>
        <v>1</v>
      </c>
      <c r="CF20" s="1">
        <f>'in2'!CH20</f>
        <v>0</v>
      </c>
      <c r="CG20" s="1">
        <f>'in2'!CI20</f>
        <v>0</v>
      </c>
      <c r="CH20" s="1">
        <f>'in2'!CJ20</f>
        <v>0</v>
      </c>
      <c r="CI20" s="1">
        <f>'in2'!CK20</f>
        <v>0</v>
      </c>
      <c r="CJ20" s="1">
        <f>'in2'!CL20</f>
        <v>0</v>
      </c>
      <c r="CK20" s="12">
        <f t="shared" si="13"/>
        <v>2</v>
      </c>
      <c r="CL20" s="15">
        <f t="shared" si="10"/>
        <v>20</v>
      </c>
      <c r="CM20" s="65">
        <f>'in2'!CM20</f>
        <v>0</v>
      </c>
      <c r="CN20" s="17">
        <f t="shared" si="2"/>
        <v>0</v>
      </c>
      <c r="CO20" s="17">
        <f t="shared" si="3"/>
        <v>0</v>
      </c>
      <c r="CP20" s="1">
        <f>'in2'!CN20</f>
        <v>1</v>
      </c>
      <c r="CQ20" s="1">
        <f>'in2'!CO20</f>
        <v>1</v>
      </c>
      <c r="CR20" s="1">
        <f>'in2'!CP20</f>
        <v>0</v>
      </c>
      <c r="CS20" s="1">
        <f>'in2'!CQ20</f>
        <v>0</v>
      </c>
      <c r="CT20" s="1">
        <f>'in2'!CR20</f>
        <v>0</v>
      </c>
      <c r="CU20" s="1">
        <f>'in2'!CS20</f>
        <v>1</v>
      </c>
      <c r="CV20" s="1">
        <f>'in2'!CT20</f>
        <v>0</v>
      </c>
      <c r="CW20" s="1">
        <f>'in2'!CU20</f>
        <v>0</v>
      </c>
      <c r="CX20" s="1">
        <f>'in2'!CV20</f>
        <v>1</v>
      </c>
      <c r="CY20" s="1">
        <f>'in2'!CW20</f>
        <v>1</v>
      </c>
      <c r="CZ20" s="1">
        <f>'in2'!CX20</f>
        <v>0</v>
      </c>
      <c r="DA20" s="1">
        <f>'in2'!CY20</f>
        <v>1</v>
      </c>
      <c r="DB20" s="1">
        <f>'in2'!CZ20</f>
        <v>0</v>
      </c>
      <c r="DC20" s="1">
        <f>'in2'!DA20</f>
        <v>0</v>
      </c>
      <c r="DD20" s="1">
        <f>'in2'!DB20</f>
        <v>0</v>
      </c>
      <c r="DE20" s="1">
        <f>'in2'!DC20</f>
        <v>0</v>
      </c>
      <c r="DF20" s="1">
        <f>'in2'!DD20</f>
        <v>1</v>
      </c>
      <c r="DG20" s="1">
        <f>'in2'!DE20</f>
        <v>0</v>
      </c>
      <c r="DH20" s="1">
        <f>'in2'!DF20</f>
        <v>0</v>
      </c>
      <c r="DI20" s="1">
        <f>'in2'!DG20</f>
        <v>0</v>
      </c>
      <c r="DJ20" s="1">
        <f>'in2'!DH20</f>
        <v>0</v>
      </c>
      <c r="DK20" s="1">
        <f>'in2'!DI20</f>
        <v>0</v>
      </c>
      <c r="DL20" s="1">
        <f>'in2'!DJ20</f>
        <v>0</v>
      </c>
      <c r="DM20" s="1">
        <f>'in2'!DK20</f>
        <v>0</v>
      </c>
      <c r="DN20" s="1">
        <f>'in2'!DL20</f>
        <v>1</v>
      </c>
      <c r="DO20" s="1">
        <f>'in2'!DM20</f>
        <v>0</v>
      </c>
      <c r="DP20" s="1">
        <f>'in2'!DN20</f>
        <v>0</v>
      </c>
      <c r="DQ20" s="1">
        <f>'in2'!DO20</f>
        <v>0</v>
      </c>
      <c r="DR20" s="1">
        <f>'in2'!DP20</f>
        <v>0</v>
      </c>
      <c r="DS20" s="1">
        <f>'in2'!DQ20</f>
        <v>0</v>
      </c>
      <c r="DT20" s="1">
        <f>'in2'!DR20</f>
        <v>1</v>
      </c>
      <c r="DU20" s="1">
        <f>'in2'!DS20</f>
        <v>1</v>
      </c>
      <c r="DV20" s="1">
        <f>'in2'!DT20</f>
        <v>0</v>
      </c>
      <c r="DW20" s="1">
        <f>'in2'!DU20</f>
        <v>0</v>
      </c>
      <c r="DX20" s="1">
        <f>'in2'!DV20</f>
        <v>1</v>
      </c>
      <c r="DY20" s="1">
        <f>'in2'!DW20</f>
        <v>0</v>
      </c>
      <c r="DZ20" s="1">
        <f>'in2'!DX20</f>
        <v>1</v>
      </c>
      <c r="EA20" s="1">
        <f>'in2'!DY20</f>
        <v>1</v>
      </c>
      <c r="EB20" s="1">
        <f>'in2'!DZ20</f>
        <v>0</v>
      </c>
      <c r="EC20" s="1">
        <f>'in2'!EA20</f>
        <v>0</v>
      </c>
      <c r="ED20" s="1">
        <f>'in2'!EB20</f>
        <v>0</v>
      </c>
      <c r="EE20" s="1">
        <f>'in2'!EC20</f>
        <v>0</v>
      </c>
      <c r="EF20" s="1">
        <f>'in2'!ED20</f>
        <v>0</v>
      </c>
      <c r="EG20" s="1">
        <f>'in2'!EE20</f>
        <v>0</v>
      </c>
      <c r="EH20" s="1">
        <f>'in2'!EF20</f>
        <v>0</v>
      </c>
      <c r="EI20" s="1">
        <f>'in2'!EG20</f>
        <v>1</v>
      </c>
      <c r="EJ20" s="1">
        <f>'in2'!EH20</f>
        <v>1</v>
      </c>
      <c r="EK20" s="1">
        <f>'in2'!EI20</f>
        <v>1</v>
      </c>
      <c r="EL20" s="1">
        <f>'in2'!EJ20</f>
        <v>0</v>
      </c>
      <c r="EM20" s="1">
        <f>'in2'!EK20</f>
        <v>1</v>
      </c>
      <c r="EN20" s="1">
        <f>'in2'!EL20</f>
        <v>1</v>
      </c>
      <c r="EO20" s="1">
        <f>'in2'!EM20</f>
        <v>0</v>
      </c>
      <c r="EP20" s="1">
        <f>'in2'!EN20</f>
        <v>0</v>
      </c>
      <c r="EQ20" s="1">
        <f>'in2'!EO20</f>
        <v>1</v>
      </c>
      <c r="ER20" s="1">
        <f>'in2'!EP20</f>
        <v>0</v>
      </c>
      <c r="ES20" s="6">
        <f t="shared" si="12"/>
        <v>19</v>
      </c>
      <c r="ET20" s="7">
        <f t="shared" si="11"/>
        <v>34.545454545454547</v>
      </c>
    </row>
    <row r="21" spans="1:150" x14ac:dyDescent="0.35">
      <c r="A21" s="43" t="str">
        <f>in!D21</f>
        <v xml:space="preserve">MERCADO RAMOS DANIELA SOFIA  </v>
      </c>
      <c r="B21" s="43">
        <f>in!E21</f>
        <v>5810</v>
      </c>
      <c r="C21" s="1">
        <f>'in2'!M21</f>
        <v>1</v>
      </c>
      <c r="D21" s="1">
        <f>'in2'!N21</f>
        <v>0</v>
      </c>
      <c r="E21" s="1">
        <f>'in2'!O21</f>
        <v>0</v>
      </c>
      <c r="F21" s="1">
        <f>'in2'!P21</f>
        <v>1</v>
      </c>
      <c r="G21" s="1">
        <f>'in2'!Q21</f>
        <v>0</v>
      </c>
      <c r="H21" s="1">
        <f>'in2'!R21</f>
        <v>0</v>
      </c>
      <c r="I21" s="1">
        <f>'in2'!S21</f>
        <v>0</v>
      </c>
      <c r="J21" s="1">
        <f>'in2'!T21</f>
        <v>1</v>
      </c>
      <c r="K21" s="1">
        <f>'in2'!U21</f>
        <v>0</v>
      </c>
      <c r="L21" s="1">
        <f>'in2'!V21</f>
        <v>0</v>
      </c>
      <c r="M21" s="1">
        <f>'in2'!W21</f>
        <v>1</v>
      </c>
      <c r="N21" s="1">
        <f>'in2'!X21</f>
        <v>0</v>
      </c>
      <c r="O21" s="1">
        <f>'in2'!Y21</f>
        <v>1</v>
      </c>
      <c r="P21" s="1">
        <f>'in2'!Z21</f>
        <v>0</v>
      </c>
      <c r="Q21" s="1">
        <f>'in2'!AA21</f>
        <v>1</v>
      </c>
      <c r="R21" s="1">
        <f>'in2'!AB21</f>
        <v>0</v>
      </c>
      <c r="S21" s="1">
        <f>'in2'!AC21</f>
        <v>1</v>
      </c>
      <c r="T21" s="1">
        <f>'in2'!AD21</f>
        <v>1</v>
      </c>
      <c r="U21" s="1">
        <f>'in2'!AE21</f>
        <v>0</v>
      </c>
      <c r="V21" s="1">
        <f>'in2'!AF21</f>
        <v>1</v>
      </c>
      <c r="W21" s="1">
        <f>'in2'!AG21</f>
        <v>0</v>
      </c>
      <c r="X21" s="1">
        <f>'in2'!AH21</f>
        <v>0</v>
      </c>
      <c r="Y21" s="1">
        <f>'in2'!AI21</f>
        <v>1</v>
      </c>
      <c r="Z21" s="1">
        <f>'in2'!AJ21</f>
        <v>0</v>
      </c>
      <c r="AA21" s="1">
        <f>'in2'!AK21</f>
        <v>0</v>
      </c>
      <c r="AB21" s="5">
        <f t="shared" si="4"/>
        <v>10</v>
      </c>
      <c r="AC21" s="5">
        <f t="shared" si="5"/>
        <v>40</v>
      </c>
      <c r="AD21" s="1">
        <f>'in2'!AL21</f>
        <v>0</v>
      </c>
      <c r="AE21" s="1">
        <f>'in2'!AM21</f>
        <v>0</v>
      </c>
      <c r="AF21" s="1">
        <f>'in2'!AN21</f>
        <v>0</v>
      </c>
      <c r="AG21" s="1">
        <f>'in2'!AO21</f>
        <v>1</v>
      </c>
      <c r="AH21" s="1">
        <f>'in2'!AP21</f>
        <v>0</v>
      </c>
      <c r="AI21" s="1">
        <f>'in2'!AQ21</f>
        <v>0</v>
      </c>
      <c r="AJ21" s="1">
        <f>'in2'!AR21</f>
        <v>0</v>
      </c>
      <c r="AK21" s="1">
        <f>'in2'!AS21</f>
        <v>0</v>
      </c>
      <c r="AL21" s="1">
        <f>'in2'!AT21</f>
        <v>1</v>
      </c>
      <c r="AM21" s="1">
        <f>'in2'!AU21</f>
        <v>0</v>
      </c>
      <c r="AN21" s="1">
        <f>'in2'!AV21</f>
        <v>1</v>
      </c>
      <c r="AO21" s="1">
        <f>'in2'!AW21</f>
        <v>0</v>
      </c>
      <c r="AP21" s="1">
        <f>'in2'!AX21</f>
        <v>1</v>
      </c>
      <c r="AQ21" s="1">
        <f>'in2'!AY21</f>
        <v>0</v>
      </c>
      <c r="AR21" s="1">
        <f>'in2'!AZ21</f>
        <v>0</v>
      </c>
      <c r="AS21" s="1">
        <f>'in2'!BA21</f>
        <v>0</v>
      </c>
      <c r="AT21" s="1">
        <f>'in2'!BB21</f>
        <v>0</v>
      </c>
      <c r="AU21" s="1">
        <f>'in2'!BC21</f>
        <v>0</v>
      </c>
      <c r="AV21" s="1">
        <f>'in2'!BD21</f>
        <v>0</v>
      </c>
      <c r="AW21" s="1">
        <f>'in2'!BE21</f>
        <v>0</v>
      </c>
      <c r="AX21" s="1">
        <f>'in2'!BF21</f>
        <v>0</v>
      </c>
      <c r="AY21" s="1">
        <f>'in2'!BG21</f>
        <v>0</v>
      </c>
      <c r="AZ21" s="1">
        <f>'in2'!BH21</f>
        <v>0</v>
      </c>
      <c r="BA21" s="1">
        <f>'in2'!BI21</f>
        <v>0</v>
      </c>
      <c r="BB21" s="1">
        <f>'in2'!BJ21</f>
        <v>0</v>
      </c>
      <c r="BC21" s="3">
        <f t="shared" si="6"/>
        <v>4</v>
      </c>
      <c r="BD21" s="3">
        <f t="shared" si="7"/>
        <v>16</v>
      </c>
      <c r="BE21" s="1">
        <f>'in2'!BK21</f>
        <v>0</v>
      </c>
      <c r="BF21" s="1">
        <f>'in2'!BL21</f>
        <v>0</v>
      </c>
      <c r="BG21" s="1">
        <f>'in2'!BM21</f>
        <v>1</v>
      </c>
      <c r="BH21" s="1">
        <f>'in2'!BN21</f>
        <v>1</v>
      </c>
      <c r="BI21" s="1">
        <f>'in2'!BO21</f>
        <v>0</v>
      </c>
      <c r="BJ21" s="13">
        <f t="shared" si="0"/>
        <v>2</v>
      </c>
      <c r="BK21" s="14">
        <f t="shared" si="1"/>
        <v>40</v>
      </c>
      <c r="BL21" s="1">
        <f>'in2'!BP21</f>
        <v>0</v>
      </c>
      <c r="BM21" s="1">
        <f>'in2'!BQ21</f>
        <v>1</v>
      </c>
      <c r="BN21" s="1">
        <f>'in2'!BR21</f>
        <v>1</v>
      </c>
      <c r="BO21" s="1">
        <f>'in2'!BS21</f>
        <v>1</v>
      </c>
      <c r="BP21" s="1">
        <f>'in2'!BT21</f>
        <v>0</v>
      </c>
      <c r="BQ21" s="1">
        <f>'in2'!BU21</f>
        <v>1</v>
      </c>
      <c r="BR21" s="1">
        <f>'in2'!BV21</f>
        <v>0</v>
      </c>
      <c r="BS21" s="1">
        <f>'in2'!BW21</f>
        <v>0</v>
      </c>
      <c r="BT21" s="1">
        <f>'in2'!BX21</f>
        <v>0</v>
      </c>
      <c r="BU21" s="1">
        <f>'in2'!BY21</f>
        <v>0</v>
      </c>
      <c r="BV21" s="1">
        <f>'in2'!BZ21</f>
        <v>1</v>
      </c>
      <c r="BW21" s="1">
        <f>'in2'!CA21</f>
        <v>0</v>
      </c>
      <c r="BX21" s="1">
        <f>'in2'!CB21</f>
        <v>0</v>
      </c>
      <c r="BY21" s="11">
        <f t="shared" si="8"/>
        <v>5</v>
      </c>
      <c r="BZ21" s="16">
        <f t="shared" si="9"/>
        <v>38.46153846153846</v>
      </c>
      <c r="CA21" s="1">
        <f>'in2'!CC21</f>
        <v>0</v>
      </c>
      <c r="CB21" s="1">
        <f>'in2'!CD21</f>
        <v>0</v>
      </c>
      <c r="CC21" s="1">
        <f>'in2'!CE21</f>
        <v>0</v>
      </c>
      <c r="CD21" s="1">
        <f>'in2'!CF21</f>
        <v>0</v>
      </c>
      <c r="CE21" s="1">
        <f>'in2'!CG21</f>
        <v>0</v>
      </c>
      <c r="CF21" s="1">
        <f>'in2'!CH21</f>
        <v>0</v>
      </c>
      <c r="CG21" s="1">
        <f>'in2'!CI21</f>
        <v>0</v>
      </c>
      <c r="CH21" s="1">
        <f>'in2'!CJ21</f>
        <v>0</v>
      </c>
      <c r="CI21" s="1">
        <f>'in2'!CK21</f>
        <v>0</v>
      </c>
      <c r="CJ21" s="1">
        <f>'in2'!CL21</f>
        <v>1</v>
      </c>
      <c r="CK21" s="12">
        <f t="shared" si="13"/>
        <v>1</v>
      </c>
      <c r="CL21" s="15">
        <f t="shared" si="10"/>
        <v>10</v>
      </c>
      <c r="CM21" s="65">
        <f>'in2'!CM21</f>
        <v>1</v>
      </c>
      <c r="CN21" s="17">
        <f t="shared" si="2"/>
        <v>1</v>
      </c>
      <c r="CO21" s="17">
        <f t="shared" si="3"/>
        <v>100</v>
      </c>
      <c r="CP21" s="1">
        <f>'in2'!CN21</f>
        <v>0</v>
      </c>
      <c r="CQ21" s="1">
        <f>'in2'!CO21</f>
        <v>1</v>
      </c>
      <c r="CR21" s="1">
        <f>'in2'!CP21</f>
        <v>0</v>
      </c>
      <c r="CS21" s="1">
        <f>'in2'!CQ21</f>
        <v>0</v>
      </c>
      <c r="CT21" s="1">
        <f>'in2'!CR21</f>
        <v>0</v>
      </c>
      <c r="CU21" s="1">
        <f>'in2'!CS21</f>
        <v>1</v>
      </c>
      <c r="CV21" s="1">
        <f>'in2'!CT21</f>
        <v>1</v>
      </c>
      <c r="CW21" s="1">
        <f>'in2'!CU21</f>
        <v>0</v>
      </c>
      <c r="CX21" s="1">
        <f>'in2'!CV21</f>
        <v>0</v>
      </c>
      <c r="CY21" s="1">
        <f>'in2'!CW21</f>
        <v>0</v>
      </c>
      <c r="CZ21" s="1">
        <f>'in2'!CX21</f>
        <v>0</v>
      </c>
      <c r="DA21" s="1">
        <f>'in2'!CY21</f>
        <v>0</v>
      </c>
      <c r="DB21" s="1">
        <f>'in2'!CZ21</f>
        <v>0</v>
      </c>
      <c r="DC21" s="1">
        <f>'in2'!DA21</f>
        <v>0</v>
      </c>
      <c r="DD21" s="1">
        <f>'in2'!DB21</f>
        <v>0</v>
      </c>
      <c r="DE21" s="1">
        <f>'in2'!DC21</f>
        <v>0</v>
      </c>
      <c r="DF21" s="1">
        <f>'in2'!DD21</f>
        <v>1</v>
      </c>
      <c r="DG21" s="1">
        <f>'in2'!DE21</f>
        <v>1</v>
      </c>
      <c r="DH21" s="1">
        <f>'in2'!DF21</f>
        <v>0</v>
      </c>
      <c r="DI21" s="1">
        <f>'in2'!DG21</f>
        <v>1</v>
      </c>
      <c r="DJ21" s="1">
        <f>'in2'!DH21</f>
        <v>0</v>
      </c>
      <c r="DK21" s="1">
        <f>'in2'!DI21</f>
        <v>0</v>
      </c>
      <c r="DL21" s="1">
        <f>'in2'!DJ21</f>
        <v>1</v>
      </c>
      <c r="DM21" s="1">
        <f>'in2'!DK21</f>
        <v>0</v>
      </c>
      <c r="DN21" s="1">
        <f>'in2'!DL21</f>
        <v>0</v>
      </c>
      <c r="DO21" s="1">
        <f>'in2'!DM21</f>
        <v>1</v>
      </c>
      <c r="DP21" s="1">
        <f>'in2'!DN21</f>
        <v>0</v>
      </c>
      <c r="DQ21" s="1">
        <f>'in2'!DO21</f>
        <v>0</v>
      </c>
      <c r="DR21" s="1">
        <f>'in2'!DP21</f>
        <v>0</v>
      </c>
      <c r="DS21" s="1">
        <f>'in2'!DQ21</f>
        <v>0</v>
      </c>
      <c r="DT21" s="1">
        <f>'in2'!DR21</f>
        <v>0</v>
      </c>
      <c r="DU21" s="1">
        <f>'in2'!DS21</f>
        <v>0</v>
      </c>
      <c r="DV21" s="1">
        <f>'in2'!DT21</f>
        <v>0</v>
      </c>
      <c r="DW21" s="1">
        <f>'in2'!DU21</f>
        <v>1</v>
      </c>
      <c r="DX21" s="1">
        <f>'in2'!DV21</f>
        <v>1</v>
      </c>
      <c r="DY21" s="1">
        <f>'in2'!DW21</f>
        <v>1</v>
      </c>
      <c r="DZ21" s="1">
        <f>'in2'!DX21</f>
        <v>0</v>
      </c>
      <c r="EA21" s="1">
        <f>'in2'!DY21</f>
        <v>0</v>
      </c>
      <c r="EB21" s="1">
        <f>'in2'!DZ21</f>
        <v>1</v>
      </c>
      <c r="EC21" s="1">
        <f>'in2'!EA21</f>
        <v>1</v>
      </c>
      <c r="ED21" s="1">
        <f>'in2'!EB21</f>
        <v>0</v>
      </c>
      <c r="EE21" s="1">
        <f>'in2'!EC21</f>
        <v>0</v>
      </c>
      <c r="EF21" s="1">
        <f>'in2'!ED21</f>
        <v>1</v>
      </c>
      <c r="EG21" s="1">
        <f>'in2'!EE21</f>
        <v>0</v>
      </c>
      <c r="EH21" s="1">
        <f>'in2'!EF21</f>
        <v>0</v>
      </c>
      <c r="EI21" s="1">
        <f>'in2'!EG21</f>
        <v>0</v>
      </c>
      <c r="EJ21" s="1">
        <f>'in2'!EH21</f>
        <v>1</v>
      </c>
      <c r="EK21" s="1">
        <f>'in2'!EI21</f>
        <v>0</v>
      </c>
      <c r="EL21" s="1">
        <f>'in2'!EJ21</f>
        <v>0</v>
      </c>
      <c r="EM21" s="1">
        <f>'in2'!EK21</f>
        <v>0</v>
      </c>
      <c r="EN21" s="1">
        <f>'in2'!EL21</f>
        <v>0</v>
      </c>
      <c r="EO21" s="1">
        <f>'in2'!EM21</f>
        <v>0</v>
      </c>
      <c r="EP21" s="1">
        <f>'in2'!EN21</f>
        <v>0</v>
      </c>
      <c r="EQ21" s="1">
        <f>'in2'!EO21</f>
        <v>0</v>
      </c>
      <c r="ER21" s="1">
        <f>'in2'!EP21</f>
        <v>0</v>
      </c>
      <c r="ES21" s="6">
        <f t="shared" si="12"/>
        <v>15</v>
      </c>
      <c r="ET21" s="7">
        <f t="shared" si="11"/>
        <v>27.272727272727273</v>
      </c>
    </row>
    <row r="22" spans="1:150" x14ac:dyDescent="0.35">
      <c r="A22" s="43" t="str">
        <f>in!D22</f>
        <v xml:space="preserve">RAMOS MESTRA FABIAN DE JESUS  </v>
      </c>
      <c r="B22" s="43">
        <f>in!E22</f>
        <v>5811</v>
      </c>
      <c r="C22" s="1">
        <f>'in2'!M22</f>
        <v>0</v>
      </c>
      <c r="D22" s="1">
        <f>'in2'!N22</f>
        <v>0</v>
      </c>
      <c r="E22" s="1">
        <f>'in2'!O22</f>
        <v>0</v>
      </c>
      <c r="F22" s="1">
        <f>'in2'!P22</f>
        <v>0</v>
      </c>
      <c r="G22" s="1">
        <f>'in2'!Q22</f>
        <v>0</v>
      </c>
      <c r="H22" s="1">
        <f>'in2'!R22</f>
        <v>0</v>
      </c>
      <c r="I22" s="1">
        <f>'in2'!S22</f>
        <v>0</v>
      </c>
      <c r="J22" s="1">
        <f>'in2'!T22</f>
        <v>0</v>
      </c>
      <c r="K22" s="1">
        <f>'in2'!U22</f>
        <v>0</v>
      </c>
      <c r="L22" s="1">
        <f>'in2'!V22</f>
        <v>0</v>
      </c>
      <c r="M22" s="1">
        <f>'in2'!W22</f>
        <v>1</v>
      </c>
      <c r="N22" s="1">
        <f>'in2'!X22</f>
        <v>0</v>
      </c>
      <c r="O22" s="1">
        <f>'in2'!Y22</f>
        <v>1</v>
      </c>
      <c r="P22" s="1">
        <f>'in2'!Z22</f>
        <v>0</v>
      </c>
      <c r="Q22" s="1">
        <f>'in2'!AA22</f>
        <v>1</v>
      </c>
      <c r="R22" s="1">
        <f>'in2'!AB22</f>
        <v>1</v>
      </c>
      <c r="S22" s="1">
        <f>'in2'!AC22</f>
        <v>0</v>
      </c>
      <c r="T22" s="1">
        <f>'in2'!AD22</f>
        <v>0</v>
      </c>
      <c r="U22" s="1">
        <f>'in2'!AE22</f>
        <v>0</v>
      </c>
      <c r="V22" s="1">
        <f>'in2'!AF22</f>
        <v>0</v>
      </c>
      <c r="W22" s="1">
        <f>'in2'!AG22</f>
        <v>1</v>
      </c>
      <c r="X22" s="1">
        <f>'in2'!AH22</f>
        <v>1</v>
      </c>
      <c r="Y22" s="1">
        <f>'in2'!AI22</f>
        <v>1</v>
      </c>
      <c r="Z22" s="1">
        <f>'in2'!AJ22</f>
        <v>0</v>
      </c>
      <c r="AA22" s="1">
        <f>'in2'!AK22</f>
        <v>0</v>
      </c>
      <c r="AB22" s="5">
        <f t="shared" si="4"/>
        <v>7</v>
      </c>
      <c r="AC22" s="5">
        <f t="shared" si="5"/>
        <v>28</v>
      </c>
      <c r="AD22" s="1">
        <f>'in2'!AL22</f>
        <v>0</v>
      </c>
      <c r="AE22" s="1">
        <f>'in2'!AM22</f>
        <v>1</v>
      </c>
      <c r="AF22" s="1">
        <f>'in2'!AN22</f>
        <v>0</v>
      </c>
      <c r="AG22" s="1">
        <f>'in2'!AO22</f>
        <v>0</v>
      </c>
      <c r="AH22" s="1">
        <f>'in2'!AP22</f>
        <v>0</v>
      </c>
      <c r="AI22" s="1">
        <f>'in2'!AQ22</f>
        <v>0</v>
      </c>
      <c r="AJ22" s="1">
        <f>'in2'!AR22</f>
        <v>0</v>
      </c>
      <c r="AK22" s="1">
        <f>'in2'!AS22</f>
        <v>0</v>
      </c>
      <c r="AL22" s="1">
        <f>'in2'!AT22</f>
        <v>1</v>
      </c>
      <c r="AM22" s="1">
        <f>'in2'!AU22</f>
        <v>0</v>
      </c>
      <c r="AN22" s="1">
        <f>'in2'!AV22</f>
        <v>0</v>
      </c>
      <c r="AO22" s="1">
        <f>'in2'!AW22</f>
        <v>0</v>
      </c>
      <c r="AP22" s="1">
        <f>'in2'!AX22</f>
        <v>1</v>
      </c>
      <c r="AQ22" s="1">
        <f>'in2'!AY22</f>
        <v>1</v>
      </c>
      <c r="AR22" s="1">
        <f>'in2'!AZ22</f>
        <v>0</v>
      </c>
      <c r="AS22" s="1">
        <f>'in2'!BA22</f>
        <v>0</v>
      </c>
      <c r="AT22" s="1">
        <f>'in2'!BB22</f>
        <v>0</v>
      </c>
      <c r="AU22" s="1">
        <f>'in2'!BC22</f>
        <v>0</v>
      </c>
      <c r="AV22" s="1">
        <f>'in2'!BD22</f>
        <v>0</v>
      </c>
      <c r="AW22" s="1">
        <f>'in2'!BE22</f>
        <v>1</v>
      </c>
      <c r="AX22" s="1">
        <f>'in2'!BF22</f>
        <v>0</v>
      </c>
      <c r="AY22" s="1">
        <f>'in2'!BG22</f>
        <v>0</v>
      </c>
      <c r="AZ22" s="1">
        <f>'in2'!BH22</f>
        <v>0</v>
      </c>
      <c r="BA22" s="1">
        <f>'in2'!BI22</f>
        <v>0</v>
      </c>
      <c r="BB22" s="1">
        <f>'in2'!BJ22</f>
        <v>0</v>
      </c>
      <c r="BC22" s="3">
        <f t="shared" si="6"/>
        <v>5</v>
      </c>
      <c r="BD22" s="3">
        <f t="shared" si="7"/>
        <v>20</v>
      </c>
      <c r="BE22" s="1">
        <f>'in2'!BK22</f>
        <v>0</v>
      </c>
      <c r="BF22" s="1">
        <f>'in2'!BL22</f>
        <v>0</v>
      </c>
      <c r="BG22" s="1">
        <f>'in2'!BM22</f>
        <v>0</v>
      </c>
      <c r="BH22" s="1">
        <f>'in2'!BN22</f>
        <v>1</v>
      </c>
      <c r="BI22" s="1">
        <f>'in2'!BO22</f>
        <v>0</v>
      </c>
      <c r="BJ22" s="13">
        <f t="shared" si="0"/>
        <v>1</v>
      </c>
      <c r="BK22" s="14">
        <f t="shared" si="1"/>
        <v>20</v>
      </c>
      <c r="BL22" s="1">
        <f>'in2'!BP22</f>
        <v>0</v>
      </c>
      <c r="BM22" s="1">
        <f>'in2'!BQ22</f>
        <v>0</v>
      </c>
      <c r="BN22" s="1">
        <f>'in2'!BR22</f>
        <v>0</v>
      </c>
      <c r="BO22" s="1">
        <f>'in2'!BS22</f>
        <v>0</v>
      </c>
      <c r="BP22" s="1">
        <f>'in2'!BT22</f>
        <v>0</v>
      </c>
      <c r="BQ22" s="1">
        <f>'in2'!BU22</f>
        <v>0</v>
      </c>
      <c r="BR22" s="1">
        <f>'in2'!BV22</f>
        <v>0</v>
      </c>
      <c r="BS22" s="1">
        <f>'in2'!BW22</f>
        <v>0</v>
      </c>
      <c r="BT22" s="1">
        <f>'in2'!BX22</f>
        <v>0</v>
      </c>
      <c r="BU22" s="1">
        <f>'in2'!BY22</f>
        <v>1</v>
      </c>
      <c r="BV22" s="1">
        <f>'in2'!BZ22</f>
        <v>0</v>
      </c>
      <c r="BW22" s="1">
        <f>'in2'!CA22</f>
        <v>0</v>
      </c>
      <c r="BX22" s="1">
        <f>'in2'!CB22</f>
        <v>1</v>
      </c>
      <c r="BY22" s="11">
        <f t="shared" si="8"/>
        <v>2</v>
      </c>
      <c r="BZ22" s="16">
        <f t="shared" si="9"/>
        <v>15.384615384615385</v>
      </c>
      <c r="CA22" s="1">
        <f>'in2'!CC22</f>
        <v>0</v>
      </c>
      <c r="CB22" s="1">
        <f>'in2'!CD22</f>
        <v>1</v>
      </c>
      <c r="CC22" s="1">
        <f>'in2'!CE22</f>
        <v>0</v>
      </c>
      <c r="CD22" s="1">
        <f>'in2'!CF22</f>
        <v>1</v>
      </c>
      <c r="CE22" s="1">
        <f>'in2'!CG22</f>
        <v>0</v>
      </c>
      <c r="CF22" s="1">
        <f>'in2'!CH22</f>
        <v>1</v>
      </c>
      <c r="CG22" s="1">
        <f>'in2'!CI22</f>
        <v>0</v>
      </c>
      <c r="CH22" s="1">
        <f>'in2'!CJ22</f>
        <v>0</v>
      </c>
      <c r="CI22" s="1">
        <f>'in2'!CK22</f>
        <v>0</v>
      </c>
      <c r="CJ22" s="1">
        <f>'in2'!CL22</f>
        <v>1</v>
      </c>
      <c r="CK22" s="12">
        <f t="shared" si="13"/>
        <v>4</v>
      </c>
      <c r="CL22" s="15">
        <f t="shared" si="10"/>
        <v>40</v>
      </c>
      <c r="CM22" s="65">
        <f>'in2'!CM22</f>
        <v>0</v>
      </c>
      <c r="CN22" s="17">
        <f t="shared" si="2"/>
        <v>0</v>
      </c>
      <c r="CO22" s="17">
        <f t="shared" si="3"/>
        <v>0</v>
      </c>
      <c r="CP22" s="1">
        <f>'in2'!CN22</f>
        <v>1</v>
      </c>
      <c r="CQ22" s="1">
        <f>'in2'!CO22</f>
        <v>0</v>
      </c>
      <c r="CR22" s="1">
        <f>'in2'!CP22</f>
        <v>0</v>
      </c>
      <c r="CS22" s="1">
        <f>'in2'!CQ22</f>
        <v>0</v>
      </c>
      <c r="CT22" s="1">
        <f>'in2'!CR22</f>
        <v>0</v>
      </c>
      <c r="CU22" s="1">
        <f>'in2'!CS22</f>
        <v>1</v>
      </c>
      <c r="CV22" s="1">
        <f>'in2'!CT22</f>
        <v>1</v>
      </c>
      <c r="CW22" s="1">
        <f>'in2'!CU22</f>
        <v>0</v>
      </c>
      <c r="CX22" s="1">
        <f>'in2'!CV22</f>
        <v>0</v>
      </c>
      <c r="CY22" s="1">
        <f>'in2'!CW22</f>
        <v>1</v>
      </c>
      <c r="CZ22" s="1">
        <f>'in2'!CX22</f>
        <v>0</v>
      </c>
      <c r="DA22" s="1">
        <f>'in2'!CY22</f>
        <v>0</v>
      </c>
      <c r="DB22" s="1">
        <f>'in2'!CZ22</f>
        <v>0</v>
      </c>
      <c r="DC22" s="1">
        <f>'in2'!DA22</f>
        <v>0</v>
      </c>
      <c r="DD22" s="1">
        <f>'in2'!DB22</f>
        <v>0</v>
      </c>
      <c r="DE22" s="1">
        <f>'in2'!DC22</f>
        <v>0</v>
      </c>
      <c r="DF22" s="1">
        <f>'in2'!DD22</f>
        <v>0</v>
      </c>
      <c r="DG22" s="1">
        <f>'in2'!DE22</f>
        <v>0</v>
      </c>
      <c r="DH22" s="1">
        <f>'in2'!DF22</f>
        <v>0</v>
      </c>
      <c r="DI22" s="1">
        <f>'in2'!DG22</f>
        <v>0</v>
      </c>
      <c r="DJ22" s="1">
        <f>'in2'!DH22</f>
        <v>0</v>
      </c>
      <c r="DK22" s="1">
        <f>'in2'!DI22</f>
        <v>1</v>
      </c>
      <c r="DL22" s="1">
        <f>'in2'!DJ22</f>
        <v>0</v>
      </c>
      <c r="DM22" s="1">
        <f>'in2'!DK22</f>
        <v>1</v>
      </c>
      <c r="DN22" s="1">
        <f>'in2'!DL22</f>
        <v>0</v>
      </c>
      <c r="DO22" s="1">
        <f>'in2'!DM22</f>
        <v>0</v>
      </c>
      <c r="DP22" s="1">
        <f>'in2'!DN22</f>
        <v>0</v>
      </c>
      <c r="DQ22" s="1">
        <f>'in2'!DO22</f>
        <v>1</v>
      </c>
      <c r="DR22" s="1">
        <f>'in2'!DP22</f>
        <v>1</v>
      </c>
      <c r="DS22" s="1">
        <f>'in2'!DQ22</f>
        <v>0</v>
      </c>
      <c r="DT22" s="1">
        <f>'in2'!DR22</f>
        <v>0</v>
      </c>
      <c r="DU22" s="1">
        <f>'in2'!DS22</f>
        <v>1</v>
      </c>
      <c r="DV22" s="1">
        <f>'in2'!DT22</f>
        <v>1</v>
      </c>
      <c r="DW22" s="1">
        <f>'in2'!DU22</f>
        <v>0</v>
      </c>
      <c r="DX22" s="1">
        <f>'in2'!DV22</f>
        <v>0</v>
      </c>
      <c r="DY22" s="1">
        <f>'in2'!DW22</f>
        <v>1</v>
      </c>
      <c r="DZ22" s="1">
        <f>'in2'!DX22</f>
        <v>0</v>
      </c>
      <c r="EA22" s="1">
        <f>'in2'!DY22</f>
        <v>0</v>
      </c>
      <c r="EB22" s="1">
        <f>'in2'!DZ22</f>
        <v>0</v>
      </c>
      <c r="EC22" s="1">
        <f>'in2'!EA22</f>
        <v>1</v>
      </c>
      <c r="ED22" s="1">
        <f>'in2'!EB22</f>
        <v>0</v>
      </c>
      <c r="EE22" s="1">
        <f>'in2'!EC22</f>
        <v>0</v>
      </c>
      <c r="EF22" s="1">
        <f>'in2'!ED22</f>
        <v>0</v>
      </c>
      <c r="EG22" s="1">
        <f>'in2'!EE22</f>
        <v>1</v>
      </c>
      <c r="EH22" s="1">
        <f>'in2'!EF22</f>
        <v>0</v>
      </c>
      <c r="EI22" s="1">
        <f>'in2'!EG22</f>
        <v>1</v>
      </c>
      <c r="EJ22" s="1">
        <f>'in2'!EH22</f>
        <v>0</v>
      </c>
      <c r="EK22" s="1">
        <f>'in2'!EI22</f>
        <v>0</v>
      </c>
      <c r="EL22" s="1">
        <f>'in2'!EJ22</f>
        <v>0</v>
      </c>
      <c r="EM22" s="1">
        <f>'in2'!EK22</f>
        <v>0</v>
      </c>
      <c r="EN22" s="1">
        <f>'in2'!EL22</f>
        <v>0</v>
      </c>
      <c r="EO22" s="1">
        <f>'in2'!EM22</f>
        <v>0</v>
      </c>
      <c r="EP22" s="1">
        <f>'in2'!EN22</f>
        <v>0</v>
      </c>
      <c r="EQ22" s="1">
        <f>'in2'!EO22</f>
        <v>0</v>
      </c>
      <c r="ER22" s="1">
        <f>'in2'!EP22</f>
        <v>0</v>
      </c>
      <c r="ES22" s="6">
        <f t="shared" si="12"/>
        <v>14</v>
      </c>
      <c r="ET22" s="7">
        <f t="shared" si="11"/>
        <v>25.454545454545453</v>
      </c>
    </row>
    <row r="23" spans="1:150" x14ac:dyDescent="0.35">
      <c r="A23" s="43" t="str">
        <f>in!D23</f>
        <v xml:space="preserve">RAMOS RAMOS SEBASTIAN ANDRES  </v>
      </c>
      <c r="B23" s="43">
        <f>in!E23</f>
        <v>5812</v>
      </c>
      <c r="C23" s="1">
        <f>'in2'!M23</f>
        <v>0</v>
      </c>
      <c r="D23" s="1">
        <f>'in2'!N23</f>
        <v>0</v>
      </c>
      <c r="E23" s="1">
        <f>'in2'!O23</f>
        <v>0</v>
      </c>
      <c r="F23" s="1">
        <f>'in2'!P23</f>
        <v>1</v>
      </c>
      <c r="G23" s="1">
        <f>'in2'!Q23</f>
        <v>1</v>
      </c>
      <c r="H23" s="1">
        <f>'in2'!R23</f>
        <v>1</v>
      </c>
      <c r="I23" s="1">
        <f>'in2'!S23</f>
        <v>0</v>
      </c>
      <c r="J23" s="1">
        <f>'in2'!T23</f>
        <v>1</v>
      </c>
      <c r="K23" s="1">
        <f>'in2'!U23</f>
        <v>0</v>
      </c>
      <c r="L23" s="1">
        <f>'in2'!V23</f>
        <v>1</v>
      </c>
      <c r="M23" s="1">
        <f>'in2'!W23</f>
        <v>1</v>
      </c>
      <c r="N23" s="1">
        <f>'in2'!X23</f>
        <v>0</v>
      </c>
      <c r="O23" s="1">
        <f>'in2'!Y23</f>
        <v>0</v>
      </c>
      <c r="P23" s="1">
        <f>'in2'!Z23</f>
        <v>0</v>
      </c>
      <c r="Q23" s="1">
        <f>'in2'!AA23</f>
        <v>0</v>
      </c>
      <c r="R23" s="1">
        <f>'in2'!AB23</f>
        <v>0</v>
      </c>
      <c r="S23" s="1">
        <f>'in2'!AC23</f>
        <v>0</v>
      </c>
      <c r="T23" s="1">
        <f>'in2'!AD23</f>
        <v>0</v>
      </c>
      <c r="U23" s="1">
        <f>'in2'!AE23</f>
        <v>1</v>
      </c>
      <c r="V23" s="1">
        <f>'in2'!AF23</f>
        <v>1</v>
      </c>
      <c r="W23" s="1">
        <f>'in2'!AG23</f>
        <v>1</v>
      </c>
      <c r="X23" s="1">
        <f>'in2'!AH23</f>
        <v>0</v>
      </c>
      <c r="Y23" s="1">
        <f>'in2'!AI23</f>
        <v>1</v>
      </c>
      <c r="Z23" s="1">
        <f>'in2'!AJ23</f>
        <v>1</v>
      </c>
      <c r="AA23" s="1">
        <f>'in2'!AK23</f>
        <v>0</v>
      </c>
      <c r="AB23" s="5">
        <f t="shared" si="4"/>
        <v>11</v>
      </c>
      <c r="AC23" s="5">
        <f t="shared" si="5"/>
        <v>44</v>
      </c>
      <c r="AD23" s="1">
        <f>'in2'!AL23</f>
        <v>1</v>
      </c>
      <c r="AE23" s="1">
        <f>'in2'!AM23</f>
        <v>1</v>
      </c>
      <c r="AF23" s="1">
        <f>'in2'!AN23</f>
        <v>0</v>
      </c>
      <c r="AG23" s="1">
        <f>'in2'!AO23</f>
        <v>0</v>
      </c>
      <c r="AH23" s="1">
        <f>'in2'!AP23</f>
        <v>1</v>
      </c>
      <c r="AI23" s="1">
        <f>'in2'!AQ23</f>
        <v>0</v>
      </c>
      <c r="AJ23" s="1">
        <f>'in2'!AR23</f>
        <v>0</v>
      </c>
      <c r="AK23" s="1">
        <f>'in2'!AS23</f>
        <v>1</v>
      </c>
      <c r="AL23" s="1">
        <f>'in2'!AT23</f>
        <v>0</v>
      </c>
      <c r="AM23" s="1">
        <f>'in2'!AU23</f>
        <v>0</v>
      </c>
      <c r="AN23" s="1">
        <f>'in2'!AV23</f>
        <v>0</v>
      </c>
      <c r="AO23" s="1">
        <f>'in2'!AW23</f>
        <v>0</v>
      </c>
      <c r="AP23" s="1">
        <f>'in2'!AX23</f>
        <v>0</v>
      </c>
      <c r="AQ23" s="1">
        <f>'in2'!AY23</f>
        <v>1</v>
      </c>
      <c r="AR23" s="1">
        <f>'in2'!AZ23</f>
        <v>1</v>
      </c>
      <c r="AS23" s="1">
        <f>'in2'!BA23</f>
        <v>0</v>
      </c>
      <c r="AT23" s="1">
        <f>'in2'!BB23</f>
        <v>1</v>
      </c>
      <c r="AU23" s="1">
        <f>'in2'!BC23</f>
        <v>0</v>
      </c>
      <c r="AV23" s="1">
        <f>'in2'!BD23</f>
        <v>0</v>
      </c>
      <c r="AW23" s="1">
        <f>'in2'!BE23</f>
        <v>0</v>
      </c>
      <c r="AX23" s="1">
        <f>'in2'!BF23</f>
        <v>0</v>
      </c>
      <c r="AY23" s="1">
        <f>'in2'!BG23</f>
        <v>0</v>
      </c>
      <c r="AZ23" s="1">
        <f>'in2'!BH23</f>
        <v>0</v>
      </c>
      <c r="BA23" s="1">
        <f>'in2'!BI23</f>
        <v>0</v>
      </c>
      <c r="BB23" s="1">
        <f>'in2'!BJ23</f>
        <v>0</v>
      </c>
      <c r="BC23" s="3">
        <f t="shared" si="6"/>
        <v>7</v>
      </c>
      <c r="BD23" s="3">
        <f t="shared" si="7"/>
        <v>28</v>
      </c>
      <c r="BE23" s="1">
        <f>'in2'!BK23</f>
        <v>0</v>
      </c>
      <c r="BF23" s="1">
        <f>'in2'!BL23</f>
        <v>0</v>
      </c>
      <c r="BG23" s="1">
        <f>'in2'!BM23</f>
        <v>0</v>
      </c>
      <c r="BH23" s="1">
        <f>'in2'!BN23</f>
        <v>0</v>
      </c>
      <c r="BI23" s="1">
        <f>'in2'!BO23</f>
        <v>1</v>
      </c>
      <c r="BJ23" s="13">
        <f t="shared" si="0"/>
        <v>1</v>
      </c>
      <c r="BK23" s="14">
        <f t="shared" si="1"/>
        <v>20</v>
      </c>
      <c r="BL23" s="1">
        <f>'in2'!BP23</f>
        <v>0</v>
      </c>
      <c r="BM23" s="1">
        <f>'in2'!BQ23</f>
        <v>0</v>
      </c>
      <c r="BN23" s="1">
        <f>'in2'!BR23</f>
        <v>1</v>
      </c>
      <c r="BO23" s="1">
        <f>'in2'!BS23</f>
        <v>0</v>
      </c>
      <c r="BP23" s="1">
        <f>'in2'!BT23</f>
        <v>1</v>
      </c>
      <c r="BQ23" s="1">
        <f>'in2'!BU23</f>
        <v>0</v>
      </c>
      <c r="BR23" s="1">
        <f>'in2'!BV23</f>
        <v>0</v>
      </c>
      <c r="BS23" s="1">
        <f>'in2'!BW23</f>
        <v>0</v>
      </c>
      <c r="BT23" s="1">
        <f>'in2'!BX23</f>
        <v>0</v>
      </c>
      <c r="BU23" s="1">
        <f>'in2'!BY23</f>
        <v>0</v>
      </c>
      <c r="BV23" s="1">
        <f>'in2'!BZ23</f>
        <v>0</v>
      </c>
      <c r="BW23" s="1">
        <f>'in2'!CA23</f>
        <v>0</v>
      </c>
      <c r="BX23" s="1">
        <f>'in2'!CB23</f>
        <v>0</v>
      </c>
      <c r="BY23" s="11">
        <f t="shared" si="8"/>
        <v>2</v>
      </c>
      <c r="BZ23" s="16">
        <f t="shared" si="9"/>
        <v>15.384615384615385</v>
      </c>
      <c r="CA23" s="1">
        <f>'in2'!CC23</f>
        <v>0</v>
      </c>
      <c r="CB23" s="1">
        <f>'in2'!CD23</f>
        <v>1</v>
      </c>
      <c r="CC23" s="1">
        <f>'in2'!CE23</f>
        <v>0</v>
      </c>
      <c r="CD23" s="1">
        <f>'in2'!CF23</f>
        <v>0</v>
      </c>
      <c r="CE23" s="1">
        <f>'in2'!CG23</f>
        <v>0</v>
      </c>
      <c r="CF23" s="1">
        <f>'in2'!CH23</f>
        <v>1</v>
      </c>
      <c r="CG23" s="1">
        <f>'in2'!CI23</f>
        <v>0</v>
      </c>
      <c r="CH23" s="1">
        <f>'in2'!CJ23</f>
        <v>1</v>
      </c>
      <c r="CI23" s="1">
        <f>'in2'!CK23</f>
        <v>1</v>
      </c>
      <c r="CJ23" s="1">
        <f>'in2'!CL23</f>
        <v>0</v>
      </c>
      <c r="CK23" s="12">
        <f t="shared" si="13"/>
        <v>4</v>
      </c>
      <c r="CL23" s="15">
        <f t="shared" si="10"/>
        <v>40</v>
      </c>
      <c r="CM23" s="65">
        <f>'in2'!CM23</f>
        <v>0</v>
      </c>
      <c r="CN23" s="17">
        <f t="shared" si="2"/>
        <v>0</v>
      </c>
      <c r="CO23" s="17">
        <f t="shared" si="3"/>
        <v>0</v>
      </c>
      <c r="CP23" s="1">
        <f>'in2'!CN23</f>
        <v>0</v>
      </c>
      <c r="CQ23" s="1">
        <f>'in2'!CO23</f>
        <v>0</v>
      </c>
      <c r="CR23" s="1">
        <f>'in2'!CP23</f>
        <v>0</v>
      </c>
      <c r="CS23" s="1">
        <f>'in2'!CQ23</f>
        <v>0</v>
      </c>
      <c r="CT23" s="1">
        <f>'in2'!CR23</f>
        <v>0</v>
      </c>
      <c r="CU23" s="1">
        <f>'in2'!CS23</f>
        <v>1</v>
      </c>
      <c r="CV23" s="1">
        <f>'in2'!CT23</f>
        <v>1</v>
      </c>
      <c r="CW23" s="1">
        <f>'in2'!CU23</f>
        <v>1</v>
      </c>
      <c r="CX23" s="1">
        <f>'in2'!CV23</f>
        <v>0</v>
      </c>
      <c r="CY23" s="1">
        <f>'in2'!CW23</f>
        <v>0</v>
      </c>
      <c r="CZ23" s="1">
        <f>'in2'!CX23</f>
        <v>1</v>
      </c>
      <c r="DA23" s="1">
        <f>'in2'!CY23</f>
        <v>0</v>
      </c>
      <c r="DB23" s="1">
        <f>'in2'!CZ23</f>
        <v>0</v>
      </c>
      <c r="DC23" s="1">
        <f>'in2'!DA23</f>
        <v>0</v>
      </c>
      <c r="DD23" s="1">
        <f>'in2'!DB23</f>
        <v>1</v>
      </c>
      <c r="DE23" s="1">
        <f>'in2'!DC23</f>
        <v>0</v>
      </c>
      <c r="DF23" s="1">
        <f>'in2'!DD23</f>
        <v>1</v>
      </c>
      <c r="DG23" s="1">
        <f>'in2'!DE23</f>
        <v>1</v>
      </c>
      <c r="DH23" s="1">
        <f>'in2'!DF23</f>
        <v>0</v>
      </c>
      <c r="DI23" s="1">
        <f>'in2'!DG23</f>
        <v>1</v>
      </c>
      <c r="DJ23" s="1">
        <f>'in2'!DH23</f>
        <v>1</v>
      </c>
      <c r="DK23" s="1">
        <f>'in2'!DI23</f>
        <v>1</v>
      </c>
      <c r="DL23" s="1">
        <f>'in2'!DJ23</f>
        <v>0</v>
      </c>
      <c r="DM23" s="1">
        <f>'in2'!DK23</f>
        <v>1</v>
      </c>
      <c r="DN23" s="1">
        <f>'in2'!DL23</f>
        <v>0</v>
      </c>
      <c r="DO23" s="1">
        <f>'in2'!DM23</f>
        <v>0</v>
      </c>
      <c r="DP23" s="1">
        <f>'in2'!DN23</f>
        <v>0</v>
      </c>
      <c r="DQ23" s="1">
        <f>'in2'!DO23</f>
        <v>0</v>
      </c>
      <c r="DR23" s="1">
        <f>'in2'!DP23</f>
        <v>1</v>
      </c>
      <c r="DS23" s="1">
        <f>'in2'!DQ23</f>
        <v>0</v>
      </c>
      <c r="DT23" s="1">
        <f>'in2'!DR23</f>
        <v>0</v>
      </c>
      <c r="DU23" s="1">
        <f>'in2'!DS23</f>
        <v>0</v>
      </c>
      <c r="DV23" s="1">
        <f>'in2'!DT23</f>
        <v>0</v>
      </c>
      <c r="DW23" s="1">
        <f>'in2'!DU23</f>
        <v>0</v>
      </c>
      <c r="DX23" s="1">
        <f>'in2'!DV23</f>
        <v>1</v>
      </c>
      <c r="DY23" s="1">
        <f>'in2'!DW23</f>
        <v>0</v>
      </c>
      <c r="DZ23" s="1">
        <f>'in2'!DX23</f>
        <v>1</v>
      </c>
      <c r="EA23" s="1">
        <f>'in2'!DY23</f>
        <v>0</v>
      </c>
      <c r="EB23" s="1">
        <f>'in2'!DZ23</f>
        <v>0</v>
      </c>
      <c r="EC23" s="1">
        <f>'in2'!EA23</f>
        <v>0</v>
      </c>
      <c r="ED23" s="1">
        <f>'in2'!EB23</f>
        <v>1</v>
      </c>
      <c r="EE23" s="1">
        <f>'in2'!EC23</f>
        <v>0</v>
      </c>
      <c r="EF23" s="1">
        <f>'in2'!ED23</f>
        <v>0</v>
      </c>
      <c r="EG23" s="1">
        <f>'in2'!EE23</f>
        <v>1</v>
      </c>
      <c r="EH23" s="1">
        <f>'in2'!EF23</f>
        <v>0</v>
      </c>
      <c r="EI23" s="1">
        <f>'in2'!EG23</f>
        <v>0</v>
      </c>
      <c r="EJ23" s="1">
        <f>'in2'!EH23</f>
        <v>0</v>
      </c>
      <c r="EK23" s="1">
        <f>'in2'!EI23</f>
        <v>0</v>
      </c>
      <c r="EL23" s="1">
        <f>'in2'!EJ23</f>
        <v>0</v>
      </c>
      <c r="EM23" s="1">
        <f>'in2'!EK23</f>
        <v>0</v>
      </c>
      <c r="EN23" s="1">
        <f>'in2'!EL23</f>
        <v>0</v>
      </c>
      <c r="EO23" s="1">
        <f>'in2'!EM23</f>
        <v>0</v>
      </c>
      <c r="EP23" s="1">
        <f>'in2'!EN23</f>
        <v>1</v>
      </c>
      <c r="EQ23" s="1">
        <f>'in2'!EO23</f>
        <v>0</v>
      </c>
      <c r="ER23" s="1">
        <f>'in2'!EP23</f>
        <v>0</v>
      </c>
      <c r="ES23" s="6">
        <f t="shared" si="12"/>
        <v>17</v>
      </c>
      <c r="ET23" s="7">
        <f t="shared" si="11"/>
        <v>30.90909090909091</v>
      </c>
    </row>
    <row r="24" spans="1:150" x14ac:dyDescent="0.35">
      <c r="A24" s="43" t="str">
        <f>in!D24</f>
        <v>ALVAREZ MARQUEZ FRANK LUIS</v>
      </c>
      <c r="B24" s="43">
        <f>in!E24</f>
        <v>6201</v>
      </c>
      <c r="C24" s="1">
        <f>'in2'!M24</f>
        <v>1</v>
      </c>
      <c r="D24" s="1">
        <f>'in2'!N24</f>
        <v>0</v>
      </c>
      <c r="E24" s="1">
        <f>'in2'!O24</f>
        <v>0</v>
      </c>
      <c r="F24" s="1">
        <f>'in2'!P24</f>
        <v>0</v>
      </c>
      <c r="G24" s="1">
        <f>'in2'!Q24</f>
        <v>0</v>
      </c>
      <c r="H24" s="1">
        <f>'in2'!R24</f>
        <v>0</v>
      </c>
      <c r="I24" s="1">
        <f>'in2'!S24</f>
        <v>0</v>
      </c>
      <c r="J24" s="1">
        <f>'in2'!T24</f>
        <v>1</v>
      </c>
      <c r="K24" s="1">
        <f>'in2'!U24</f>
        <v>0</v>
      </c>
      <c r="L24" s="1">
        <f>'in2'!V24</f>
        <v>0</v>
      </c>
      <c r="M24" s="1">
        <f>'in2'!W24</f>
        <v>0</v>
      </c>
      <c r="N24" s="1">
        <f>'in2'!X24</f>
        <v>0</v>
      </c>
      <c r="O24" s="1">
        <f>'in2'!Y24</f>
        <v>0</v>
      </c>
      <c r="P24" s="1">
        <f>'in2'!Z24</f>
        <v>0</v>
      </c>
      <c r="Q24" s="1">
        <f>'in2'!AA24</f>
        <v>0</v>
      </c>
      <c r="R24" s="1">
        <f>'in2'!AB24</f>
        <v>0</v>
      </c>
      <c r="S24" s="1">
        <f>'in2'!AC24</f>
        <v>0</v>
      </c>
      <c r="T24" s="1">
        <f>'in2'!AD24</f>
        <v>1</v>
      </c>
      <c r="U24" s="1">
        <f>'in2'!AE24</f>
        <v>0</v>
      </c>
      <c r="V24" s="1">
        <f>'in2'!AF24</f>
        <v>0</v>
      </c>
      <c r="W24" s="1">
        <f>'in2'!AG24</f>
        <v>0</v>
      </c>
      <c r="X24" s="1">
        <f>'in2'!AH24</f>
        <v>1</v>
      </c>
      <c r="Y24" s="1">
        <f>'in2'!AI24</f>
        <v>0</v>
      </c>
      <c r="Z24" s="1">
        <f>'in2'!AJ24</f>
        <v>0</v>
      </c>
      <c r="AA24" s="1">
        <f>'in2'!AK24</f>
        <v>0</v>
      </c>
      <c r="AB24" s="5">
        <f t="shared" si="4"/>
        <v>4</v>
      </c>
      <c r="AC24" s="5">
        <f t="shared" si="5"/>
        <v>16</v>
      </c>
      <c r="AD24" s="1">
        <f>'in2'!AL24</f>
        <v>1</v>
      </c>
      <c r="AE24" s="1">
        <f>'in2'!AM24</f>
        <v>1</v>
      </c>
      <c r="AF24" s="1">
        <f>'in2'!AN24</f>
        <v>1</v>
      </c>
      <c r="AG24" s="1">
        <f>'in2'!AO24</f>
        <v>0</v>
      </c>
      <c r="AH24" s="1">
        <f>'in2'!AP24</f>
        <v>0</v>
      </c>
      <c r="AI24" s="1">
        <f>'in2'!AQ24</f>
        <v>0</v>
      </c>
      <c r="AJ24" s="1">
        <f>'in2'!AR24</f>
        <v>0</v>
      </c>
      <c r="AK24" s="1">
        <f>'in2'!AS24</f>
        <v>0</v>
      </c>
      <c r="AL24" s="1">
        <f>'in2'!AT24</f>
        <v>0</v>
      </c>
      <c r="AM24" s="1">
        <f>'in2'!AU24</f>
        <v>0</v>
      </c>
      <c r="AN24" s="1">
        <f>'in2'!AV24</f>
        <v>1</v>
      </c>
      <c r="AO24" s="1">
        <f>'in2'!AW24</f>
        <v>0</v>
      </c>
      <c r="AP24" s="1">
        <f>'in2'!AX24</f>
        <v>0</v>
      </c>
      <c r="AQ24" s="1">
        <f>'in2'!AY24</f>
        <v>1</v>
      </c>
      <c r="AR24" s="1">
        <f>'in2'!AZ24</f>
        <v>0</v>
      </c>
      <c r="AS24" s="1">
        <f>'in2'!BA24</f>
        <v>0</v>
      </c>
      <c r="AT24" s="1">
        <f>'in2'!BB24</f>
        <v>0</v>
      </c>
      <c r="AU24" s="1">
        <f>'in2'!BC24</f>
        <v>1</v>
      </c>
      <c r="AV24" s="1">
        <f>'in2'!BD24</f>
        <v>0</v>
      </c>
      <c r="AW24" s="1">
        <f>'in2'!BE24</f>
        <v>1</v>
      </c>
      <c r="AX24" s="1">
        <f>'in2'!BF24</f>
        <v>1</v>
      </c>
      <c r="AY24" s="1">
        <f>'in2'!BG24</f>
        <v>0</v>
      </c>
      <c r="AZ24" s="1">
        <f>'in2'!BH24</f>
        <v>1</v>
      </c>
      <c r="BA24" s="1">
        <f>'in2'!BI24</f>
        <v>0</v>
      </c>
      <c r="BB24" s="1">
        <f>'in2'!BJ24</f>
        <v>0</v>
      </c>
      <c r="BC24" s="3">
        <f t="shared" si="6"/>
        <v>9</v>
      </c>
      <c r="BD24" s="3">
        <f t="shared" si="7"/>
        <v>36</v>
      </c>
      <c r="BE24" s="1">
        <f>'in2'!BK24</f>
        <v>1</v>
      </c>
      <c r="BF24" s="1">
        <f>'in2'!BL24</f>
        <v>0</v>
      </c>
      <c r="BG24" s="1">
        <f>'in2'!BM24</f>
        <v>0</v>
      </c>
      <c r="BH24" s="1">
        <f>'in2'!BN24</f>
        <v>0</v>
      </c>
      <c r="BI24" s="1">
        <f>'in2'!BO24</f>
        <v>1</v>
      </c>
      <c r="BJ24" s="13">
        <f t="shared" si="0"/>
        <v>2</v>
      </c>
      <c r="BK24" s="14">
        <f t="shared" si="1"/>
        <v>40</v>
      </c>
      <c r="BL24" s="1">
        <f>'in2'!BP24</f>
        <v>0</v>
      </c>
      <c r="BM24" s="1">
        <f>'in2'!BQ24</f>
        <v>0</v>
      </c>
      <c r="BN24" s="1">
        <f>'in2'!BR24</f>
        <v>0</v>
      </c>
      <c r="BO24" s="1">
        <f>'in2'!BS24</f>
        <v>0</v>
      </c>
      <c r="BP24" s="1">
        <f>'in2'!BT24</f>
        <v>1</v>
      </c>
      <c r="BQ24" s="1">
        <f>'in2'!BU24</f>
        <v>0</v>
      </c>
      <c r="BR24" s="1">
        <f>'in2'!BV24</f>
        <v>0</v>
      </c>
      <c r="BS24" s="1">
        <f>'in2'!BW24</f>
        <v>0</v>
      </c>
      <c r="BT24" s="1">
        <f>'in2'!BX24</f>
        <v>1</v>
      </c>
      <c r="BU24" s="1">
        <f>'in2'!BY24</f>
        <v>0</v>
      </c>
      <c r="BV24" s="1">
        <f>'in2'!BZ24</f>
        <v>1</v>
      </c>
      <c r="BW24" s="1">
        <f>'in2'!CA24</f>
        <v>0</v>
      </c>
      <c r="BX24" s="1">
        <f>'in2'!CB24</f>
        <v>0</v>
      </c>
      <c r="BY24" s="11">
        <f t="shared" si="8"/>
        <v>3</v>
      </c>
      <c r="BZ24" s="16">
        <f t="shared" si="9"/>
        <v>23.076923076923077</v>
      </c>
      <c r="CA24" s="1">
        <f>'in2'!CC24</f>
        <v>0</v>
      </c>
      <c r="CB24" s="1">
        <f>'in2'!CD24</f>
        <v>0</v>
      </c>
      <c r="CC24" s="1">
        <f>'in2'!CE24</f>
        <v>0</v>
      </c>
      <c r="CD24" s="1">
        <f>'in2'!CF24</f>
        <v>0</v>
      </c>
      <c r="CE24" s="1">
        <f>'in2'!CG24</f>
        <v>1</v>
      </c>
      <c r="CF24" s="1">
        <f>'in2'!CH24</f>
        <v>0</v>
      </c>
      <c r="CG24" s="1">
        <f>'in2'!CI24</f>
        <v>0</v>
      </c>
      <c r="CH24" s="1">
        <f>'in2'!CJ24</f>
        <v>1</v>
      </c>
      <c r="CI24" s="1">
        <f>'in2'!CK24</f>
        <v>1</v>
      </c>
      <c r="CJ24" s="1">
        <f>'in2'!CL24</f>
        <v>0</v>
      </c>
      <c r="CK24" s="12">
        <f t="shared" si="13"/>
        <v>3</v>
      </c>
      <c r="CL24" s="15">
        <f t="shared" si="10"/>
        <v>30</v>
      </c>
      <c r="CM24" s="65">
        <f>'in2'!CM24</f>
        <v>1</v>
      </c>
      <c r="CN24" s="17">
        <f t="shared" si="2"/>
        <v>1</v>
      </c>
      <c r="CO24" s="17">
        <f t="shared" si="3"/>
        <v>100</v>
      </c>
      <c r="CP24" s="1">
        <f>'in2'!CN24</f>
        <v>1</v>
      </c>
      <c r="CQ24" s="1">
        <f>'in2'!CO24</f>
        <v>1</v>
      </c>
      <c r="CR24" s="1">
        <f>'in2'!CP24</f>
        <v>1</v>
      </c>
      <c r="CS24" s="1">
        <f>'in2'!CQ24</f>
        <v>0</v>
      </c>
      <c r="CT24" s="1">
        <f>'in2'!CR24</f>
        <v>1</v>
      </c>
      <c r="CU24" s="1">
        <f>'in2'!CS24</f>
        <v>1</v>
      </c>
      <c r="CV24" s="1">
        <f>'in2'!CT24</f>
        <v>0</v>
      </c>
      <c r="CW24" s="1">
        <f>'in2'!CU24</f>
        <v>1</v>
      </c>
      <c r="CX24" s="1">
        <f>'in2'!CV24</f>
        <v>0</v>
      </c>
      <c r="CY24" s="1">
        <f>'in2'!CW24</f>
        <v>1</v>
      </c>
      <c r="CZ24" s="1">
        <f>'in2'!CX24</f>
        <v>0</v>
      </c>
      <c r="DA24" s="1">
        <f>'in2'!CY24</f>
        <v>0</v>
      </c>
      <c r="DB24" s="1">
        <f>'in2'!CZ24</f>
        <v>1</v>
      </c>
      <c r="DC24" s="1">
        <f>'in2'!DA24</f>
        <v>0</v>
      </c>
      <c r="DD24" s="1">
        <f>'in2'!DB24</f>
        <v>1</v>
      </c>
      <c r="DE24" s="1">
        <f>'in2'!DC24</f>
        <v>1</v>
      </c>
      <c r="DF24" s="1">
        <f>'in2'!DD24</f>
        <v>0</v>
      </c>
      <c r="DG24" s="1">
        <f>'in2'!DE24</f>
        <v>0</v>
      </c>
      <c r="DH24" s="1">
        <f>'in2'!DF24</f>
        <v>0</v>
      </c>
      <c r="DI24" s="1">
        <f>'in2'!DG24</f>
        <v>0</v>
      </c>
      <c r="DJ24" s="1">
        <f>'in2'!DH24</f>
        <v>0</v>
      </c>
      <c r="DK24" s="1">
        <f>'in2'!DI24</f>
        <v>1</v>
      </c>
      <c r="DL24" s="1">
        <f>'in2'!DJ24</f>
        <v>0</v>
      </c>
      <c r="DM24" s="1">
        <f>'in2'!DK24</f>
        <v>0</v>
      </c>
      <c r="DN24" s="1">
        <f>'in2'!DL24</f>
        <v>1</v>
      </c>
      <c r="DO24" s="1">
        <f>'in2'!DM24</f>
        <v>0</v>
      </c>
      <c r="DP24" s="1">
        <f>'in2'!DN24</f>
        <v>1</v>
      </c>
      <c r="DQ24" s="1">
        <f>'in2'!DO24</f>
        <v>0</v>
      </c>
      <c r="DR24" s="1">
        <f>'in2'!DP24</f>
        <v>1</v>
      </c>
      <c r="DS24" s="1">
        <f>'in2'!DQ24</f>
        <v>1</v>
      </c>
      <c r="DT24" s="1">
        <f>'in2'!DR24</f>
        <v>1</v>
      </c>
      <c r="DU24" s="1">
        <f>'in2'!DS24</f>
        <v>1</v>
      </c>
      <c r="DV24" s="1">
        <f>'in2'!DT24</f>
        <v>0</v>
      </c>
      <c r="DW24" s="1">
        <f>'in2'!DU24</f>
        <v>1</v>
      </c>
      <c r="DX24" s="1">
        <f>'in2'!DV24</f>
        <v>1</v>
      </c>
      <c r="DY24" s="1">
        <f>'in2'!DW24</f>
        <v>0</v>
      </c>
      <c r="DZ24" s="1">
        <f>'in2'!DX24</f>
        <v>0</v>
      </c>
      <c r="EA24" s="1">
        <f>'in2'!DY24</f>
        <v>1</v>
      </c>
      <c r="EB24" s="1">
        <f>'in2'!DZ24</f>
        <v>1</v>
      </c>
      <c r="EC24" s="1">
        <f>'in2'!EA24</f>
        <v>0</v>
      </c>
      <c r="ED24" s="1">
        <f>'in2'!EB24</f>
        <v>0</v>
      </c>
      <c r="EE24" s="1">
        <f>'in2'!EC24</f>
        <v>0</v>
      </c>
      <c r="EF24" s="1">
        <f>'in2'!ED24</f>
        <v>1</v>
      </c>
      <c r="EG24" s="1">
        <f>'in2'!EE24</f>
        <v>0</v>
      </c>
      <c r="EH24" s="1">
        <f>'in2'!EF24</f>
        <v>0</v>
      </c>
      <c r="EI24" s="1">
        <f>'in2'!EG24</f>
        <v>0</v>
      </c>
      <c r="EJ24" s="1">
        <f>'in2'!EH24</f>
        <v>1</v>
      </c>
      <c r="EK24" s="1">
        <f>'in2'!EI24</f>
        <v>0</v>
      </c>
      <c r="EL24" s="1">
        <f>'in2'!EJ24</f>
        <v>0</v>
      </c>
      <c r="EM24" s="1">
        <f>'in2'!EK24</f>
        <v>0</v>
      </c>
      <c r="EN24" s="1">
        <f>'in2'!EL24</f>
        <v>0</v>
      </c>
      <c r="EO24" s="1">
        <f>'in2'!EM24</f>
        <v>0</v>
      </c>
      <c r="EP24" s="1">
        <f>'in2'!EN24</f>
        <v>0</v>
      </c>
      <c r="EQ24" s="1">
        <f>'in2'!EO24</f>
        <v>1</v>
      </c>
      <c r="ER24" s="1">
        <f>'in2'!EP24</f>
        <v>0</v>
      </c>
      <c r="ES24" s="6">
        <f t="shared" si="12"/>
        <v>24</v>
      </c>
      <c r="ET24" s="7">
        <f t="shared" si="11"/>
        <v>43.636363636363633</v>
      </c>
    </row>
    <row r="25" spans="1:150" x14ac:dyDescent="0.35">
      <c r="A25" s="43" t="str">
        <f>in!D25</f>
        <v>BRAVO OVALLES KAMILA ANDREA</v>
      </c>
      <c r="B25" s="43">
        <f>in!E25</f>
        <v>6203</v>
      </c>
      <c r="C25" s="1">
        <f>'in2'!M25</f>
        <v>1</v>
      </c>
      <c r="D25" s="1">
        <f>'in2'!N25</f>
        <v>0</v>
      </c>
      <c r="E25" s="1">
        <f>'in2'!O25</f>
        <v>0</v>
      </c>
      <c r="F25" s="1">
        <f>'in2'!P25</f>
        <v>0</v>
      </c>
      <c r="G25" s="1">
        <f>'in2'!Q25</f>
        <v>1</v>
      </c>
      <c r="H25" s="1">
        <f>'in2'!R25</f>
        <v>1</v>
      </c>
      <c r="I25" s="1">
        <f>'in2'!S25</f>
        <v>0</v>
      </c>
      <c r="J25" s="1">
        <f>'in2'!T25</f>
        <v>1</v>
      </c>
      <c r="K25" s="1">
        <f>'in2'!U25</f>
        <v>0</v>
      </c>
      <c r="L25" s="1">
        <f>'in2'!V25</f>
        <v>0</v>
      </c>
      <c r="M25" s="1">
        <f>'in2'!W25</f>
        <v>0</v>
      </c>
      <c r="N25" s="1">
        <f>'in2'!X25</f>
        <v>1</v>
      </c>
      <c r="O25" s="1">
        <f>'in2'!Y25</f>
        <v>1</v>
      </c>
      <c r="P25" s="1">
        <f>'in2'!Z25</f>
        <v>0</v>
      </c>
      <c r="Q25" s="1">
        <f>'in2'!AA25</f>
        <v>0</v>
      </c>
      <c r="R25" s="1">
        <f>'in2'!AB25</f>
        <v>1</v>
      </c>
      <c r="S25" s="1">
        <f>'in2'!AC25</f>
        <v>0</v>
      </c>
      <c r="T25" s="1">
        <f>'in2'!AD25</f>
        <v>0</v>
      </c>
      <c r="U25" s="1">
        <f>'in2'!AE25</f>
        <v>1</v>
      </c>
      <c r="V25" s="1">
        <f>'in2'!AF25</f>
        <v>1</v>
      </c>
      <c r="W25" s="1">
        <f>'in2'!AG25</f>
        <v>1</v>
      </c>
      <c r="X25" s="1">
        <f>'in2'!AH25</f>
        <v>0</v>
      </c>
      <c r="Y25" s="1">
        <f>'in2'!AI25</f>
        <v>0</v>
      </c>
      <c r="Z25" s="1">
        <f>'in2'!AJ25</f>
        <v>0</v>
      </c>
      <c r="AA25" s="1">
        <f>'in2'!AK25</f>
        <v>0</v>
      </c>
      <c r="AB25" s="5">
        <f t="shared" si="4"/>
        <v>10</v>
      </c>
      <c r="AC25" s="5">
        <f t="shared" si="5"/>
        <v>40</v>
      </c>
      <c r="AD25" s="1">
        <f>'in2'!AL25</f>
        <v>0</v>
      </c>
      <c r="AE25" s="1">
        <f>'in2'!AM25</f>
        <v>1</v>
      </c>
      <c r="AF25" s="1">
        <f>'in2'!AN25</f>
        <v>1</v>
      </c>
      <c r="AG25" s="1">
        <f>'in2'!AO25</f>
        <v>0</v>
      </c>
      <c r="AH25" s="1">
        <f>'in2'!AP25</f>
        <v>0</v>
      </c>
      <c r="AI25" s="1">
        <f>'in2'!AQ25</f>
        <v>0</v>
      </c>
      <c r="AJ25" s="1">
        <f>'in2'!AR25</f>
        <v>0</v>
      </c>
      <c r="AK25" s="1">
        <f>'in2'!AS25</f>
        <v>0</v>
      </c>
      <c r="AL25" s="1">
        <f>'in2'!AT25</f>
        <v>0</v>
      </c>
      <c r="AM25" s="1">
        <f>'in2'!AU25</f>
        <v>0</v>
      </c>
      <c r="AN25" s="1">
        <f>'in2'!AV25</f>
        <v>0</v>
      </c>
      <c r="AO25" s="1">
        <f>'in2'!AW25</f>
        <v>0</v>
      </c>
      <c r="AP25" s="1">
        <f>'in2'!AX25</f>
        <v>1</v>
      </c>
      <c r="AQ25" s="1">
        <f>'in2'!AY25</f>
        <v>1</v>
      </c>
      <c r="AR25" s="1">
        <f>'in2'!AZ25</f>
        <v>0</v>
      </c>
      <c r="AS25" s="1">
        <f>'in2'!BA25</f>
        <v>0</v>
      </c>
      <c r="AT25" s="1">
        <f>'in2'!BB25</f>
        <v>0</v>
      </c>
      <c r="AU25" s="1">
        <f>'in2'!BC25</f>
        <v>0</v>
      </c>
      <c r="AV25" s="1">
        <f>'in2'!BD25</f>
        <v>1</v>
      </c>
      <c r="AW25" s="1">
        <f>'in2'!BE25</f>
        <v>0</v>
      </c>
      <c r="AX25" s="1">
        <f>'in2'!BF25</f>
        <v>0</v>
      </c>
      <c r="AY25" s="1">
        <f>'in2'!BG25</f>
        <v>0</v>
      </c>
      <c r="AZ25" s="1">
        <f>'in2'!BH25</f>
        <v>0</v>
      </c>
      <c r="BA25" s="1">
        <f>'in2'!BI25</f>
        <v>0</v>
      </c>
      <c r="BB25" s="1">
        <f>'in2'!BJ25</f>
        <v>0</v>
      </c>
      <c r="BC25" s="3">
        <f t="shared" si="6"/>
        <v>5</v>
      </c>
      <c r="BD25" s="3">
        <f t="shared" si="7"/>
        <v>20</v>
      </c>
      <c r="BE25" s="1">
        <f>'in2'!BK25</f>
        <v>0</v>
      </c>
      <c r="BF25" s="1">
        <f>'in2'!BL25</f>
        <v>0</v>
      </c>
      <c r="BG25" s="1">
        <f>'in2'!BM25</f>
        <v>0</v>
      </c>
      <c r="BH25" s="1">
        <f>'in2'!BN25</f>
        <v>0</v>
      </c>
      <c r="BI25" s="1">
        <f>'in2'!BO25</f>
        <v>0</v>
      </c>
      <c r="BJ25" s="13">
        <f t="shared" si="0"/>
        <v>0</v>
      </c>
      <c r="BK25" s="14">
        <f t="shared" si="1"/>
        <v>0</v>
      </c>
      <c r="BL25" s="1">
        <f>'in2'!BP25</f>
        <v>0</v>
      </c>
      <c r="BM25" s="1">
        <f>'in2'!BQ25</f>
        <v>0</v>
      </c>
      <c r="BN25" s="1">
        <f>'in2'!BR25</f>
        <v>0</v>
      </c>
      <c r="BO25" s="1">
        <f>'in2'!BS25</f>
        <v>0</v>
      </c>
      <c r="BP25" s="1">
        <f>'in2'!BT25</f>
        <v>1</v>
      </c>
      <c r="BQ25" s="1">
        <f>'in2'!BU25</f>
        <v>0</v>
      </c>
      <c r="BR25" s="1">
        <f>'in2'!BV25</f>
        <v>0</v>
      </c>
      <c r="BS25" s="1">
        <f>'in2'!BW25</f>
        <v>0</v>
      </c>
      <c r="BT25" s="1">
        <f>'in2'!BX25</f>
        <v>0</v>
      </c>
      <c r="BU25" s="1">
        <f>'in2'!BY25</f>
        <v>1</v>
      </c>
      <c r="BV25" s="1">
        <f>'in2'!BZ25</f>
        <v>0</v>
      </c>
      <c r="BW25" s="1">
        <f>'in2'!CA25</f>
        <v>0</v>
      </c>
      <c r="BX25" s="1">
        <f>'in2'!CB25</f>
        <v>0</v>
      </c>
      <c r="BY25" s="11">
        <f t="shared" si="8"/>
        <v>2</v>
      </c>
      <c r="BZ25" s="16">
        <f t="shared" si="9"/>
        <v>15.384615384615385</v>
      </c>
      <c r="CA25" s="1">
        <f>'in2'!CC25</f>
        <v>0</v>
      </c>
      <c r="CB25" s="1">
        <f>'in2'!CD25</f>
        <v>1</v>
      </c>
      <c r="CC25" s="1">
        <f>'in2'!CE25</f>
        <v>0</v>
      </c>
      <c r="CD25" s="1">
        <f>'in2'!CF25</f>
        <v>0</v>
      </c>
      <c r="CE25" s="1">
        <f>'in2'!CG25</f>
        <v>1</v>
      </c>
      <c r="CF25" s="1">
        <f>'in2'!CH25</f>
        <v>1</v>
      </c>
      <c r="CG25" s="1">
        <f>'in2'!CI25</f>
        <v>0</v>
      </c>
      <c r="CH25" s="1">
        <f>'in2'!CJ25</f>
        <v>1</v>
      </c>
      <c r="CI25" s="1">
        <f>'in2'!CK25</f>
        <v>1</v>
      </c>
      <c r="CJ25" s="1">
        <f>'in2'!CL25</f>
        <v>1</v>
      </c>
      <c r="CK25" s="12">
        <f t="shared" si="13"/>
        <v>6</v>
      </c>
      <c r="CL25" s="15">
        <f t="shared" si="10"/>
        <v>60</v>
      </c>
      <c r="CM25" s="65">
        <f>'in2'!CM25</f>
        <v>0</v>
      </c>
      <c r="CN25" s="17">
        <f t="shared" si="2"/>
        <v>0</v>
      </c>
      <c r="CO25" s="17">
        <f t="shared" si="3"/>
        <v>0</v>
      </c>
      <c r="CP25" s="1">
        <f>'in2'!CN25</f>
        <v>0</v>
      </c>
      <c r="CQ25" s="1">
        <f>'in2'!CO25</f>
        <v>1</v>
      </c>
      <c r="CR25" s="1">
        <f>'in2'!CP25</f>
        <v>1</v>
      </c>
      <c r="CS25" s="1">
        <f>'in2'!CQ25</f>
        <v>0</v>
      </c>
      <c r="CT25" s="1">
        <f>'in2'!CR25</f>
        <v>0</v>
      </c>
      <c r="CU25" s="1">
        <f>'in2'!CS25</f>
        <v>1</v>
      </c>
      <c r="CV25" s="1">
        <f>'in2'!CT25</f>
        <v>0</v>
      </c>
      <c r="CW25" s="1">
        <f>'in2'!CU25</f>
        <v>0</v>
      </c>
      <c r="CX25" s="1">
        <f>'in2'!CV25</f>
        <v>1</v>
      </c>
      <c r="CY25" s="1">
        <f>'in2'!CW25</f>
        <v>1</v>
      </c>
      <c r="CZ25" s="1">
        <f>'in2'!CX25</f>
        <v>0</v>
      </c>
      <c r="DA25" s="1">
        <f>'in2'!CY25</f>
        <v>0</v>
      </c>
      <c r="DB25" s="1">
        <f>'in2'!CZ25</f>
        <v>0</v>
      </c>
      <c r="DC25" s="1">
        <f>'in2'!DA25</f>
        <v>0</v>
      </c>
      <c r="DD25" s="1">
        <f>'in2'!DB25</f>
        <v>0</v>
      </c>
      <c r="DE25" s="1">
        <f>'in2'!DC25</f>
        <v>1</v>
      </c>
      <c r="DF25" s="1">
        <f>'in2'!DD25</f>
        <v>1</v>
      </c>
      <c r="DG25" s="1">
        <f>'in2'!DE25</f>
        <v>1</v>
      </c>
      <c r="DH25" s="1">
        <f>'in2'!DF25</f>
        <v>0</v>
      </c>
      <c r="DI25" s="1">
        <f>'in2'!DG25</f>
        <v>0</v>
      </c>
      <c r="DJ25" s="1">
        <f>'in2'!DH25</f>
        <v>0</v>
      </c>
      <c r="DK25" s="1">
        <f>'in2'!DI25</f>
        <v>0</v>
      </c>
      <c r="DL25" s="1">
        <f>'in2'!DJ25</f>
        <v>1</v>
      </c>
      <c r="DM25" s="1">
        <f>'in2'!DK25</f>
        <v>0</v>
      </c>
      <c r="DN25" s="1">
        <f>'in2'!DL25</f>
        <v>1</v>
      </c>
      <c r="DO25" s="1">
        <f>'in2'!DM25</f>
        <v>0</v>
      </c>
      <c r="DP25" s="1">
        <f>'in2'!DN25</f>
        <v>0</v>
      </c>
      <c r="DQ25" s="1">
        <f>'in2'!DO25</f>
        <v>0</v>
      </c>
      <c r="DR25" s="1">
        <f>'in2'!DP25</f>
        <v>0</v>
      </c>
      <c r="DS25" s="1">
        <f>'in2'!DQ25</f>
        <v>1</v>
      </c>
      <c r="DT25" s="1">
        <f>'in2'!DR25</f>
        <v>1</v>
      </c>
      <c r="DU25" s="1">
        <f>'in2'!DS25</f>
        <v>1</v>
      </c>
      <c r="DV25" s="1">
        <f>'in2'!DT25</f>
        <v>0</v>
      </c>
      <c r="DW25" s="1">
        <f>'in2'!DU25</f>
        <v>1</v>
      </c>
      <c r="DX25" s="1">
        <f>'in2'!DV25</f>
        <v>1</v>
      </c>
      <c r="DY25" s="1">
        <f>'in2'!DW25</f>
        <v>0</v>
      </c>
      <c r="DZ25" s="1">
        <f>'in2'!DX25</f>
        <v>1</v>
      </c>
      <c r="EA25" s="1">
        <f>'in2'!DY25</f>
        <v>0</v>
      </c>
      <c r="EB25" s="1">
        <f>'in2'!DZ25</f>
        <v>1</v>
      </c>
      <c r="EC25" s="1">
        <f>'in2'!EA25</f>
        <v>0</v>
      </c>
      <c r="ED25" s="1">
        <f>'in2'!EB25</f>
        <v>1</v>
      </c>
      <c r="EE25" s="1">
        <f>'in2'!EC25</f>
        <v>0</v>
      </c>
      <c r="EF25" s="1">
        <f>'in2'!ED25</f>
        <v>0</v>
      </c>
      <c r="EG25" s="1">
        <f>'in2'!EE25</f>
        <v>1</v>
      </c>
      <c r="EH25" s="1">
        <f>'in2'!EF25</f>
        <v>0</v>
      </c>
      <c r="EI25" s="1">
        <f>'in2'!EG25</f>
        <v>1</v>
      </c>
      <c r="EJ25" s="1">
        <f>'in2'!EH25</f>
        <v>0</v>
      </c>
      <c r="EK25" s="1">
        <f>'in2'!EI25</f>
        <v>0</v>
      </c>
      <c r="EL25" s="1">
        <f>'in2'!EJ25</f>
        <v>0</v>
      </c>
      <c r="EM25" s="1">
        <f>'in2'!EK25</f>
        <v>0</v>
      </c>
      <c r="EN25" s="1">
        <f>'in2'!EL25</f>
        <v>0</v>
      </c>
      <c r="EO25" s="1">
        <f>'in2'!EM25</f>
        <v>0</v>
      </c>
      <c r="EP25" s="1">
        <f>'in2'!EN25</f>
        <v>0</v>
      </c>
      <c r="EQ25" s="1">
        <f>'in2'!EO25</f>
        <v>1</v>
      </c>
      <c r="ER25" s="1">
        <f>'in2'!EP25</f>
        <v>0</v>
      </c>
      <c r="ES25" s="6">
        <f t="shared" si="12"/>
        <v>21</v>
      </c>
      <c r="ET25" s="7">
        <f t="shared" si="11"/>
        <v>38.18181818181818</v>
      </c>
    </row>
    <row r="26" spans="1:150" x14ac:dyDescent="0.35">
      <c r="A26" s="43" t="str">
        <f>in!D26</f>
        <v xml:space="preserve">FLOREZ PEREIRA SARAY </v>
      </c>
      <c r="B26" s="43">
        <f>in!E26</f>
        <v>6204</v>
      </c>
      <c r="C26" s="1">
        <f>'in2'!M26</f>
        <v>1</v>
      </c>
      <c r="D26" s="1">
        <f>'in2'!N26</f>
        <v>0</v>
      </c>
      <c r="E26" s="1">
        <f>'in2'!O26</f>
        <v>0</v>
      </c>
      <c r="F26" s="1">
        <f>'in2'!P26</f>
        <v>1</v>
      </c>
      <c r="G26" s="1">
        <f>'in2'!Q26</f>
        <v>1</v>
      </c>
      <c r="H26" s="1">
        <f>'in2'!R26</f>
        <v>0</v>
      </c>
      <c r="I26" s="1">
        <f>'in2'!S26</f>
        <v>0</v>
      </c>
      <c r="J26" s="1">
        <f>'in2'!T26</f>
        <v>0</v>
      </c>
      <c r="K26" s="1">
        <f>'in2'!U26</f>
        <v>0</v>
      </c>
      <c r="L26" s="1">
        <f>'in2'!V26</f>
        <v>0</v>
      </c>
      <c r="M26" s="1">
        <f>'in2'!W26</f>
        <v>0</v>
      </c>
      <c r="N26" s="1">
        <f>'in2'!X26</f>
        <v>1</v>
      </c>
      <c r="O26" s="1">
        <f>'in2'!Y26</f>
        <v>0</v>
      </c>
      <c r="P26" s="1">
        <f>'in2'!Z26</f>
        <v>0</v>
      </c>
      <c r="Q26" s="1">
        <f>'in2'!AA26</f>
        <v>1</v>
      </c>
      <c r="R26" s="1">
        <f>'in2'!AB26</f>
        <v>1</v>
      </c>
      <c r="S26" s="1">
        <f>'in2'!AC26</f>
        <v>1</v>
      </c>
      <c r="T26" s="1">
        <f>'in2'!AD26</f>
        <v>0</v>
      </c>
      <c r="U26" s="1">
        <f>'in2'!AE26</f>
        <v>1</v>
      </c>
      <c r="V26" s="1">
        <f>'in2'!AF26</f>
        <v>0</v>
      </c>
      <c r="W26" s="1">
        <f>'in2'!AG26</f>
        <v>0</v>
      </c>
      <c r="X26" s="1">
        <f>'in2'!AH26</f>
        <v>0</v>
      </c>
      <c r="Y26" s="1">
        <f>'in2'!AI26</f>
        <v>0</v>
      </c>
      <c r="Z26" s="1">
        <f>'in2'!AJ26</f>
        <v>0</v>
      </c>
      <c r="AA26" s="1">
        <f>'in2'!AK26</f>
        <v>0</v>
      </c>
      <c r="AB26" s="5">
        <f t="shared" si="4"/>
        <v>8</v>
      </c>
      <c r="AC26" s="5">
        <f t="shared" si="5"/>
        <v>32</v>
      </c>
      <c r="AD26" s="1">
        <f>'in2'!AL26</f>
        <v>1</v>
      </c>
      <c r="AE26" s="1">
        <f>'in2'!AM26</f>
        <v>1</v>
      </c>
      <c r="AF26" s="1">
        <f>'in2'!AN26</f>
        <v>1</v>
      </c>
      <c r="AG26" s="1">
        <f>'in2'!AO26</f>
        <v>1</v>
      </c>
      <c r="AH26" s="1">
        <f>'in2'!AP26</f>
        <v>0</v>
      </c>
      <c r="AI26" s="1">
        <f>'in2'!AQ26</f>
        <v>0</v>
      </c>
      <c r="AJ26" s="1">
        <f>'in2'!AR26</f>
        <v>1</v>
      </c>
      <c r="AK26" s="1">
        <f>'in2'!AS26</f>
        <v>1</v>
      </c>
      <c r="AL26" s="1">
        <f>'in2'!AT26</f>
        <v>0</v>
      </c>
      <c r="AM26" s="1">
        <f>'in2'!AU26</f>
        <v>0</v>
      </c>
      <c r="AN26" s="1">
        <f>'in2'!AV26</f>
        <v>0</v>
      </c>
      <c r="AO26" s="1">
        <f>'in2'!AW26</f>
        <v>0</v>
      </c>
      <c r="AP26" s="1">
        <f>'in2'!AX26</f>
        <v>1</v>
      </c>
      <c r="AQ26" s="1">
        <f>'in2'!AY26</f>
        <v>1</v>
      </c>
      <c r="AR26" s="1">
        <f>'in2'!AZ26</f>
        <v>0</v>
      </c>
      <c r="AS26" s="1">
        <f>'in2'!BA26</f>
        <v>0</v>
      </c>
      <c r="AT26" s="1">
        <f>'in2'!BB26</f>
        <v>0</v>
      </c>
      <c r="AU26" s="1">
        <f>'in2'!BC26</f>
        <v>0</v>
      </c>
      <c r="AV26" s="1">
        <f>'in2'!BD26</f>
        <v>1</v>
      </c>
      <c r="AW26" s="1">
        <f>'in2'!BE26</f>
        <v>0</v>
      </c>
      <c r="AX26" s="1">
        <f>'in2'!BF26</f>
        <v>0</v>
      </c>
      <c r="AY26" s="1">
        <f>'in2'!BG26</f>
        <v>0</v>
      </c>
      <c r="AZ26" s="1">
        <f>'in2'!BH26</f>
        <v>0</v>
      </c>
      <c r="BA26" s="1">
        <f>'in2'!BI26</f>
        <v>1</v>
      </c>
      <c r="BB26" s="1">
        <f>'in2'!BJ26</f>
        <v>0</v>
      </c>
      <c r="BC26" s="3">
        <f t="shared" si="6"/>
        <v>10</v>
      </c>
      <c r="BD26" s="3">
        <f t="shared" si="7"/>
        <v>40</v>
      </c>
      <c r="BE26" s="1">
        <f>'in2'!BK26</f>
        <v>0</v>
      </c>
      <c r="BF26" s="1">
        <f>'in2'!BL26</f>
        <v>1</v>
      </c>
      <c r="BG26" s="1">
        <f>'in2'!BM26</f>
        <v>0</v>
      </c>
      <c r="BH26" s="1">
        <f>'in2'!BN26</f>
        <v>0</v>
      </c>
      <c r="BI26" s="1">
        <f>'in2'!BO26</f>
        <v>0</v>
      </c>
      <c r="BJ26" s="13">
        <f t="shared" si="0"/>
        <v>1</v>
      </c>
      <c r="BK26" s="14">
        <f t="shared" si="1"/>
        <v>20</v>
      </c>
      <c r="BL26" s="1">
        <f>'in2'!BP26</f>
        <v>0</v>
      </c>
      <c r="BM26" s="1">
        <f>'in2'!BQ26</f>
        <v>0</v>
      </c>
      <c r="BN26" s="1">
        <f>'in2'!BR26</f>
        <v>0</v>
      </c>
      <c r="BO26" s="1">
        <f>'in2'!BS26</f>
        <v>1</v>
      </c>
      <c r="BP26" s="1">
        <f>'in2'!BT26</f>
        <v>1</v>
      </c>
      <c r="BQ26" s="1">
        <f>'in2'!BU26</f>
        <v>0</v>
      </c>
      <c r="BR26" s="1">
        <f>'in2'!BV26</f>
        <v>0</v>
      </c>
      <c r="BS26" s="1">
        <f>'in2'!BW26</f>
        <v>0</v>
      </c>
      <c r="BT26" s="1">
        <f>'in2'!BX26</f>
        <v>1</v>
      </c>
      <c r="BU26" s="1">
        <f>'in2'!BY26</f>
        <v>1</v>
      </c>
      <c r="BV26" s="1">
        <f>'in2'!BZ26</f>
        <v>0</v>
      </c>
      <c r="BW26" s="1">
        <f>'in2'!CA26</f>
        <v>1</v>
      </c>
      <c r="BX26" s="1">
        <f>'in2'!CB26</f>
        <v>0</v>
      </c>
      <c r="BY26" s="11">
        <f t="shared" si="8"/>
        <v>5</v>
      </c>
      <c r="BZ26" s="16">
        <f t="shared" si="9"/>
        <v>38.46153846153846</v>
      </c>
      <c r="CA26" s="1">
        <f>'in2'!CC26</f>
        <v>1</v>
      </c>
      <c r="CB26" s="1">
        <f>'in2'!CD26</f>
        <v>0</v>
      </c>
      <c r="CC26" s="1">
        <f>'in2'!CE26</f>
        <v>0</v>
      </c>
      <c r="CD26" s="1">
        <f>'in2'!CF26</f>
        <v>1</v>
      </c>
      <c r="CE26" s="1">
        <f>'in2'!CG26</f>
        <v>0</v>
      </c>
      <c r="CF26" s="1">
        <f>'in2'!CH26</f>
        <v>0</v>
      </c>
      <c r="CG26" s="1">
        <f>'in2'!CI26</f>
        <v>0</v>
      </c>
      <c r="CH26" s="1">
        <f>'in2'!CJ26</f>
        <v>1</v>
      </c>
      <c r="CI26" s="1">
        <f>'in2'!CK26</f>
        <v>1</v>
      </c>
      <c r="CJ26" s="1">
        <f>'in2'!CL26</f>
        <v>0</v>
      </c>
      <c r="CK26" s="12">
        <f t="shared" si="13"/>
        <v>4</v>
      </c>
      <c r="CL26" s="15">
        <f t="shared" si="10"/>
        <v>40</v>
      </c>
      <c r="CM26" s="65">
        <f>'in2'!CM26</f>
        <v>0</v>
      </c>
      <c r="CN26" s="17">
        <f t="shared" si="2"/>
        <v>0</v>
      </c>
      <c r="CO26" s="17">
        <f t="shared" si="3"/>
        <v>0</v>
      </c>
      <c r="CP26" s="1">
        <f>'in2'!CN26</f>
        <v>0</v>
      </c>
      <c r="CQ26" s="1">
        <f>'in2'!CO26</f>
        <v>1</v>
      </c>
      <c r="CR26" s="1">
        <f>'in2'!CP26</f>
        <v>1</v>
      </c>
      <c r="CS26" s="1">
        <f>'in2'!CQ26</f>
        <v>0</v>
      </c>
      <c r="CT26" s="1">
        <f>'in2'!CR26</f>
        <v>1</v>
      </c>
      <c r="CU26" s="1">
        <f>'in2'!CS26</f>
        <v>1</v>
      </c>
      <c r="CV26" s="1">
        <f>'in2'!CT26</f>
        <v>0</v>
      </c>
      <c r="CW26" s="1">
        <f>'in2'!CU26</f>
        <v>0</v>
      </c>
      <c r="CX26" s="1">
        <f>'in2'!CV26</f>
        <v>0</v>
      </c>
      <c r="CY26" s="1">
        <f>'in2'!CW26</f>
        <v>1</v>
      </c>
      <c r="CZ26" s="1">
        <f>'in2'!CX26</f>
        <v>0</v>
      </c>
      <c r="DA26" s="1">
        <f>'in2'!CY26</f>
        <v>0</v>
      </c>
      <c r="DB26" s="1">
        <f>'in2'!CZ26</f>
        <v>0</v>
      </c>
      <c r="DC26" s="1">
        <f>'in2'!DA26</f>
        <v>0</v>
      </c>
      <c r="DD26" s="1">
        <f>'in2'!DB26</f>
        <v>0</v>
      </c>
      <c r="DE26" s="1">
        <f>'in2'!DC26</f>
        <v>0</v>
      </c>
      <c r="DF26" s="1">
        <f>'in2'!DD26</f>
        <v>0</v>
      </c>
      <c r="DG26" s="1">
        <f>'in2'!DE26</f>
        <v>0</v>
      </c>
      <c r="DH26" s="1">
        <f>'in2'!DF26</f>
        <v>0</v>
      </c>
      <c r="DI26" s="1">
        <f>'in2'!DG26</f>
        <v>1</v>
      </c>
      <c r="DJ26" s="1">
        <f>'in2'!DH26</f>
        <v>1</v>
      </c>
      <c r="DK26" s="1">
        <f>'in2'!DI26</f>
        <v>1</v>
      </c>
      <c r="DL26" s="1">
        <f>'in2'!DJ26</f>
        <v>0</v>
      </c>
      <c r="DM26" s="1">
        <f>'in2'!DK26</f>
        <v>1</v>
      </c>
      <c r="DN26" s="1">
        <f>'in2'!DL26</f>
        <v>0</v>
      </c>
      <c r="DO26" s="1">
        <f>'in2'!DM26</f>
        <v>1</v>
      </c>
      <c r="DP26" s="1">
        <f>'in2'!DN26</f>
        <v>0</v>
      </c>
      <c r="DQ26" s="1">
        <f>'in2'!DO26</f>
        <v>0</v>
      </c>
      <c r="DR26" s="1">
        <f>'in2'!DP26</f>
        <v>1</v>
      </c>
      <c r="DS26" s="1">
        <f>'in2'!DQ26</f>
        <v>0</v>
      </c>
      <c r="DT26" s="1">
        <f>'in2'!DR26</f>
        <v>1</v>
      </c>
      <c r="DU26" s="1">
        <f>'in2'!DS26</f>
        <v>1</v>
      </c>
      <c r="DV26" s="1">
        <f>'in2'!DT26</f>
        <v>0</v>
      </c>
      <c r="DW26" s="1">
        <f>'in2'!DU26</f>
        <v>0</v>
      </c>
      <c r="DX26" s="1">
        <f>'in2'!DV26</f>
        <v>0</v>
      </c>
      <c r="DY26" s="1">
        <f>'in2'!DW26</f>
        <v>0</v>
      </c>
      <c r="DZ26" s="1">
        <f>'in2'!DX26</f>
        <v>0</v>
      </c>
      <c r="EA26" s="1">
        <f>'in2'!DY26</f>
        <v>1</v>
      </c>
      <c r="EB26" s="1">
        <f>'in2'!DZ26</f>
        <v>0</v>
      </c>
      <c r="EC26" s="1">
        <f>'in2'!EA26</f>
        <v>0</v>
      </c>
      <c r="ED26" s="1">
        <f>'in2'!EB26</f>
        <v>0</v>
      </c>
      <c r="EE26" s="1">
        <f>'in2'!EC26</f>
        <v>0</v>
      </c>
      <c r="EF26" s="1">
        <f>'in2'!ED26</f>
        <v>0</v>
      </c>
      <c r="EG26" s="1">
        <f>'in2'!EE26</f>
        <v>0</v>
      </c>
      <c r="EH26" s="1">
        <f>'in2'!EF26</f>
        <v>0</v>
      </c>
      <c r="EI26" s="1">
        <f>'in2'!EG26</f>
        <v>0</v>
      </c>
      <c r="EJ26" s="1">
        <f>'in2'!EH26</f>
        <v>0</v>
      </c>
      <c r="EK26" s="1">
        <f>'in2'!EI26</f>
        <v>0</v>
      </c>
      <c r="EL26" s="1">
        <f>'in2'!EJ26</f>
        <v>0</v>
      </c>
      <c r="EM26" s="1">
        <f>'in2'!EK26</f>
        <v>1</v>
      </c>
      <c r="EN26" s="1">
        <f>'in2'!EL26</f>
        <v>1</v>
      </c>
      <c r="EO26" s="1">
        <f>'in2'!EM26</f>
        <v>0</v>
      </c>
      <c r="EP26" s="1">
        <f>'in2'!EN26</f>
        <v>0</v>
      </c>
      <c r="EQ26" s="1">
        <f>'in2'!EO26</f>
        <v>0</v>
      </c>
      <c r="ER26" s="1">
        <f>'in2'!EP26</f>
        <v>0</v>
      </c>
      <c r="ES26" s="6">
        <f t="shared" si="12"/>
        <v>16</v>
      </c>
      <c r="ET26" s="7">
        <f t="shared" si="11"/>
        <v>29.09090909090909</v>
      </c>
    </row>
    <row r="27" spans="1:150" x14ac:dyDescent="0.35">
      <c r="A27" s="43" t="str">
        <f>in!D27</f>
        <v>MARQUEZ BARRAGAN DAIVER JOSE</v>
      </c>
      <c r="B27" s="43">
        <f>in!E27</f>
        <v>6207</v>
      </c>
      <c r="C27" s="1">
        <f>'in2'!M27</f>
        <v>0</v>
      </c>
      <c r="D27" s="1">
        <f>'in2'!N27</f>
        <v>0</v>
      </c>
      <c r="E27" s="1">
        <f>'in2'!O27</f>
        <v>0</v>
      </c>
      <c r="F27" s="1">
        <f>'in2'!P27</f>
        <v>0</v>
      </c>
      <c r="G27" s="1">
        <f>'in2'!Q27</f>
        <v>0</v>
      </c>
      <c r="H27" s="1">
        <f>'in2'!R27</f>
        <v>0</v>
      </c>
      <c r="I27" s="1">
        <f>'in2'!S27</f>
        <v>0</v>
      </c>
      <c r="J27" s="1">
        <f>'in2'!T27</f>
        <v>0</v>
      </c>
      <c r="K27" s="1">
        <f>'in2'!U27</f>
        <v>1</v>
      </c>
      <c r="L27" s="1">
        <f>'in2'!V27</f>
        <v>0</v>
      </c>
      <c r="M27" s="1">
        <f>'in2'!W27</f>
        <v>0</v>
      </c>
      <c r="N27" s="1">
        <f>'in2'!X27</f>
        <v>0</v>
      </c>
      <c r="O27" s="1">
        <f>'in2'!Y27</f>
        <v>0</v>
      </c>
      <c r="P27" s="1">
        <f>'in2'!Z27</f>
        <v>0</v>
      </c>
      <c r="Q27" s="1">
        <f>'in2'!AA27</f>
        <v>0</v>
      </c>
      <c r="R27" s="1">
        <f>'in2'!AB27</f>
        <v>0</v>
      </c>
      <c r="S27" s="1">
        <f>'in2'!AC27</f>
        <v>0</v>
      </c>
      <c r="T27" s="1">
        <f>'in2'!AD27</f>
        <v>0</v>
      </c>
      <c r="U27" s="1">
        <f>'in2'!AE27</f>
        <v>1</v>
      </c>
      <c r="V27" s="1">
        <f>'in2'!AF27</f>
        <v>1</v>
      </c>
      <c r="W27" s="1">
        <f>'in2'!AG27</f>
        <v>1</v>
      </c>
      <c r="X27" s="1">
        <f>'in2'!AH27</f>
        <v>0</v>
      </c>
      <c r="Y27" s="1">
        <f>'in2'!AI27</f>
        <v>1</v>
      </c>
      <c r="Z27" s="1">
        <f>'in2'!AJ27</f>
        <v>0</v>
      </c>
      <c r="AA27" s="1">
        <f>'in2'!AK27</f>
        <v>1</v>
      </c>
      <c r="AB27" s="5">
        <f t="shared" si="4"/>
        <v>6</v>
      </c>
      <c r="AC27" s="5">
        <f t="shared" si="5"/>
        <v>24</v>
      </c>
      <c r="AD27" s="1">
        <f>'in2'!AL27</f>
        <v>1</v>
      </c>
      <c r="AE27" s="1">
        <f>'in2'!AM27</f>
        <v>1</v>
      </c>
      <c r="AF27" s="1">
        <f>'in2'!AN27</f>
        <v>1</v>
      </c>
      <c r="AG27" s="1">
        <f>'in2'!AO27</f>
        <v>0</v>
      </c>
      <c r="AH27" s="1">
        <f>'in2'!AP27</f>
        <v>0</v>
      </c>
      <c r="AI27" s="1">
        <f>'in2'!AQ27</f>
        <v>0</v>
      </c>
      <c r="AJ27" s="1">
        <f>'in2'!AR27</f>
        <v>1</v>
      </c>
      <c r="AK27" s="1">
        <f>'in2'!AS27</f>
        <v>0</v>
      </c>
      <c r="AL27" s="1">
        <f>'in2'!AT27</f>
        <v>0</v>
      </c>
      <c r="AM27" s="1">
        <f>'in2'!AU27</f>
        <v>0</v>
      </c>
      <c r="AN27" s="1">
        <f>'in2'!AV27</f>
        <v>0</v>
      </c>
      <c r="AO27" s="1">
        <f>'in2'!AW27</f>
        <v>0</v>
      </c>
      <c r="AP27" s="1">
        <f>'in2'!AX27</f>
        <v>0</v>
      </c>
      <c r="AQ27" s="1">
        <f>'in2'!AY27</f>
        <v>1</v>
      </c>
      <c r="AR27" s="1">
        <f>'in2'!AZ27</f>
        <v>0</v>
      </c>
      <c r="AS27" s="1">
        <f>'in2'!BA27</f>
        <v>0</v>
      </c>
      <c r="AT27" s="1">
        <f>'in2'!BB27</f>
        <v>0</v>
      </c>
      <c r="AU27" s="1">
        <f>'in2'!BC27</f>
        <v>0</v>
      </c>
      <c r="AV27" s="1">
        <f>'in2'!BD27</f>
        <v>0</v>
      </c>
      <c r="AW27" s="1">
        <f>'in2'!BE27</f>
        <v>0</v>
      </c>
      <c r="AX27" s="1">
        <f>'in2'!BF27</f>
        <v>0</v>
      </c>
      <c r="AY27" s="1">
        <f>'in2'!BG27</f>
        <v>0</v>
      </c>
      <c r="AZ27" s="1">
        <f>'in2'!BH27</f>
        <v>1</v>
      </c>
      <c r="BA27" s="1">
        <f>'in2'!BI27</f>
        <v>0</v>
      </c>
      <c r="BB27" s="1">
        <f>'in2'!BJ27</f>
        <v>1</v>
      </c>
      <c r="BC27" s="3">
        <f t="shared" si="6"/>
        <v>7</v>
      </c>
      <c r="BD27" s="3">
        <f t="shared" si="7"/>
        <v>28</v>
      </c>
      <c r="BE27" s="1">
        <f>'in2'!BK27</f>
        <v>0</v>
      </c>
      <c r="BF27" s="1">
        <f>'in2'!BL27</f>
        <v>0</v>
      </c>
      <c r="BG27" s="1">
        <f>'in2'!BM27</f>
        <v>0</v>
      </c>
      <c r="BH27" s="1">
        <f>'in2'!BN27</f>
        <v>0</v>
      </c>
      <c r="BI27" s="1">
        <f>'in2'!BO27</f>
        <v>0</v>
      </c>
      <c r="BJ27" s="13">
        <f t="shared" si="0"/>
        <v>0</v>
      </c>
      <c r="BK27" s="14">
        <f t="shared" si="1"/>
        <v>0</v>
      </c>
      <c r="BL27" s="1">
        <f>'in2'!BP27</f>
        <v>0</v>
      </c>
      <c r="BM27" s="1">
        <f>'in2'!BQ27</f>
        <v>1</v>
      </c>
      <c r="BN27" s="1">
        <f>'in2'!BR27</f>
        <v>0</v>
      </c>
      <c r="BO27" s="1">
        <f>'in2'!BS27</f>
        <v>1</v>
      </c>
      <c r="BP27" s="1">
        <f>'in2'!BT27</f>
        <v>0</v>
      </c>
      <c r="BQ27" s="1">
        <f>'in2'!BU27</f>
        <v>0</v>
      </c>
      <c r="BR27" s="1">
        <f>'in2'!BV27</f>
        <v>0</v>
      </c>
      <c r="BS27" s="1">
        <f>'in2'!BW27</f>
        <v>0</v>
      </c>
      <c r="BT27" s="1">
        <f>'in2'!BX27</f>
        <v>0</v>
      </c>
      <c r="BU27" s="1">
        <f>'in2'!BY27</f>
        <v>0</v>
      </c>
      <c r="BV27" s="1">
        <f>'in2'!BZ27</f>
        <v>0</v>
      </c>
      <c r="BW27" s="1">
        <f>'in2'!CA27</f>
        <v>0</v>
      </c>
      <c r="BX27" s="1">
        <f>'in2'!CB27</f>
        <v>0</v>
      </c>
      <c r="BY27" s="11">
        <f t="shared" si="8"/>
        <v>2</v>
      </c>
      <c r="BZ27" s="16">
        <f t="shared" si="9"/>
        <v>15.384615384615385</v>
      </c>
      <c r="CA27" s="1">
        <f>'in2'!CC27</f>
        <v>0</v>
      </c>
      <c r="CB27" s="1">
        <f>'in2'!CD27</f>
        <v>1</v>
      </c>
      <c r="CC27" s="1">
        <f>'in2'!CE27</f>
        <v>0</v>
      </c>
      <c r="CD27" s="1">
        <f>'in2'!CF27</f>
        <v>0</v>
      </c>
      <c r="CE27" s="1">
        <f>'in2'!CG27</f>
        <v>0</v>
      </c>
      <c r="CF27" s="1">
        <f>'in2'!CH27</f>
        <v>0</v>
      </c>
      <c r="CG27" s="1">
        <f>'in2'!CI27</f>
        <v>0</v>
      </c>
      <c r="CH27" s="1">
        <f>'in2'!CJ27</f>
        <v>0</v>
      </c>
      <c r="CI27" s="1">
        <f>'in2'!CK27</f>
        <v>0</v>
      </c>
      <c r="CJ27" s="1">
        <f>'in2'!CL27</f>
        <v>1</v>
      </c>
      <c r="CK27" s="12">
        <f t="shared" si="13"/>
        <v>2</v>
      </c>
      <c r="CL27" s="15">
        <f t="shared" si="10"/>
        <v>20</v>
      </c>
      <c r="CM27" s="65">
        <f>'in2'!CM27</f>
        <v>0</v>
      </c>
      <c r="CN27" s="17">
        <f t="shared" si="2"/>
        <v>0</v>
      </c>
      <c r="CO27" s="17">
        <f t="shared" si="3"/>
        <v>0</v>
      </c>
      <c r="CP27" s="1">
        <f>'in2'!CN27</f>
        <v>0</v>
      </c>
      <c r="CQ27" s="1">
        <f>'in2'!CO27</f>
        <v>0</v>
      </c>
      <c r="CR27" s="1">
        <f>'in2'!CP27</f>
        <v>0</v>
      </c>
      <c r="CS27" s="1">
        <f>'in2'!CQ27</f>
        <v>0</v>
      </c>
      <c r="CT27" s="1">
        <f>'in2'!CR27</f>
        <v>0</v>
      </c>
      <c r="CU27" s="1">
        <f>'in2'!CS27</f>
        <v>0</v>
      </c>
      <c r="CV27" s="1">
        <f>'in2'!CT27</f>
        <v>0</v>
      </c>
      <c r="CW27" s="1">
        <f>'in2'!CU27</f>
        <v>0</v>
      </c>
      <c r="CX27" s="1">
        <f>'in2'!CV27</f>
        <v>1</v>
      </c>
      <c r="CY27" s="1">
        <f>'in2'!CW27</f>
        <v>0</v>
      </c>
      <c r="CZ27" s="1">
        <f>'in2'!CX27</f>
        <v>1</v>
      </c>
      <c r="DA27" s="1">
        <f>'in2'!CY27</f>
        <v>0</v>
      </c>
      <c r="DB27" s="1">
        <f>'in2'!CZ27</f>
        <v>0</v>
      </c>
      <c r="DC27" s="1">
        <f>'in2'!DA27</f>
        <v>0</v>
      </c>
      <c r="DD27" s="1">
        <f>'in2'!DB27</f>
        <v>1</v>
      </c>
      <c r="DE27" s="1">
        <f>'in2'!DC27</f>
        <v>1</v>
      </c>
      <c r="DF27" s="1">
        <f>'in2'!DD27</f>
        <v>1</v>
      </c>
      <c r="DG27" s="1">
        <f>'in2'!DE27</f>
        <v>1</v>
      </c>
      <c r="DH27" s="1">
        <f>'in2'!DF27</f>
        <v>1</v>
      </c>
      <c r="DI27" s="1">
        <f>'in2'!DG27</f>
        <v>0</v>
      </c>
      <c r="DJ27" s="1">
        <f>'in2'!DH27</f>
        <v>0</v>
      </c>
      <c r="DK27" s="1">
        <f>'in2'!DI27</f>
        <v>0</v>
      </c>
      <c r="DL27" s="1">
        <f>'in2'!DJ27</f>
        <v>0</v>
      </c>
      <c r="DM27" s="1">
        <f>'in2'!DK27</f>
        <v>1</v>
      </c>
      <c r="DN27" s="1">
        <f>'in2'!DL27</f>
        <v>1</v>
      </c>
      <c r="DO27" s="1">
        <f>'in2'!DM27</f>
        <v>1</v>
      </c>
      <c r="DP27" s="1">
        <f>'in2'!DN27</f>
        <v>0</v>
      </c>
      <c r="DQ27" s="1">
        <f>'in2'!DO27</f>
        <v>0</v>
      </c>
      <c r="DR27" s="1">
        <f>'in2'!DP27</f>
        <v>1</v>
      </c>
      <c r="DS27" s="1">
        <f>'in2'!DQ27</f>
        <v>1</v>
      </c>
      <c r="DT27" s="1">
        <f>'in2'!DR27</f>
        <v>1</v>
      </c>
      <c r="DU27" s="1">
        <f>'in2'!DS27</f>
        <v>0</v>
      </c>
      <c r="DV27" s="1">
        <f>'in2'!DT27</f>
        <v>0</v>
      </c>
      <c r="DW27" s="1">
        <f>'in2'!DU27</f>
        <v>0</v>
      </c>
      <c r="DX27" s="1">
        <f>'in2'!DV27</f>
        <v>0</v>
      </c>
      <c r="DY27" s="1">
        <f>'in2'!DW27</f>
        <v>0</v>
      </c>
      <c r="DZ27" s="1">
        <f>'in2'!DX27</f>
        <v>0</v>
      </c>
      <c r="EA27" s="1">
        <f>'in2'!DY27</f>
        <v>1</v>
      </c>
      <c r="EB27" s="1">
        <f>'in2'!DZ27</f>
        <v>1</v>
      </c>
      <c r="EC27" s="1">
        <f>'in2'!EA27</f>
        <v>1</v>
      </c>
      <c r="ED27" s="1">
        <f>'in2'!EB27</f>
        <v>0</v>
      </c>
      <c r="EE27" s="1">
        <f>'in2'!EC27</f>
        <v>0</v>
      </c>
      <c r="EF27" s="1">
        <f>'in2'!ED27</f>
        <v>0</v>
      </c>
      <c r="EG27" s="1">
        <f>'in2'!EE27</f>
        <v>0</v>
      </c>
      <c r="EH27" s="1">
        <f>'in2'!EF27</f>
        <v>1</v>
      </c>
      <c r="EI27" s="1">
        <f>'in2'!EG27</f>
        <v>0</v>
      </c>
      <c r="EJ27" s="1">
        <f>'in2'!EH27</f>
        <v>0</v>
      </c>
      <c r="EK27" s="1">
        <f>'in2'!EI27</f>
        <v>0</v>
      </c>
      <c r="EL27" s="1">
        <f>'in2'!EJ27</f>
        <v>1</v>
      </c>
      <c r="EM27" s="1">
        <f>'in2'!EK27</f>
        <v>0</v>
      </c>
      <c r="EN27" s="1">
        <f>'in2'!EL27</f>
        <v>0</v>
      </c>
      <c r="EO27" s="1">
        <f>'in2'!EM27</f>
        <v>0</v>
      </c>
      <c r="EP27" s="1">
        <f>'in2'!EN27</f>
        <v>0</v>
      </c>
      <c r="EQ27" s="1">
        <f>'in2'!EO27</f>
        <v>0</v>
      </c>
      <c r="ER27" s="1">
        <f>'in2'!EP27</f>
        <v>0</v>
      </c>
      <c r="ES27" s="6">
        <f t="shared" si="12"/>
        <v>18</v>
      </c>
      <c r="ET27" s="7">
        <f t="shared" si="11"/>
        <v>32.727272727272727</v>
      </c>
    </row>
    <row r="28" spans="1:150" x14ac:dyDescent="0.35">
      <c r="A28" s="43" t="str">
        <f>in!D28</f>
        <v>MARQUEZ CERMEÑO ELY JOHANA</v>
      </c>
      <c r="B28" s="43">
        <f>in!E28</f>
        <v>6208</v>
      </c>
      <c r="C28" s="1">
        <f>'in2'!M28</f>
        <v>1</v>
      </c>
      <c r="D28" s="1">
        <f>'in2'!N28</f>
        <v>1</v>
      </c>
      <c r="E28" s="1">
        <f>'in2'!O28</f>
        <v>0</v>
      </c>
      <c r="F28" s="1">
        <f>'in2'!P28</f>
        <v>0</v>
      </c>
      <c r="G28" s="1">
        <f>'in2'!Q28</f>
        <v>0</v>
      </c>
      <c r="H28" s="1">
        <f>'in2'!R28</f>
        <v>0</v>
      </c>
      <c r="I28" s="1">
        <f>'in2'!S28</f>
        <v>1</v>
      </c>
      <c r="J28" s="1">
        <f>'in2'!T28</f>
        <v>0</v>
      </c>
      <c r="K28" s="1">
        <f>'in2'!U28</f>
        <v>1</v>
      </c>
      <c r="L28" s="1">
        <f>'in2'!V28</f>
        <v>0</v>
      </c>
      <c r="M28" s="1">
        <f>'in2'!W28</f>
        <v>0</v>
      </c>
      <c r="N28" s="1">
        <f>'in2'!X28</f>
        <v>0</v>
      </c>
      <c r="O28" s="1">
        <f>'in2'!Y28</f>
        <v>1</v>
      </c>
      <c r="P28" s="1">
        <f>'in2'!Z28</f>
        <v>1</v>
      </c>
      <c r="Q28" s="1">
        <f>'in2'!AA28</f>
        <v>0</v>
      </c>
      <c r="R28" s="1">
        <f>'in2'!AB28</f>
        <v>1</v>
      </c>
      <c r="S28" s="1">
        <f>'in2'!AC28</f>
        <v>0</v>
      </c>
      <c r="T28" s="1">
        <f>'in2'!AD28</f>
        <v>0</v>
      </c>
      <c r="U28" s="1">
        <f>'in2'!AE28</f>
        <v>1</v>
      </c>
      <c r="V28" s="1">
        <f>'in2'!AF28</f>
        <v>0</v>
      </c>
      <c r="W28" s="1">
        <f>'in2'!AG28</f>
        <v>0</v>
      </c>
      <c r="X28" s="1">
        <f>'in2'!AH28</f>
        <v>1</v>
      </c>
      <c r="Y28" s="1">
        <f>'in2'!AI28</f>
        <v>0</v>
      </c>
      <c r="Z28" s="1">
        <f>'in2'!AJ28</f>
        <v>1</v>
      </c>
      <c r="AA28" s="1">
        <f>'in2'!AK28</f>
        <v>0</v>
      </c>
      <c r="AB28" s="5">
        <f t="shared" si="4"/>
        <v>10</v>
      </c>
      <c r="AC28" s="5">
        <f t="shared" si="5"/>
        <v>40</v>
      </c>
      <c r="AD28" s="1">
        <f>'in2'!AL28</f>
        <v>0</v>
      </c>
      <c r="AE28" s="1">
        <f>'in2'!AM28</f>
        <v>1</v>
      </c>
      <c r="AF28" s="1">
        <f>'in2'!AN28</f>
        <v>1</v>
      </c>
      <c r="AG28" s="1">
        <f>'in2'!AO28</f>
        <v>1</v>
      </c>
      <c r="AH28" s="1">
        <f>'in2'!AP28</f>
        <v>0</v>
      </c>
      <c r="AI28" s="1">
        <f>'in2'!AQ28</f>
        <v>0</v>
      </c>
      <c r="AJ28" s="1">
        <f>'in2'!AR28</f>
        <v>1</v>
      </c>
      <c r="AK28" s="1">
        <f>'in2'!AS28</f>
        <v>0</v>
      </c>
      <c r="AL28" s="1">
        <f>'in2'!AT28</f>
        <v>0</v>
      </c>
      <c r="AM28" s="1">
        <f>'in2'!AU28</f>
        <v>0</v>
      </c>
      <c r="AN28" s="1">
        <f>'in2'!AV28</f>
        <v>0</v>
      </c>
      <c r="AO28" s="1">
        <f>'in2'!AW28</f>
        <v>1</v>
      </c>
      <c r="AP28" s="1">
        <f>'in2'!AX28</f>
        <v>0</v>
      </c>
      <c r="AQ28" s="1">
        <f>'in2'!AY28</f>
        <v>0</v>
      </c>
      <c r="AR28" s="1">
        <f>'in2'!AZ28</f>
        <v>0</v>
      </c>
      <c r="AS28" s="1">
        <f>'in2'!BA28</f>
        <v>0</v>
      </c>
      <c r="AT28" s="1">
        <f>'in2'!BB28</f>
        <v>0</v>
      </c>
      <c r="AU28" s="1">
        <f>'in2'!BC28</f>
        <v>0</v>
      </c>
      <c r="AV28" s="1">
        <f>'in2'!BD28</f>
        <v>0</v>
      </c>
      <c r="AW28" s="1">
        <f>'in2'!BE28</f>
        <v>0</v>
      </c>
      <c r="AX28" s="1">
        <f>'in2'!BF28</f>
        <v>0</v>
      </c>
      <c r="AY28" s="1">
        <f>'in2'!BG28</f>
        <v>0</v>
      </c>
      <c r="AZ28" s="1">
        <f>'in2'!BH28</f>
        <v>0</v>
      </c>
      <c r="BA28" s="1">
        <f>'in2'!BI28</f>
        <v>1</v>
      </c>
      <c r="BB28" s="1">
        <f>'in2'!BJ28</f>
        <v>0</v>
      </c>
      <c r="BC28" s="3">
        <f t="shared" si="6"/>
        <v>6</v>
      </c>
      <c r="BD28" s="3">
        <f t="shared" si="7"/>
        <v>24</v>
      </c>
      <c r="BE28" s="1">
        <f>'in2'!BK28</f>
        <v>0</v>
      </c>
      <c r="BF28" s="1">
        <f>'in2'!BL28</f>
        <v>0</v>
      </c>
      <c r="BG28" s="1">
        <f>'in2'!BM28</f>
        <v>0</v>
      </c>
      <c r="BH28" s="1">
        <f>'in2'!BN28</f>
        <v>0</v>
      </c>
      <c r="BI28" s="1">
        <f>'in2'!BO28</f>
        <v>0</v>
      </c>
      <c r="BJ28" s="13">
        <f t="shared" si="0"/>
        <v>0</v>
      </c>
      <c r="BK28" s="14">
        <f t="shared" si="1"/>
        <v>0</v>
      </c>
      <c r="BL28" s="1">
        <f>'in2'!BP28</f>
        <v>1</v>
      </c>
      <c r="BM28" s="1">
        <f>'in2'!BQ28</f>
        <v>1</v>
      </c>
      <c r="BN28" s="1">
        <f>'in2'!BR28</f>
        <v>1</v>
      </c>
      <c r="BO28" s="1">
        <f>'in2'!BS28</f>
        <v>0</v>
      </c>
      <c r="BP28" s="1">
        <f>'in2'!BT28</f>
        <v>1</v>
      </c>
      <c r="BQ28" s="1">
        <f>'in2'!BU28</f>
        <v>0</v>
      </c>
      <c r="BR28" s="1">
        <f>'in2'!BV28</f>
        <v>0</v>
      </c>
      <c r="BS28" s="1">
        <f>'in2'!BW28</f>
        <v>0</v>
      </c>
      <c r="BT28" s="1">
        <f>'in2'!BX28</f>
        <v>0</v>
      </c>
      <c r="BU28" s="1">
        <f>'in2'!BY28</f>
        <v>1</v>
      </c>
      <c r="BV28" s="1">
        <f>'in2'!BZ28</f>
        <v>0</v>
      </c>
      <c r="BW28" s="1">
        <f>'in2'!CA28</f>
        <v>0</v>
      </c>
      <c r="BX28" s="1">
        <f>'in2'!CB28</f>
        <v>0</v>
      </c>
      <c r="BY28" s="11">
        <f t="shared" si="8"/>
        <v>5</v>
      </c>
      <c r="BZ28" s="16">
        <f t="shared" si="9"/>
        <v>38.46153846153846</v>
      </c>
      <c r="CA28" s="1">
        <f>'in2'!CC28</f>
        <v>1</v>
      </c>
      <c r="CB28" s="1">
        <f>'in2'!CD28</f>
        <v>0</v>
      </c>
      <c r="CC28" s="1">
        <f>'in2'!CE28</f>
        <v>0</v>
      </c>
      <c r="CD28" s="1">
        <f>'in2'!CF28</f>
        <v>0</v>
      </c>
      <c r="CE28" s="1">
        <f>'in2'!CG28</f>
        <v>0</v>
      </c>
      <c r="CF28" s="1">
        <f>'in2'!CH28</f>
        <v>0</v>
      </c>
      <c r="CG28" s="1">
        <f>'in2'!CI28</f>
        <v>1</v>
      </c>
      <c r="CH28" s="1">
        <f>'in2'!CJ28</f>
        <v>0</v>
      </c>
      <c r="CI28" s="1">
        <f>'in2'!CK28</f>
        <v>1</v>
      </c>
      <c r="CJ28" s="1">
        <f>'in2'!CL28</f>
        <v>0</v>
      </c>
      <c r="CK28" s="12">
        <f t="shared" si="13"/>
        <v>3</v>
      </c>
      <c r="CL28" s="15">
        <f t="shared" si="10"/>
        <v>30</v>
      </c>
      <c r="CM28" s="65">
        <f>'in2'!CM28</f>
        <v>0</v>
      </c>
      <c r="CN28" s="17">
        <f t="shared" si="2"/>
        <v>0</v>
      </c>
      <c r="CO28" s="17">
        <f t="shared" si="3"/>
        <v>0</v>
      </c>
      <c r="CP28" s="1">
        <f>'in2'!CN28</f>
        <v>0</v>
      </c>
      <c r="CQ28" s="1">
        <f>'in2'!CO28</f>
        <v>1</v>
      </c>
      <c r="CR28" s="1">
        <f>'in2'!CP28</f>
        <v>1</v>
      </c>
      <c r="CS28" s="1">
        <f>'in2'!CQ28</f>
        <v>0</v>
      </c>
      <c r="CT28" s="1">
        <f>'in2'!CR28</f>
        <v>0</v>
      </c>
      <c r="CU28" s="1">
        <f>'in2'!CS28</f>
        <v>1</v>
      </c>
      <c r="CV28" s="1">
        <f>'in2'!CT28</f>
        <v>1</v>
      </c>
      <c r="CW28" s="1">
        <f>'in2'!CU28</f>
        <v>0</v>
      </c>
      <c r="CX28" s="1">
        <f>'in2'!CV28</f>
        <v>0</v>
      </c>
      <c r="CY28" s="1">
        <f>'in2'!CW28</f>
        <v>1</v>
      </c>
      <c r="CZ28" s="1">
        <f>'in2'!CX28</f>
        <v>0</v>
      </c>
      <c r="DA28" s="1">
        <f>'in2'!CY28</f>
        <v>1</v>
      </c>
      <c r="DB28" s="1">
        <f>'in2'!CZ28</f>
        <v>0</v>
      </c>
      <c r="DC28" s="1">
        <f>'in2'!DA28</f>
        <v>1</v>
      </c>
      <c r="DD28" s="1">
        <f>'in2'!DB28</f>
        <v>0</v>
      </c>
      <c r="DE28" s="1">
        <f>'in2'!DC28</f>
        <v>0</v>
      </c>
      <c r="DF28" s="1">
        <f>'in2'!DD28</f>
        <v>0</v>
      </c>
      <c r="DG28" s="1">
        <f>'in2'!DE28</f>
        <v>1</v>
      </c>
      <c r="DH28" s="1">
        <f>'in2'!DF28</f>
        <v>0</v>
      </c>
      <c r="DI28" s="1">
        <f>'in2'!DG28</f>
        <v>1</v>
      </c>
      <c r="DJ28" s="1">
        <f>'in2'!DH28</f>
        <v>0</v>
      </c>
      <c r="DK28" s="1">
        <f>'in2'!DI28</f>
        <v>1</v>
      </c>
      <c r="DL28" s="1">
        <f>'in2'!DJ28</f>
        <v>0</v>
      </c>
      <c r="DM28" s="1">
        <f>'in2'!DK28</f>
        <v>0</v>
      </c>
      <c r="DN28" s="1">
        <f>'in2'!DL28</f>
        <v>1</v>
      </c>
      <c r="DO28" s="1">
        <f>'in2'!DM28</f>
        <v>1</v>
      </c>
      <c r="DP28" s="1">
        <f>'in2'!DN28</f>
        <v>0</v>
      </c>
      <c r="DQ28" s="1">
        <f>'in2'!DO28</f>
        <v>1</v>
      </c>
      <c r="DR28" s="1">
        <f>'in2'!DP28</f>
        <v>0</v>
      </c>
      <c r="DS28" s="1">
        <f>'in2'!DQ28</f>
        <v>0</v>
      </c>
      <c r="DT28" s="1">
        <f>'in2'!DR28</f>
        <v>0</v>
      </c>
      <c r="DU28" s="1">
        <f>'in2'!DS28</f>
        <v>1</v>
      </c>
      <c r="DV28" s="1">
        <f>'in2'!DT28</f>
        <v>0</v>
      </c>
      <c r="DW28" s="1">
        <f>'in2'!DU28</f>
        <v>0</v>
      </c>
      <c r="DX28" s="1">
        <f>'in2'!DV28</f>
        <v>0</v>
      </c>
      <c r="DY28" s="1">
        <f>'in2'!DW28</f>
        <v>0</v>
      </c>
      <c r="DZ28" s="1">
        <f>'in2'!DX28</f>
        <v>0</v>
      </c>
      <c r="EA28" s="1">
        <f>'in2'!DY28</f>
        <v>1</v>
      </c>
      <c r="EB28" s="1">
        <f>'in2'!DZ28</f>
        <v>0</v>
      </c>
      <c r="EC28" s="1">
        <f>'in2'!EA28</f>
        <v>0</v>
      </c>
      <c r="ED28" s="1">
        <f>'in2'!EB28</f>
        <v>1</v>
      </c>
      <c r="EE28" s="1">
        <f>'in2'!EC28</f>
        <v>1</v>
      </c>
      <c r="EF28" s="1">
        <f>'in2'!ED28</f>
        <v>0</v>
      </c>
      <c r="EG28" s="1">
        <f>'in2'!EE28</f>
        <v>1</v>
      </c>
      <c r="EH28" s="1">
        <f>'in2'!EF28</f>
        <v>1</v>
      </c>
      <c r="EI28" s="1">
        <f>'in2'!EG28</f>
        <v>0</v>
      </c>
      <c r="EJ28" s="1">
        <f>'in2'!EH28</f>
        <v>0</v>
      </c>
      <c r="EK28" s="1">
        <f>'in2'!EI28</f>
        <v>0</v>
      </c>
      <c r="EL28" s="1">
        <f>'in2'!EJ28</f>
        <v>1</v>
      </c>
      <c r="EM28" s="1">
        <f>'in2'!EK28</f>
        <v>1</v>
      </c>
      <c r="EN28" s="1">
        <f>'in2'!EL28</f>
        <v>0</v>
      </c>
      <c r="EO28" s="1">
        <f>'in2'!EM28</f>
        <v>0</v>
      </c>
      <c r="EP28" s="1">
        <f>'in2'!EN28</f>
        <v>0</v>
      </c>
      <c r="EQ28" s="1">
        <f>'in2'!EO28</f>
        <v>0</v>
      </c>
      <c r="ER28" s="1">
        <f>'in2'!EP28</f>
        <v>1</v>
      </c>
      <c r="ES28" s="6">
        <f t="shared" si="12"/>
        <v>22</v>
      </c>
      <c r="ET28" s="7">
        <f t="shared" si="11"/>
        <v>40</v>
      </c>
    </row>
    <row r="29" spans="1:150" x14ac:dyDescent="0.35">
      <c r="A29" s="43" t="str">
        <f>in!D29</f>
        <v xml:space="preserve">RUIZ OLIVARES MARISOL </v>
      </c>
      <c r="B29" s="43">
        <f>in!E29</f>
        <v>6211</v>
      </c>
      <c r="C29" s="1">
        <f>'in2'!M29</f>
        <v>1</v>
      </c>
      <c r="D29" s="1">
        <f>'in2'!N29</f>
        <v>0</v>
      </c>
      <c r="E29" s="1">
        <f>'in2'!O29</f>
        <v>1</v>
      </c>
      <c r="F29" s="1">
        <f>'in2'!P29</f>
        <v>1</v>
      </c>
      <c r="G29" s="1">
        <f>'in2'!Q29</f>
        <v>0</v>
      </c>
      <c r="H29" s="1">
        <f>'in2'!R29</f>
        <v>0</v>
      </c>
      <c r="I29" s="1">
        <f>'in2'!S29</f>
        <v>1</v>
      </c>
      <c r="J29" s="1">
        <f>'in2'!T29</f>
        <v>1</v>
      </c>
      <c r="K29" s="1">
        <f>'in2'!U29</f>
        <v>1</v>
      </c>
      <c r="L29" s="1">
        <f>'in2'!V29</f>
        <v>0</v>
      </c>
      <c r="M29" s="1">
        <f>'in2'!W29</f>
        <v>1</v>
      </c>
      <c r="N29" s="1">
        <f>'in2'!X29</f>
        <v>0</v>
      </c>
      <c r="O29" s="1">
        <f>'in2'!Y29</f>
        <v>0</v>
      </c>
      <c r="P29" s="1">
        <f>'in2'!Z29</f>
        <v>0</v>
      </c>
      <c r="Q29" s="1">
        <f>'in2'!AA29</f>
        <v>1</v>
      </c>
      <c r="R29" s="1">
        <f>'in2'!AB29</f>
        <v>0</v>
      </c>
      <c r="S29" s="1">
        <f>'in2'!AC29</f>
        <v>0</v>
      </c>
      <c r="T29" s="1">
        <f>'in2'!AD29</f>
        <v>1</v>
      </c>
      <c r="U29" s="1">
        <f>'in2'!AE29</f>
        <v>1</v>
      </c>
      <c r="V29" s="1">
        <f>'in2'!AF29</f>
        <v>1</v>
      </c>
      <c r="W29" s="1">
        <f>'in2'!AG29</f>
        <v>1</v>
      </c>
      <c r="X29" s="1">
        <f>'in2'!AH29</f>
        <v>0</v>
      </c>
      <c r="Y29" s="1">
        <f>'in2'!AI29</f>
        <v>1</v>
      </c>
      <c r="Z29" s="1">
        <f>'in2'!AJ29</f>
        <v>0</v>
      </c>
      <c r="AA29" s="1">
        <f>'in2'!AK29</f>
        <v>1</v>
      </c>
      <c r="AB29" s="5">
        <f t="shared" si="4"/>
        <v>14</v>
      </c>
      <c r="AC29" s="5">
        <f t="shared" si="5"/>
        <v>56</v>
      </c>
      <c r="AD29" s="1">
        <f>'in2'!AL29</f>
        <v>0</v>
      </c>
      <c r="AE29" s="1">
        <f>'in2'!AM29</f>
        <v>1</v>
      </c>
      <c r="AF29" s="1">
        <f>'in2'!AN29</f>
        <v>0</v>
      </c>
      <c r="AG29" s="1">
        <f>'in2'!AO29</f>
        <v>1</v>
      </c>
      <c r="AH29" s="1">
        <f>'in2'!AP29</f>
        <v>0</v>
      </c>
      <c r="AI29" s="1">
        <f>'in2'!AQ29</f>
        <v>0</v>
      </c>
      <c r="AJ29" s="1">
        <f>'in2'!AR29</f>
        <v>0</v>
      </c>
      <c r="AK29" s="1">
        <f>'in2'!AS29</f>
        <v>0</v>
      </c>
      <c r="AL29" s="1">
        <f>'in2'!AT29</f>
        <v>0</v>
      </c>
      <c r="AM29" s="1">
        <f>'in2'!AU29</f>
        <v>0</v>
      </c>
      <c r="AN29" s="1">
        <f>'in2'!AV29</f>
        <v>1</v>
      </c>
      <c r="AO29" s="1">
        <f>'in2'!AW29</f>
        <v>0</v>
      </c>
      <c r="AP29" s="1">
        <f>'in2'!AX29</f>
        <v>1</v>
      </c>
      <c r="AQ29" s="1">
        <f>'in2'!AY29</f>
        <v>1</v>
      </c>
      <c r="AR29" s="1">
        <f>'in2'!AZ29</f>
        <v>0</v>
      </c>
      <c r="AS29" s="1">
        <f>'in2'!BA29</f>
        <v>0</v>
      </c>
      <c r="AT29" s="1">
        <f>'in2'!BB29</f>
        <v>0</v>
      </c>
      <c r="AU29" s="1">
        <f>'in2'!BC29</f>
        <v>1</v>
      </c>
      <c r="AV29" s="1">
        <f>'in2'!BD29</f>
        <v>0</v>
      </c>
      <c r="AW29" s="1">
        <f>'in2'!BE29</f>
        <v>1</v>
      </c>
      <c r="AX29" s="1">
        <f>'in2'!BF29</f>
        <v>1</v>
      </c>
      <c r="AY29" s="1">
        <f>'in2'!BG29</f>
        <v>0</v>
      </c>
      <c r="AZ29" s="1">
        <f>'in2'!BH29</f>
        <v>0</v>
      </c>
      <c r="BA29" s="1">
        <f>'in2'!BI29</f>
        <v>0</v>
      </c>
      <c r="BB29" s="1">
        <f>'in2'!BJ29</f>
        <v>1</v>
      </c>
      <c r="BC29" s="3">
        <f t="shared" si="6"/>
        <v>9</v>
      </c>
      <c r="BD29" s="3">
        <f t="shared" si="7"/>
        <v>36</v>
      </c>
      <c r="BE29" s="1">
        <f>'in2'!BK29</f>
        <v>0</v>
      </c>
      <c r="BF29" s="1">
        <f>'in2'!BL29</f>
        <v>1</v>
      </c>
      <c r="BG29" s="1">
        <f>'in2'!BM29</f>
        <v>0</v>
      </c>
      <c r="BH29" s="1">
        <f>'in2'!BN29</f>
        <v>1</v>
      </c>
      <c r="BI29" s="1">
        <f>'in2'!BO29</f>
        <v>0</v>
      </c>
      <c r="BJ29" s="13">
        <f t="shared" si="0"/>
        <v>2</v>
      </c>
      <c r="BK29" s="14">
        <f t="shared" si="1"/>
        <v>40</v>
      </c>
      <c r="BL29" s="1">
        <f>'in2'!BP29</f>
        <v>1</v>
      </c>
      <c r="BM29" s="1">
        <f>'in2'!BQ29</f>
        <v>1</v>
      </c>
      <c r="BN29" s="1">
        <f>'in2'!BR29</f>
        <v>1</v>
      </c>
      <c r="BO29" s="1">
        <f>'in2'!BS29</f>
        <v>0</v>
      </c>
      <c r="BP29" s="1">
        <f>'in2'!BT29</f>
        <v>1</v>
      </c>
      <c r="BQ29" s="1">
        <f>'in2'!BU29</f>
        <v>1</v>
      </c>
      <c r="BR29" s="1">
        <f>'in2'!BV29</f>
        <v>0</v>
      </c>
      <c r="BS29" s="1">
        <f>'in2'!BW29</f>
        <v>1</v>
      </c>
      <c r="BT29" s="1">
        <f>'in2'!BX29</f>
        <v>0</v>
      </c>
      <c r="BU29" s="1">
        <f>'in2'!BY29</f>
        <v>0</v>
      </c>
      <c r="BV29" s="1">
        <f>'in2'!BZ29</f>
        <v>1</v>
      </c>
      <c r="BW29" s="1">
        <f>'in2'!CA29</f>
        <v>0</v>
      </c>
      <c r="BX29" s="1">
        <f>'in2'!CB29</f>
        <v>1</v>
      </c>
      <c r="BY29" s="11">
        <f t="shared" si="8"/>
        <v>8</v>
      </c>
      <c r="BZ29" s="16">
        <f t="shared" si="9"/>
        <v>61.53846153846154</v>
      </c>
      <c r="CA29" s="1">
        <f>'in2'!CC29</f>
        <v>1</v>
      </c>
      <c r="CB29" s="1">
        <f>'in2'!CD29</f>
        <v>1</v>
      </c>
      <c r="CC29" s="1">
        <f>'in2'!CE29</f>
        <v>0</v>
      </c>
      <c r="CD29" s="1">
        <f>'in2'!CF29</f>
        <v>0</v>
      </c>
      <c r="CE29" s="1">
        <f>'in2'!CG29</f>
        <v>1</v>
      </c>
      <c r="CF29" s="1">
        <f>'in2'!CH29</f>
        <v>1</v>
      </c>
      <c r="CG29" s="1">
        <f>'in2'!CI29</f>
        <v>1</v>
      </c>
      <c r="CH29" s="1">
        <f>'in2'!CJ29</f>
        <v>0</v>
      </c>
      <c r="CI29" s="1">
        <f>'in2'!CK29</f>
        <v>0</v>
      </c>
      <c r="CJ29" s="1">
        <f>'in2'!CL29</f>
        <v>0</v>
      </c>
      <c r="CK29" s="12">
        <f t="shared" si="13"/>
        <v>5</v>
      </c>
      <c r="CL29" s="15">
        <f t="shared" si="10"/>
        <v>50</v>
      </c>
      <c r="CM29" s="65">
        <f>'in2'!CM29</f>
        <v>1</v>
      </c>
      <c r="CN29" s="17">
        <f t="shared" si="2"/>
        <v>1</v>
      </c>
      <c r="CO29" s="17">
        <f t="shared" si="3"/>
        <v>100</v>
      </c>
      <c r="CP29" s="1">
        <f>'in2'!CN29</f>
        <v>0</v>
      </c>
      <c r="CQ29" s="1">
        <f>'in2'!CO29</f>
        <v>1</v>
      </c>
      <c r="CR29" s="1">
        <f>'in2'!CP29</f>
        <v>1</v>
      </c>
      <c r="CS29" s="1">
        <f>'in2'!CQ29</f>
        <v>1</v>
      </c>
      <c r="CT29" s="1">
        <f>'in2'!CR29</f>
        <v>0</v>
      </c>
      <c r="CU29" s="1">
        <f>'in2'!CS29</f>
        <v>1</v>
      </c>
      <c r="CV29" s="1">
        <f>'in2'!CT29</f>
        <v>1</v>
      </c>
      <c r="CW29" s="1">
        <f>'in2'!CU29</f>
        <v>1</v>
      </c>
      <c r="CX29" s="1">
        <f>'in2'!CV29</f>
        <v>0</v>
      </c>
      <c r="CY29" s="1">
        <f>'in2'!CW29</f>
        <v>1</v>
      </c>
      <c r="CZ29" s="1">
        <f>'in2'!CX29</f>
        <v>0</v>
      </c>
      <c r="DA29" s="1">
        <f>'in2'!CY29</f>
        <v>0</v>
      </c>
      <c r="DB29" s="1">
        <f>'in2'!CZ29</f>
        <v>0</v>
      </c>
      <c r="DC29" s="1">
        <f>'in2'!DA29</f>
        <v>0</v>
      </c>
      <c r="DD29" s="1">
        <f>'in2'!DB29</f>
        <v>1</v>
      </c>
      <c r="DE29" s="1">
        <f>'in2'!DC29</f>
        <v>0</v>
      </c>
      <c r="DF29" s="1">
        <f>'in2'!DD29</f>
        <v>0</v>
      </c>
      <c r="DG29" s="1">
        <f>'in2'!DE29</f>
        <v>1</v>
      </c>
      <c r="DH29" s="1">
        <f>'in2'!DF29</f>
        <v>1</v>
      </c>
      <c r="DI29" s="1">
        <f>'in2'!DG29</f>
        <v>0</v>
      </c>
      <c r="DJ29" s="1">
        <f>'in2'!DH29</f>
        <v>0</v>
      </c>
      <c r="DK29" s="1">
        <f>'in2'!DI29</f>
        <v>0</v>
      </c>
      <c r="DL29" s="1">
        <f>'in2'!DJ29</f>
        <v>0</v>
      </c>
      <c r="DM29" s="1">
        <f>'in2'!DK29</f>
        <v>0</v>
      </c>
      <c r="DN29" s="1">
        <f>'in2'!DL29</f>
        <v>1</v>
      </c>
      <c r="DO29" s="1">
        <f>'in2'!DM29</f>
        <v>1</v>
      </c>
      <c r="DP29" s="1">
        <f>'in2'!DN29</f>
        <v>0</v>
      </c>
      <c r="DQ29" s="1">
        <f>'in2'!DO29</f>
        <v>0</v>
      </c>
      <c r="DR29" s="1">
        <f>'in2'!DP29</f>
        <v>1</v>
      </c>
      <c r="DS29" s="1">
        <f>'in2'!DQ29</f>
        <v>1</v>
      </c>
      <c r="DT29" s="1">
        <f>'in2'!DR29</f>
        <v>0</v>
      </c>
      <c r="DU29" s="1">
        <f>'in2'!DS29</f>
        <v>1</v>
      </c>
      <c r="DV29" s="1">
        <f>'in2'!DT29</f>
        <v>1</v>
      </c>
      <c r="DW29" s="1">
        <f>'in2'!DU29</f>
        <v>0</v>
      </c>
      <c r="DX29" s="1">
        <f>'in2'!DV29</f>
        <v>0</v>
      </c>
      <c r="DY29" s="1">
        <f>'in2'!DW29</f>
        <v>0</v>
      </c>
      <c r="DZ29" s="1">
        <f>'in2'!DX29</f>
        <v>0</v>
      </c>
      <c r="EA29" s="1">
        <f>'in2'!DY29</f>
        <v>0</v>
      </c>
      <c r="EB29" s="1">
        <f>'in2'!DZ29</f>
        <v>0</v>
      </c>
      <c r="EC29" s="1">
        <f>'in2'!EA29</f>
        <v>0</v>
      </c>
      <c r="ED29" s="1">
        <f>'in2'!EB29</f>
        <v>0</v>
      </c>
      <c r="EE29" s="1">
        <f>'in2'!EC29</f>
        <v>0</v>
      </c>
      <c r="EF29" s="1">
        <f>'in2'!ED29</f>
        <v>1</v>
      </c>
      <c r="EG29" s="1">
        <f>'in2'!EE29</f>
        <v>1</v>
      </c>
      <c r="EH29" s="1">
        <f>'in2'!EF29</f>
        <v>0</v>
      </c>
      <c r="EI29" s="1">
        <f>'in2'!EG29</f>
        <v>0</v>
      </c>
      <c r="EJ29" s="1">
        <f>'in2'!EH29</f>
        <v>0</v>
      </c>
      <c r="EK29" s="1">
        <f>'in2'!EI29</f>
        <v>0</v>
      </c>
      <c r="EL29" s="1">
        <f>'in2'!EJ29</f>
        <v>0</v>
      </c>
      <c r="EM29" s="1">
        <f>'in2'!EK29</f>
        <v>1</v>
      </c>
      <c r="EN29" s="1">
        <f>'in2'!EL29</f>
        <v>1</v>
      </c>
      <c r="EO29" s="1">
        <f>'in2'!EM29</f>
        <v>0</v>
      </c>
      <c r="EP29" s="1">
        <f>'in2'!EN29</f>
        <v>0</v>
      </c>
      <c r="EQ29" s="1">
        <f>'in2'!EO29</f>
        <v>0</v>
      </c>
      <c r="ER29" s="1">
        <f>'in2'!EP29</f>
        <v>0</v>
      </c>
      <c r="ES29" s="6">
        <f t="shared" si="12"/>
        <v>20</v>
      </c>
      <c r="ET29" s="7">
        <f t="shared" si="11"/>
        <v>36.363636363636367</v>
      </c>
    </row>
    <row r="30" spans="1:150" x14ac:dyDescent="0.35">
      <c r="A30" s="43" t="str">
        <f>in!D30</f>
        <v>SOTO MARTINEZ YURANIS PAOLA</v>
      </c>
      <c r="B30" s="43">
        <f>in!E30</f>
        <v>6212</v>
      </c>
      <c r="C30" s="1">
        <f>'in2'!M30</f>
        <v>1</v>
      </c>
      <c r="D30" s="1">
        <f>'in2'!N30</f>
        <v>0</v>
      </c>
      <c r="E30" s="1">
        <f>'in2'!O30</f>
        <v>0</v>
      </c>
      <c r="F30" s="1">
        <f>'in2'!P30</f>
        <v>0</v>
      </c>
      <c r="G30" s="1">
        <f>'in2'!Q30</f>
        <v>1</v>
      </c>
      <c r="H30" s="1">
        <f>'in2'!R30</f>
        <v>0</v>
      </c>
      <c r="I30" s="1">
        <f>'in2'!S30</f>
        <v>1</v>
      </c>
      <c r="J30" s="1">
        <f>'in2'!T30</f>
        <v>0</v>
      </c>
      <c r="K30" s="1">
        <f>'in2'!U30</f>
        <v>1</v>
      </c>
      <c r="L30" s="1">
        <f>'in2'!V30</f>
        <v>0</v>
      </c>
      <c r="M30" s="1">
        <f>'in2'!W30</f>
        <v>1</v>
      </c>
      <c r="N30" s="1">
        <f>'in2'!X30</f>
        <v>0</v>
      </c>
      <c r="O30" s="1">
        <f>'in2'!Y30</f>
        <v>1</v>
      </c>
      <c r="P30" s="1">
        <f>'in2'!Z30</f>
        <v>0</v>
      </c>
      <c r="Q30" s="1">
        <f>'in2'!AA30</f>
        <v>1</v>
      </c>
      <c r="R30" s="1">
        <f>'in2'!AB30</f>
        <v>0</v>
      </c>
      <c r="S30" s="1">
        <f>'in2'!AC30</f>
        <v>0</v>
      </c>
      <c r="T30" s="1">
        <f>'in2'!AD30</f>
        <v>1</v>
      </c>
      <c r="U30" s="1">
        <f>'in2'!AE30</f>
        <v>1</v>
      </c>
      <c r="V30" s="1">
        <f>'in2'!AF30</f>
        <v>0</v>
      </c>
      <c r="W30" s="1">
        <f>'in2'!AG30</f>
        <v>1</v>
      </c>
      <c r="X30" s="1">
        <f>'in2'!AH30</f>
        <v>0</v>
      </c>
      <c r="Y30" s="1">
        <f>'in2'!AI30</f>
        <v>0</v>
      </c>
      <c r="Z30" s="1">
        <f>'in2'!AJ30</f>
        <v>0</v>
      </c>
      <c r="AA30" s="1">
        <f>'in2'!AK30</f>
        <v>0</v>
      </c>
      <c r="AB30" s="5">
        <f t="shared" si="4"/>
        <v>10</v>
      </c>
      <c r="AC30" s="5">
        <f t="shared" si="5"/>
        <v>40</v>
      </c>
      <c r="AD30" s="1">
        <f>'in2'!AL30</f>
        <v>0</v>
      </c>
      <c r="AE30" s="1">
        <f>'in2'!AM30</f>
        <v>1</v>
      </c>
      <c r="AF30" s="1">
        <f>'in2'!AN30</f>
        <v>0</v>
      </c>
      <c r="AG30" s="1">
        <f>'in2'!AO30</f>
        <v>1</v>
      </c>
      <c r="AH30" s="1">
        <f>'in2'!AP30</f>
        <v>0</v>
      </c>
      <c r="AI30" s="1">
        <f>'in2'!AQ30</f>
        <v>0</v>
      </c>
      <c r="AJ30" s="1">
        <f>'in2'!AR30</f>
        <v>1</v>
      </c>
      <c r="AK30" s="1">
        <f>'in2'!AS30</f>
        <v>0</v>
      </c>
      <c r="AL30" s="1">
        <f>'in2'!AT30</f>
        <v>0</v>
      </c>
      <c r="AM30" s="1">
        <f>'in2'!AU30</f>
        <v>0</v>
      </c>
      <c r="AN30" s="1">
        <f>'in2'!AV30</f>
        <v>0</v>
      </c>
      <c r="AO30" s="1">
        <f>'in2'!AW30</f>
        <v>0</v>
      </c>
      <c r="AP30" s="1">
        <f>'in2'!AX30</f>
        <v>1</v>
      </c>
      <c r="AQ30" s="1">
        <f>'in2'!AY30</f>
        <v>0</v>
      </c>
      <c r="AR30" s="1">
        <f>'in2'!AZ30</f>
        <v>0</v>
      </c>
      <c r="AS30" s="1">
        <f>'in2'!BA30</f>
        <v>0</v>
      </c>
      <c r="AT30" s="1">
        <f>'in2'!BB30</f>
        <v>0</v>
      </c>
      <c r="AU30" s="1">
        <f>'in2'!BC30</f>
        <v>0</v>
      </c>
      <c r="AV30" s="1">
        <f>'in2'!BD30</f>
        <v>1</v>
      </c>
      <c r="AW30" s="1">
        <f>'in2'!BE30</f>
        <v>1</v>
      </c>
      <c r="AX30" s="1">
        <f>'in2'!BF30</f>
        <v>1</v>
      </c>
      <c r="AY30" s="1">
        <f>'in2'!BG30</f>
        <v>0</v>
      </c>
      <c r="AZ30" s="1">
        <f>'in2'!BH30</f>
        <v>0</v>
      </c>
      <c r="BA30" s="1">
        <f>'in2'!BI30</f>
        <v>1</v>
      </c>
      <c r="BB30" s="1">
        <f>'in2'!BJ30</f>
        <v>0</v>
      </c>
      <c r="BC30" s="3">
        <f t="shared" si="6"/>
        <v>8</v>
      </c>
      <c r="BD30" s="3">
        <f t="shared" si="7"/>
        <v>32</v>
      </c>
      <c r="BE30" s="1">
        <f>'in2'!BK30</f>
        <v>0</v>
      </c>
      <c r="BF30" s="1">
        <f>'in2'!BL30</f>
        <v>1</v>
      </c>
      <c r="BG30" s="1">
        <f>'in2'!BM30</f>
        <v>0</v>
      </c>
      <c r="BH30" s="1">
        <f>'in2'!BN30</f>
        <v>0</v>
      </c>
      <c r="BI30" s="1">
        <f>'in2'!BO30</f>
        <v>1</v>
      </c>
      <c r="BJ30" s="13">
        <f t="shared" si="0"/>
        <v>2</v>
      </c>
      <c r="BK30" s="14">
        <f t="shared" si="1"/>
        <v>40</v>
      </c>
      <c r="BL30" s="1">
        <f>'in2'!BP30</f>
        <v>0</v>
      </c>
      <c r="BM30" s="1">
        <f>'in2'!BQ30</f>
        <v>1</v>
      </c>
      <c r="BN30" s="1">
        <f>'in2'!BR30</f>
        <v>1</v>
      </c>
      <c r="BO30" s="1">
        <f>'in2'!BS30</f>
        <v>0</v>
      </c>
      <c r="BP30" s="1">
        <f>'in2'!BT30</f>
        <v>1</v>
      </c>
      <c r="BQ30" s="1">
        <f>'in2'!BU30</f>
        <v>0</v>
      </c>
      <c r="BR30" s="1">
        <f>'in2'!BV30</f>
        <v>0</v>
      </c>
      <c r="BS30" s="1">
        <f>'in2'!BW30</f>
        <v>0</v>
      </c>
      <c r="BT30" s="1">
        <f>'in2'!BX30</f>
        <v>0</v>
      </c>
      <c r="BU30" s="1">
        <f>'in2'!BY30</f>
        <v>1</v>
      </c>
      <c r="BV30" s="1">
        <f>'in2'!BZ30</f>
        <v>0</v>
      </c>
      <c r="BW30" s="1">
        <f>'in2'!CA30</f>
        <v>0</v>
      </c>
      <c r="BX30" s="1">
        <f>'in2'!CB30</f>
        <v>0</v>
      </c>
      <c r="BY30" s="11">
        <f t="shared" si="8"/>
        <v>4</v>
      </c>
      <c r="BZ30" s="16">
        <f t="shared" si="9"/>
        <v>30.76923076923077</v>
      </c>
      <c r="CA30" s="1">
        <f>'in2'!CC30</f>
        <v>0</v>
      </c>
      <c r="CB30" s="1">
        <f>'in2'!CD30</f>
        <v>1</v>
      </c>
      <c r="CC30" s="1">
        <f>'in2'!CE30</f>
        <v>0</v>
      </c>
      <c r="CD30" s="1">
        <f>'in2'!CF30</f>
        <v>0</v>
      </c>
      <c r="CE30" s="1">
        <f>'in2'!CG30</f>
        <v>1</v>
      </c>
      <c r="CF30" s="1">
        <f>'in2'!CH30</f>
        <v>0</v>
      </c>
      <c r="CG30" s="1">
        <f>'in2'!CI30</f>
        <v>0</v>
      </c>
      <c r="CH30" s="1">
        <f>'in2'!CJ30</f>
        <v>0</v>
      </c>
      <c r="CI30" s="1">
        <f>'in2'!CK30</f>
        <v>0</v>
      </c>
      <c r="CJ30" s="1">
        <f>'in2'!CL30</f>
        <v>1</v>
      </c>
      <c r="CK30" s="12">
        <f t="shared" si="13"/>
        <v>3</v>
      </c>
      <c r="CL30" s="15">
        <f t="shared" si="10"/>
        <v>30</v>
      </c>
      <c r="CM30" s="65">
        <f>'in2'!CM30</f>
        <v>0</v>
      </c>
      <c r="CN30" s="17">
        <f t="shared" si="2"/>
        <v>0</v>
      </c>
      <c r="CO30" s="17">
        <f t="shared" si="3"/>
        <v>0</v>
      </c>
      <c r="CP30" s="1">
        <f>'in2'!CN30</f>
        <v>0</v>
      </c>
      <c r="CQ30" s="1">
        <f>'in2'!CO30</f>
        <v>1</v>
      </c>
      <c r="CR30" s="1">
        <f>'in2'!CP30</f>
        <v>1</v>
      </c>
      <c r="CS30" s="1">
        <f>'in2'!CQ30</f>
        <v>0</v>
      </c>
      <c r="CT30" s="1">
        <f>'in2'!CR30</f>
        <v>1</v>
      </c>
      <c r="CU30" s="1">
        <f>'in2'!CS30</f>
        <v>0</v>
      </c>
      <c r="CV30" s="1">
        <f>'in2'!CT30</f>
        <v>1</v>
      </c>
      <c r="CW30" s="1">
        <f>'in2'!CU30</f>
        <v>1</v>
      </c>
      <c r="CX30" s="1">
        <f>'in2'!CV30</f>
        <v>0</v>
      </c>
      <c r="CY30" s="1">
        <f>'in2'!CW30</f>
        <v>1</v>
      </c>
      <c r="CZ30" s="1">
        <f>'in2'!CX30</f>
        <v>1</v>
      </c>
      <c r="DA30" s="1">
        <f>'in2'!CY30</f>
        <v>1</v>
      </c>
      <c r="DB30" s="1">
        <f>'in2'!CZ30</f>
        <v>0</v>
      </c>
      <c r="DC30" s="1">
        <f>'in2'!DA30</f>
        <v>0</v>
      </c>
      <c r="DD30" s="1">
        <f>'in2'!DB30</f>
        <v>0</v>
      </c>
      <c r="DE30" s="1">
        <f>'in2'!DC30</f>
        <v>0</v>
      </c>
      <c r="DF30" s="1">
        <f>'in2'!DD30</f>
        <v>1</v>
      </c>
      <c r="DG30" s="1">
        <f>'in2'!DE30</f>
        <v>0</v>
      </c>
      <c r="DH30" s="1">
        <f>'in2'!DF30</f>
        <v>0</v>
      </c>
      <c r="DI30" s="1">
        <f>'in2'!DG30</f>
        <v>0</v>
      </c>
      <c r="DJ30" s="1">
        <f>'in2'!DH30</f>
        <v>0</v>
      </c>
      <c r="DK30" s="1">
        <f>'in2'!DI30</f>
        <v>0</v>
      </c>
      <c r="DL30" s="1">
        <f>'in2'!DJ30</f>
        <v>0</v>
      </c>
      <c r="DM30" s="1">
        <f>'in2'!DK30</f>
        <v>0</v>
      </c>
      <c r="DN30" s="1">
        <f>'in2'!DL30</f>
        <v>0</v>
      </c>
      <c r="DO30" s="1">
        <f>'in2'!DM30</f>
        <v>1</v>
      </c>
      <c r="DP30" s="1">
        <f>'in2'!DN30</f>
        <v>1</v>
      </c>
      <c r="DQ30" s="1">
        <f>'in2'!DO30</f>
        <v>1</v>
      </c>
      <c r="DR30" s="1">
        <f>'in2'!DP30</f>
        <v>0</v>
      </c>
      <c r="DS30" s="1">
        <f>'in2'!DQ30</f>
        <v>0</v>
      </c>
      <c r="DT30" s="1">
        <f>'in2'!DR30</f>
        <v>0</v>
      </c>
      <c r="DU30" s="1">
        <f>'in2'!DS30</f>
        <v>0</v>
      </c>
      <c r="DV30" s="1">
        <f>'in2'!DT30</f>
        <v>1</v>
      </c>
      <c r="DW30" s="1">
        <f>'in2'!DU30</f>
        <v>0</v>
      </c>
      <c r="DX30" s="1">
        <f>'in2'!DV30</f>
        <v>0</v>
      </c>
      <c r="DY30" s="1">
        <f>'in2'!DW30</f>
        <v>1</v>
      </c>
      <c r="DZ30" s="1">
        <f>'in2'!DX30</f>
        <v>1</v>
      </c>
      <c r="EA30" s="1">
        <f>'in2'!DY30</f>
        <v>0</v>
      </c>
      <c r="EB30" s="1">
        <f>'in2'!DZ30</f>
        <v>1</v>
      </c>
      <c r="EC30" s="1">
        <f>'in2'!EA30</f>
        <v>0</v>
      </c>
      <c r="ED30" s="1">
        <f>'in2'!EB30</f>
        <v>0</v>
      </c>
      <c r="EE30" s="1">
        <f>'in2'!EC30</f>
        <v>0</v>
      </c>
      <c r="EF30" s="1">
        <f>'in2'!ED30</f>
        <v>0</v>
      </c>
      <c r="EG30" s="1">
        <f>'in2'!EE30</f>
        <v>0</v>
      </c>
      <c r="EH30" s="1">
        <f>'in2'!EF30</f>
        <v>0</v>
      </c>
      <c r="EI30" s="1">
        <f>'in2'!EG30</f>
        <v>1</v>
      </c>
      <c r="EJ30" s="1">
        <f>'in2'!EH30</f>
        <v>0</v>
      </c>
      <c r="EK30" s="1">
        <f>'in2'!EI30</f>
        <v>0</v>
      </c>
      <c r="EL30" s="1">
        <f>'in2'!EJ30</f>
        <v>0</v>
      </c>
      <c r="EM30" s="1">
        <f>'in2'!EK30</f>
        <v>0</v>
      </c>
      <c r="EN30" s="1">
        <f>'in2'!EL30</f>
        <v>0</v>
      </c>
      <c r="EO30" s="1">
        <f>'in2'!EM30</f>
        <v>0</v>
      </c>
      <c r="EP30" s="1">
        <f>'in2'!EN30</f>
        <v>1</v>
      </c>
      <c r="EQ30" s="1">
        <f>'in2'!EO30</f>
        <v>1</v>
      </c>
      <c r="ER30" s="1">
        <f>'in2'!EP30</f>
        <v>1</v>
      </c>
      <c r="ES30" s="6">
        <f t="shared" si="12"/>
        <v>20</v>
      </c>
      <c r="ET30" s="7">
        <f t="shared" si="11"/>
        <v>36.363636363636367</v>
      </c>
    </row>
    <row r="31" spans="1:150" x14ac:dyDescent="0.35">
      <c r="A31" s="43" t="str">
        <f>in!D31</f>
        <v>VELASQUEZ PASCACIO ADRIANA JOSÉ</v>
      </c>
      <c r="B31" s="43">
        <f>in!E31</f>
        <v>6213</v>
      </c>
      <c r="C31" s="1">
        <f>'in2'!M31</f>
        <v>1</v>
      </c>
      <c r="D31" s="1">
        <f>'in2'!N31</f>
        <v>0</v>
      </c>
      <c r="E31" s="1">
        <f>'in2'!O31</f>
        <v>1</v>
      </c>
      <c r="F31" s="1">
        <f>'in2'!P31</f>
        <v>0</v>
      </c>
      <c r="G31" s="1">
        <f>'in2'!Q31</f>
        <v>1</v>
      </c>
      <c r="H31" s="1">
        <f>'in2'!R31</f>
        <v>0</v>
      </c>
      <c r="I31" s="1">
        <f>'in2'!S31</f>
        <v>0</v>
      </c>
      <c r="J31" s="1">
        <f>'in2'!T31</f>
        <v>1</v>
      </c>
      <c r="K31" s="1">
        <f>'in2'!U31</f>
        <v>0</v>
      </c>
      <c r="L31" s="1">
        <f>'in2'!V31</f>
        <v>0</v>
      </c>
      <c r="M31" s="1">
        <f>'in2'!W31</f>
        <v>0</v>
      </c>
      <c r="N31" s="1">
        <f>'in2'!X31</f>
        <v>1</v>
      </c>
      <c r="O31" s="1">
        <f>'in2'!Y31</f>
        <v>0</v>
      </c>
      <c r="P31" s="1">
        <f>'in2'!Z31</f>
        <v>0</v>
      </c>
      <c r="Q31" s="1">
        <f>'in2'!AA31</f>
        <v>0</v>
      </c>
      <c r="R31" s="1">
        <f>'in2'!AB31</f>
        <v>0</v>
      </c>
      <c r="S31" s="1">
        <f>'in2'!AC31</f>
        <v>1</v>
      </c>
      <c r="T31" s="1">
        <f>'in2'!AD31</f>
        <v>1</v>
      </c>
      <c r="U31" s="1">
        <f>'in2'!AE31</f>
        <v>0</v>
      </c>
      <c r="V31" s="1">
        <f>'in2'!AF31</f>
        <v>1</v>
      </c>
      <c r="W31" s="1">
        <f>'in2'!AG31</f>
        <v>1</v>
      </c>
      <c r="X31" s="1">
        <f>'in2'!AH31</f>
        <v>1</v>
      </c>
      <c r="Y31" s="1">
        <f>'in2'!AI31</f>
        <v>0</v>
      </c>
      <c r="Z31" s="1">
        <f>'in2'!AJ31</f>
        <v>0</v>
      </c>
      <c r="AA31" s="1">
        <f>'in2'!AK31</f>
        <v>0</v>
      </c>
      <c r="AB31" s="5">
        <f t="shared" si="4"/>
        <v>10</v>
      </c>
      <c r="AC31" s="5">
        <f t="shared" si="5"/>
        <v>40</v>
      </c>
      <c r="AD31" s="1">
        <f>'in2'!AL31</f>
        <v>0</v>
      </c>
      <c r="AE31" s="1">
        <f>'in2'!AM31</f>
        <v>0</v>
      </c>
      <c r="AF31" s="1">
        <f>'in2'!AN31</f>
        <v>1</v>
      </c>
      <c r="AG31" s="1">
        <f>'in2'!AO31</f>
        <v>1</v>
      </c>
      <c r="AH31" s="1">
        <f>'in2'!AP31</f>
        <v>0</v>
      </c>
      <c r="AI31" s="1">
        <f>'in2'!AQ31</f>
        <v>1</v>
      </c>
      <c r="AJ31" s="1">
        <f>'in2'!AR31</f>
        <v>1</v>
      </c>
      <c r="AK31" s="1">
        <f>'in2'!AS31</f>
        <v>0</v>
      </c>
      <c r="AL31" s="1">
        <f>'in2'!AT31</f>
        <v>0</v>
      </c>
      <c r="AM31" s="1">
        <f>'in2'!AU31</f>
        <v>0</v>
      </c>
      <c r="AN31" s="1">
        <f>'in2'!AV31</f>
        <v>0</v>
      </c>
      <c r="AO31" s="1">
        <f>'in2'!AW31</f>
        <v>0</v>
      </c>
      <c r="AP31" s="1">
        <f>'in2'!AX31</f>
        <v>0</v>
      </c>
      <c r="AQ31" s="1">
        <f>'in2'!AY31</f>
        <v>0</v>
      </c>
      <c r="AR31" s="1">
        <f>'in2'!AZ31</f>
        <v>0</v>
      </c>
      <c r="AS31" s="1">
        <f>'in2'!BA31</f>
        <v>0</v>
      </c>
      <c r="AT31" s="1">
        <f>'in2'!BB31</f>
        <v>0</v>
      </c>
      <c r="AU31" s="1">
        <f>'in2'!BC31</f>
        <v>1</v>
      </c>
      <c r="AV31" s="1">
        <f>'in2'!BD31</f>
        <v>1</v>
      </c>
      <c r="AW31" s="1">
        <f>'in2'!BE31</f>
        <v>0</v>
      </c>
      <c r="AX31" s="1">
        <f>'in2'!BF31</f>
        <v>0</v>
      </c>
      <c r="AY31" s="1">
        <f>'in2'!BG31</f>
        <v>0</v>
      </c>
      <c r="AZ31" s="1">
        <f>'in2'!BH31</f>
        <v>0</v>
      </c>
      <c r="BA31" s="1">
        <f>'in2'!BI31</f>
        <v>1</v>
      </c>
      <c r="BB31" s="1">
        <f>'in2'!BJ31</f>
        <v>1</v>
      </c>
      <c r="BC31" s="3">
        <f t="shared" si="6"/>
        <v>8</v>
      </c>
      <c r="BD31" s="3">
        <f t="shared" si="7"/>
        <v>32</v>
      </c>
      <c r="BE31" s="1">
        <f>'in2'!BK31</f>
        <v>0</v>
      </c>
      <c r="BF31" s="1">
        <f>'in2'!BL31</f>
        <v>0</v>
      </c>
      <c r="BG31" s="1">
        <f>'in2'!BM31</f>
        <v>1</v>
      </c>
      <c r="BH31" s="1">
        <f>'in2'!BN31</f>
        <v>0</v>
      </c>
      <c r="BI31" s="1">
        <f>'in2'!BO31</f>
        <v>0</v>
      </c>
      <c r="BJ31" s="13">
        <f t="shared" si="0"/>
        <v>1</v>
      </c>
      <c r="BK31" s="14">
        <f t="shared" si="1"/>
        <v>20</v>
      </c>
      <c r="BL31" s="1">
        <f>'in2'!BP31</f>
        <v>0</v>
      </c>
      <c r="BM31" s="1">
        <f>'in2'!BQ31</f>
        <v>0</v>
      </c>
      <c r="BN31" s="1">
        <f>'in2'!BR31</f>
        <v>1</v>
      </c>
      <c r="BO31" s="1">
        <f>'in2'!BS31</f>
        <v>0</v>
      </c>
      <c r="BP31" s="1">
        <f>'in2'!BT31</f>
        <v>0</v>
      </c>
      <c r="BQ31" s="1">
        <f>'in2'!BU31</f>
        <v>0</v>
      </c>
      <c r="BR31" s="1">
        <f>'in2'!BV31</f>
        <v>0</v>
      </c>
      <c r="BS31" s="1">
        <f>'in2'!BW31</f>
        <v>1</v>
      </c>
      <c r="BT31" s="1">
        <f>'in2'!BX31</f>
        <v>0</v>
      </c>
      <c r="BU31" s="1">
        <f>'in2'!BY31</f>
        <v>1</v>
      </c>
      <c r="BV31" s="1">
        <f>'in2'!BZ31</f>
        <v>0</v>
      </c>
      <c r="BW31" s="1">
        <f>'in2'!CA31</f>
        <v>0</v>
      </c>
      <c r="BX31" s="1">
        <f>'in2'!CB31</f>
        <v>0</v>
      </c>
      <c r="BY31" s="11">
        <f t="shared" si="8"/>
        <v>3</v>
      </c>
      <c r="BZ31" s="16">
        <f t="shared" si="9"/>
        <v>23.076923076923077</v>
      </c>
      <c r="CA31" s="1">
        <f>'in2'!CC31</f>
        <v>0</v>
      </c>
      <c r="CB31" s="1">
        <f>'in2'!CD31</f>
        <v>1</v>
      </c>
      <c r="CC31" s="1">
        <f>'in2'!CE31</f>
        <v>0</v>
      </c>
      <c r="CD31" s="1">
        <f>'in2'!CF31</f>
        <v>1</v>
      </c>
      <c r="CE31" s="1">
        <f>'in2'!CG31</f>
        <v>0</v>
      </c>
      <c r="CF31" s="1">
        <f>'in2'!CH31</f>
        <v>1</v>
      </c>
      <c r="CG31" s="1">
        <f>'in2'!CI31</f>
        <v>0</v>
      </c>
      <c r="CH31" s="1">
        <f>'in2'!CJ31</f>
        <v>0</v>
      </c>
      <c r="CI31" s="1">
        <f>'in2'!CK31</f>
        <v>0</v>
      </c>
      <c r="CJ31" s="1">
        <f>'in2'!CL31</f>
        <v>0</v>
      </c>
      <c r="CK31" s="12">
        <f t="shared" si="13"/>
        <v>3</v>
      </c>
      <c r="CL31" s="15">
        <f t="shared" si="10"/>
        <v>30</v>
      </c>
      <c r="CM31" s="65">
        <f>'in2'!CM31</f>
        <v>0</v>
      </c>
      <c r="CN31" s="17">
        <f t="shared" si="2"/>
        <v>0</v>
      </c>
      <c r="CO31" s="17">
        <f t="shared" si="3"/>
        <v>0</v>
      </c>
      <c r="CP31" s="1">
        <f>'in2'!CN31</f>
        <v>0</v>
      </c>
      <c r="CQ31" s="1">
        <f>'in2'!CO31</f>
        <v>0</v>
      </c>
      <c r="CR31" s="1">
        <f>'in2'!CP31</f>
        <v>0</v>
      </c>
      <c r="CS31" s="1">
        <f>'in2'!CQ31</f>
        <v>0</v>
      </c>
      <c r="CT31" s="1">
        <f>'in2'!CR31</f>
        <v>1</v>
      </c>
      <c r="CU31" s="1">
        <f>'in2'!CS31</f>
        <v>1</v>
      </c>
      <c r="CV31" s="1">
        <f>'in2'!CT31</f>
        <v>1</v>
      </c>
      <c r="CW31" s="1">
        <f>'in2'!CU31</f>
        <v>0</v>
      </c>
      <c r="CX31" s="1">
        <f>'in2'!CV31</f>
        <v>1</v>
      </c>
      <c r="CY31" s="1">
        <f>'in2'!CW31</f>
        <v>0</v>
      </c>
      <c r="CZ31" s="1">
        <f>'in2'!CX31</f>
        <v>0</v>
      </c>
      <c r="DA31" s="1">
        <f>'in2'!CY31</f>
        <v>0</v>
      </c>
      <c r="DB31" s="1">
        <f>'in2'!CZ31</f>
        <v>1</v>
      </c>
      <c r="DC31" s="1">
        <f>'in2'!DA31</f>
        <v>0</v>
      </c>
      <c r="DD31" s="1">
        <f>'in2'!DB31</f>
        <v>0</v>
      </c>
      <c r="DE31" s="1">
        <f>'in2'!DC31</f>
        <v>0</v>
      </c>
      <c r="DF31" s="1">
        <f>'in2'!DD31</f>
        <v>0</v>
      </c>
      <c r="DG31" s="1">
        <f>'in2'!DE31</f>
        <v>1</v>
      </c>
      <c r="DH31" s="1">
        <f>'in2'!DF31</f>
        <v>0</v>
      </c>
      <c r="DI31" s="1">
        <f>'in2'!DG31</f>
        <v>1</v>
      </c>
      <c r="DJ31" s="1">
        <f>'in2'!DH31</f>
        <v>0</v>
      </c>
      <c r="DK31" s="1">
        <f>'in2'!DI31</f>
        <v>0</v>
      </c>
      <c r="DL31" s="1">
        <f>'in2'!DJ31</f>
        <v>0</v>
      </c>
      <c r="DM31" s="1">
        <f>'in2'!DK31</f>
        <v>0</v>
      </c>
      <c r="DN31" s="1">
        <f>'in2'!DL31</f>
        <v>0</v>
      </c>
      <c r="DO31" s="1">
        <f>'in2'!DM31</f>
        <v>0</v>
      </c>
      <c r="DP31" s="1">
        <f>'in2'!DN31</f>
        <v>0</v>
      </c>
      <c r="DQ31" s="1">
        <f>'in2'!DO31</f>
        <v>0</v>
      </c>
      <c r="DR31" s="1">
        <f>'in2'!DP31</f>
        <v>0</v>
      </c>
      <c r="DS31" s="1">
        <f>'in2'!DQ31</f>
        <v>0</v>
      </c>
      <c r="DT31" s="1">
        <f>'in2'!DR31</f>
        <v>0</v>
      </c>
      <c r="DU31" s="1">
        <f>'in2'!DS31</f>
        <v>0</v>
      </c>
      <c r="DV31" s="1">
        <f>'in2'!DT31</f>
        <v>0</v>
      </c>
      <c r="DW31" s="1">
        <f>'in2'!DU31</f>
        <v>1</v>
      </c>
      <c r="DX31" s="1">
        <f>'in2'!DV31</f>
        <v>0</v>
      </c>
      <c r="DY31" s="1">
        <f>'in2'!DW31</f>
        <v>0</v>
      </c>
      <c r="DZ31" s="1">
        <f>'in2'!DX31</f>
        <v>1</v>
      </c>
      <c r="EA31" s="1">
        <f>'in2'!DY31</f>
        <v>1</v>
      </c>
      <c r="EB31" s="1">
        <f>'in2'!DZ31</f>
        <v>0</v>
      </c>
      <c r="EC31" s="1">
        <f>'in2'!EA31</f>
        <v>0</v>
      </c>
      <c r="ED31" s="1">
        <f>'in2'!EB31</f>
        <v>1</v>
      </c>
      <c r="EE31" s="1">
        <f>'in2'!EC31</f>
        <v>0</v>
      </c>
      <c r="EF31" s="1">
        <f>'in2'!ED31</f>
        <v>0</v>
      </c>
      <c r="EG31" s="1">
        <f>'in2'!EE31</f>
        <v>0</v>
      </c>
      <c r="EH31" s="1">
        <f>'in2'!EF31</f>
        <v>0</v>
      </c>
      <c r="EI31" s="1">
        <f>'in2'!EG31</f>
        <v>0</v>
      </c>
      <c r="EJ31" s="1">
        <f>'in2'!EH31</f>
        <v>0</v>
      </c>
      <c r="EK31" s="1">
        <f>'in2'!EI31</f>
        <v>0</v>
      </c>
      <c r="EL31" s="1">
        <f>'in2'!EJ31</f>
        <v>0</v>
      </c>
      <c r="EM31" s="1">
        <f>'in2'!EK31</f>
        <v>1</v>
      </c>
      <c r="EN31" s="1">
        <f>'in2'!EL31</f>
        <v>1</v>
      </c>
      <c r="EO31" s="1">
        <f>'in2'!EM31</f>
        <v>0</v>
      </c>
      <c r="EP31" s="1">
        <f>'in2'!EN31</f>
        <v>0</v>
      </c>
      <c r="EQ31" s="1">
        <f>'in2'!EO31</f>
        <v>0</v>
      </c>
      <c r="ER31" s="1">
        <f>'in2'!EP31</f>
        <v>0</v>
      </c>
      <c r="ES31" s="6">
        <f t="shared" si="12"/>
        <v>13</v>
      </c>
      <c r="ET31" s="7">
        <f t="shared" si="11"/>
        <v>23.636363636363637</v>
      </c>
    </row>
    <row r="32" spans="1:150" x14ac:dyDescent="0.35">
      <c r="A32" s="27" t="s">
        <v>156</v>
      </c>
      <c r="C32" s="5">
        <f>SUM(C2:C31)</f>
        <v>16</v>
      </c>
      <c r="D32" s="5">
        <f>SUM(D2:D31)</f>
        <v>4</v>
      </c>
      <c r="E32" s="5">
        <f>SUM(E2:E31)</f>
        <v>8</v>
      </c>
      <c r="F32" s="5">
        <f>SUM(F2:F31)</f>
        <v>13</v>
      </c>
      <c r="G32" s="5">
        <f>SUM(G2:G31)</f>
        <v>5</v>
      </c>
      <c r="H32" s="5">
        <f>SUM(H2:H31)</f>
        <v>9</v>
      </c>
      <c r="I32" s="5">
        <f>SUM(I2:I31)</f>
        <v>7</v>
      </c>
      <c r="J32" s="5">
        <f>SUM(J2:J31)</f>
        <v>13</v>
      </c>
      <c r="K32" s="5">
        <f>SUM(K2:K31)</f>
        <v>12</v>
      </c>
      <c r="L32" s="5">
        <f>SUM(L2:L31)</f>
        <v>2</v>
      </c>
      <c r="M32" s="5">
        <f>SUM(M2:M31)</f>
        <v>15</v>
      </c>
      <c r="N32" s="5">
        <f>SUM(N2:N31)</f>
        <v>5</v>
      </c>
      <c r="O32" s="5">
        <f>SUM(O2:O31)</f>
        <v>10</v>
      </c>
      <c r="P32" s="5">
        <f>SUM(P2:P31)</f>
        <v>3</v>
      </c>
      <c r="Q32" s="5">
        <f>SUM(Q2:Q31)</f>
        <v>13</v>
      </c>
      <c r="R32" s="5">
        <f>SUM(R2:R31)</f>
        <v>12</v>
      </c>
      <c r="S32" s="5">
        <f>SUM(S2:S31)</f>
        <v>7</v>
      </c>
      <c r="T32" s="5">
        <f>SUM(T2:T31)</f>
        <v>16</v>
      </c>
      <c r="U32" s="5">
        <f>SUM(U2:U31)</f>
        <v>20</v>
      </c>
      <c r="V32" s="5">
        <f>SUM(V2:V31)</f>
        <v>20</v>
      </c>
      <c r="W32" s="5">
        <f>SUM(W2:W31)</f>
        <v>22</v>
      </c>
      <c r="X32" s="5">
        <f>SUM(X2:X31)</f>
        <v>5</v>
      </c>
      <c r="Y32" s="5">
        <f>SUM(Y2:Y31)</f>
        <v>13</v>
      </c>
      <c r="Z32" s="5">
        <f>SUM(Z2:Z31)</f>
        <v>3</v>
      </c>
      <c r="AA32" s="5">
        <f>SUM(AA2:AA31)</f>
        <v>11</v>
      </c>
      <c r="AB32" s="5">
        <f>SUM(AB2:AB31)</f>
        <v>264</v>
      </c>
      <c r="AC32" s="32">
        <f>AB32*100/(COUNT(AB2:AB31)*COUNT(C32:AA32))</f>
        <v>35.200000000000003</v>
      </c>
      <c r="AD32" s="3">
        <f>SUM(AD2:AD31)</f>
        <v>10</v>
      </c>
      <c r="AE32" s="3">
        <f>SUM(AE2:AE31)</f>
        <v>19</v>
      </c>
      <c r="AF32" s="3">
        <f>SUM(AF2:AF31)</f>
        <v>14</v>
      </c>
      <c r="AG32" s="3">
        <f>SUM(AG2:AG31)</f>
        <v>22</v>
      </c>
      <c r="AH32" s="3">
        <f>SUM(AH2:AH31)</f>
        <v>7</v>
      </c>
      <c r="AI32" s="3">
        <f>SUM(AI2:AI31)</f>
        <v>8</v>
      </c>
      <c r="AJ32" s="3">
        <f>SUM(AJ2:AJ31)</f>
        <v>15</v>
      </c>
      <c r="AK32" s="3">
        <f>SUM(AK2:AK31)</f>
        <v>6</v>
      </c>
      <c r="AL32" s="3">
        <f>SUM(AL2:AL31)</f>
        <v>7</v>
      </c>
      <c r="AM32" s="3">
        <f>SUM(AM2:AM31)</f>
        <v>2</v>
      </c>
      <c r="AN32" s="3">
        <f>SUM(AN2:AN31)</f>
        <v>13</v>
      </c>
      <c r="AO32" s="3">
        <f>SUM(AO2:AO31)</f>
        <v>6</v>
      </c>
      <c r="AP32" s="3">
        <f>SUM(AP2:AP31)</f>
        <v>18</v>
      </c>
      <c r="AQ32" s="3">
        <f>SUM(AQ2:AQ31)</f>
        <v>14</v>
      </c>
      <c r="AR32" s="3">
        <f>SUM(AR2:AR31)</f>
        <v>4</v>
      </c>
      <c r="AS32" s="3">
        <f>SUM(AS2:AS31)</f>
        <v>2</v>
      </c>
      <c r="AT32" s="3">
        <f>SUM(AT2:AT31)</f>
        <v>6</v>
      </c>
      <c r="AU32" s="3">
        <f>SUM(AU2:AU31)</f>
        <v>5</v>
      </c>
      <c r="AV32" s="3">
        <f>SUM(AV2:AV31)</f>
        <v>9</v>
      </c>
      <c r="AW32" s="3">
        <f>SUM(AW2:AW31)</f>
        <v>6</v>
      </c>
      <c r="AX32" s="3">
        <f>SUM(AX2:AX31)</f>
        <v>8</v>
      </c>
      <c r="AY32" s="3">
        <f>SUM(AY2:AY31)</f>
        <v>1</v>
      </c>
      <c r="AZ32" s="3">
        <f>SUM(AZ2:AZ31)</f>
        <v>7</v>
      </c>
      <c r="BA32" s="3">
        <f>SUM(BA2:BA31)</f>
        <v>8</v>
      </c>
      <c r="BB32" s="3">
        <f>SUM(BB2:BB31)</f>
        <v>9</v>
      </c>
      <c r="BC32" s="3">
        <f>SUM(BC2:BC31)</f>
        <v>226</v>
      </c>
      <c r="BD32" s="30">
        <f>BC32*100/(COUNT(AD32:BB32)*COUNT(BC2:BC31))</f>
        <v>30.133333333333333</v>
      </c>
      <c r="BE32" s="13">
        <f>SUM(BE2:BE31)</f>
        <v>8</v>
      </c>
      <c r="BF32" s="13">
        <f>SUM(BF2:BF31)</f>
        <v>8</v>
      </c>
      <c r="BG32" s="13">
        <f>SUM(BG2:BG31)</f>
        <v>7</v>
      </c>
      <c r="BH32" s="13">
        <f>SUM(BH2:BH31)</f>
        <v>11</v>
      </c>
      <c r="BI32" s="13">
        <f>SUM(BI2:BI31)</f>
        <v>17</v>
      </c>
      <c r="BJ32" s="13">
        <f>SUM(BJ2:BJ31)</f>
        <v>51</v>
      </c>
      <c r="BK32" s="14">
        <f>BJ32*100/(COUNT(BK2:BK31)*COUNT(BE32:BI32))</f>
        <v>34</v>
      </c>
      <c r="BL32" s="11">
        <f>SUM(BL2:BL31)</f>
        <v>8</v>
      </c>
      <c r="BM32" s="11">
        <f>SUM(BM2:BM31)</f>
        <v>16</v>
      </c>
      <c r="BN32" s="11">
        <f>SUM(BN2:BN31)</f>
        <v>14</v>
      </c>
      <c r="BO32" s="11">
        <f>SUM(BO2:BO31)</f>
        <v>9</v>
      </c>
      <c r="BP32" s="11">
        <f>SUM(BP2:BP31)</f>
        <v>14</v>
      </c>
      <c r="BQ32" s="11">
        <f>SUM(BQ2:BQ31)</f>
        <v>10</v>
      </c>
      <c r="BR32" s="11">
        <f>SUM(BR2:BR31)</f>
        <v>12</v>
      </c>
      <c r="BS32" s="11">
        <f>SUM(BS2:BS31)</f>
        <v>6</v>
      </c>
      <c r="BT32" s="11">
        <f>SUM(BT2:BT31)</f>
        <v>6</v>
      </c>
      <c r="BU32" s="11">
        <f>SUM(BU2:BU31)</f>
        <v>15</v>
      </c>
      <c r="BV32" s="11">
        <f>SUM(BV2:BV31)</f>
        <v>10</v>
      </c>
      <c r="BW32" s="11">
        <f>SUM(BW2:BW31)</f>
        <v>4</v>
      </c>
      <c r="BX32" s="11">
        <f>SUM(BX2:BX31)</f>
        <v>9</v>
      </c>
      <c r="BY32" s="11">
        <f>SUM(BY2:BY31)</f>
        <v>133</v>
      </c>
      <c r="BZ32" s="16">
        <f>BY32*100/(COUNT(BL32:BX32)*COUNT(BZ2:BZ31))</f>
        <v>34.102564102564102</v>
      </c>
      <c r="CA32" s="12">
        <f>SUM(CA2:CA31)</f>
        <v>15</v>
      </c>
      <c r="CB32" s="12">
        <f>SUM(CB2:CB31)</f>
        <v>18</v>
      </c>
      <c r="CC32" s="12">
        <f>SUM(CC2:CC31)</f>
        <v>2</v>
      </c>
      <c r="CD32" s="12">
        <f>SUM(CD2:CD31)</f>
        <v>12</v>
      </c>
      <c r="CE32" s="12">
        <f>SUM(CE2:CE31)</f>
        <v>11</v>
      </c>
      <c r="CF32" s="12">
        <f>SUM(CF2:CF31)</f>
        <v>10</v>
      </c>
      <c r="CG32" s="12">
        <f>SUM(CG2:CG31)</f>
        <v>5</v>
      </c>
      <c r="CH32" s="12">
        <f>SUM(CH2:CH31)</f>
        <v>10</v>
      </c>
      <c r="CI32" s="12">
        <f>SUM(CI2:CI31)</f>
        <v>10</v>
      </c>
      <c r="CJ32" s="12">
        <f>SUM(CJ2:CJ31)</f>
        <v>10</v>
      </c>
      <c r="CK32" s="12">
        <f>SUM(CK2:CK31)</f>
        <v>103</v>
      </c>
      <c r="CL32" s="15">
        <f>CK32*100/(COUNT(CA32:CJ32)*COUNT(CK2:CK31))</f>
        <v>34.333333333333336</v>
      </c>
      <c r="CM32" s="17">
        <f>SUM(CM2:CM31)</f>
        <v>10</v>
      </c>
      <c r="CN32" s="17">
        <f>SUM(CN2:CN31)</f>
        <v>10</v>
      </c>
      <c r="CO32" s="17">
        <f>CN32*100/(COUNT(CM32:CM32)*COUNT(CN2:CN31))</f>
        <v>33.333333333333336</v>
      </c>
      <c r="CP32" s="6">
        <f>SUM(CP2:CP31)</f>
        <v>14</v>
      </c>
      <c r="CQ32" s="6">
        <f>SUM(CQ2:CQ31)</f>
        <v>22</v>
      </c>
      <c r="CR32" s="6">
        <f>SUM(CR2:CR31)</f>
        <v>15</v>
      </c>
      <c r="CS32" s="6">
        <f>SUM(CS2:CS31)</f>
        <v>3</v>
      </c>
      <c r="CT32" s="6">
        <f>SUM(CT2:CT31)</f>
        <v>8</v>
      </c>
      <c r="CU32" s="6">
        <f>SUM(CU2:CU31)</f>
        <v>25</v>
      </c>
      <c r="CV32" s="6">
        <f>SUM(CV2:CV31)</f>
        <v>12</v>
      </c>
      <c r="CW32" s="6">
        <f>SUM(CW2:CW31)</f>
        <v>8</v>
      </c>
      <c r="CX32" s="6">
        <f>SUM(CX2:CX31)</f>
        <v>7</v>
      </c>
      <c r="CY32" s="6">
        <f>SUM(CY2:CY31)</f>
        <v>26</v>
      </c>
      <c r="CZ32" s="6">
        <f>SUM(CZ2:CZ31)</f>
        <v>9</v>
      </c>
      <c r="DA32" s="6">
        <f>SUM(DA2:DA31)</f>
        <v>8</v>
      </c>
      <c r="DB32" s="6">
        <f>SUM(DB2:DB31)</f>
        <v>4</v>
      </c>
      <c r="DC32" s="6">
        <f>SUM(DC2:DC31)</f>
        <v>1</v>
      </c>
      <c r="DD32" s="6">
        <f>SUM(DD2:DD31)</f>
        <v>9</v>
      </c>
      <c r="DE32" s="6">
        <f>SUM(DE2:DE31)</f>
        <v>11</v>
      </c>
      <c r="DF32" s="6">
        <f>SUM(DF2:DF31)</f>
        <v>14</v>
      </c>
      <c r="DG32" s="6">
        <f>SUM(DG2:DG31)</f>
        <v>18</v>
      </c>
      <c r="DH32" s="6">
        <f>SUM(DH2:DH31)</f>
        <v>10</v>
      </c>
      <c r="DI32" s="6">
        <f>SUM(DI2:DI31)</f>
        <v>6</v>
      </c>
      <c r="DJ32" s="6">
        <f>SUM(DJ2:DJ31)</f>
        <v>13</v>
      </c>
      <c r="DK32" s="6">
        <f>SUM(DK2:DK31)</f>
        <v>12</v>
      </c>
      <c r="DL32" s="6">
        <f>SUM(DL2:DL31)</f>
        <v>6</v>
      </c>
      <c r="DM32" s="6">
        <f>SUM(DM2:DM31)</f>
        <v>12</v>
      </c>
      <c r="DN32" s="6">
        <f>SUM(DN2:DN31)</f>
        <v>13</v>
      </c>
      <c r="DO32" s="6">
        <f>SUM(DO2:DO31)</f>
        <v>15</v>
      </c>
      <c r="DP32" s="6">
        <f>SUM(DP2:DP31)</f>
        <v>7</v>
      </c>
      <c r="DQ32" s="6">
        <f>SUM(DQ2:DQ31)</f>
        <v>9</v>
      </c>
      <c r="DR32" s="6">
        <f>SUM(DR2:DR31)</f>
        <v>15</v>
      </c>
      <c r="DS32" s="6">
        <f>SUM(DS2:DS31)</f>
        <v>12</v>
      </c>
      <c r="DT32" s="6">
        <f>SUM(DT2:DT31)</f>
        <v>13</v>
      </c>
      <c r="DU32" s="6">
        <f>SUM(DU2:DU31)</f>
        <v>11</v>
      </c>
      <c r="DV32" s="6">
        <f>SUM(DV2:DV31)</f>
        <v>7</v>
      </c>
      <c r="DW32" s="6">
        <f>SUM(DW2:DW31)</f>
        <v>20</v>
      </c>
      <c r="DX32" s="6">
        <f>SUM(DX2:DX31)</f>
        <v>19</v>
      </c>
      <c r="DY32" s="6">
        <f>SUM(DY2:DY31)</f>
        <v>4</v>
      </c>
      <c r="DZ32" s="6">
        <f>SUM(DZ2:DZ31)</f>
        <v>20</v>
      </c>
      <c r="EA32" s="6">
        <f>SUM(EA2:EA31)</f>
        <v>18</v>
      </c>
      <c r="EB32" s="6">
        <f>SUM(EB2:EB31)</f>
        <v>7</v>
      </c>
      <c r="EC32" s="6">
        <f>SUM(EC2:EC31)</f>
        <v>5</v>
      </c>
      <c r="ED32" s="6">
        <f>SUM(ED2:ED31)</f>
        <v>10</v>
      </c>
      <c r="EE32" s="6">
        <f>SUM(EE2:EE31)</f>
        <v>3</v>
      </c>
      <c r="EF32" s="6">
        <f>SUM(EF2:EF31)</f>
        <v>10</v>
      </c>
      <c r="EG32" s="6">
        <f>SUM(EG2:EG31)</f>
        <v>9</v>
      </c>
      <c r="EH32" s="6">
        <f>SUM(EH2:EH31)</f>
        <v>7</v>
      </c>
      <c r="EI32" s="6">
        <f>SUM(EI2:EI31)</f>
        <v>7</v>
      </c>
      <c r="EJ32" s="6">
        <f>SUM(EJ2:EJ31)</f>
        <v>7</v>
      </c>
      <c r="EK32" s="6">
        <f>SUM(EK2:EK31)</f>
        <v>5</v>
      </c>
      <c r="EL32" s="6">
        <f>SUM(EL2:EL31)</f>
        <v>3</v>
      </c>
      <c r="EM32" s="6">
        <f>SUM(EM2:EM31)</f>
        <v>14</v>
      </c>
      <c r="EN32" s="6">
        <f>SUM(EN2:EN31)</f>
        <v>9</v>
      </c>
      <c r="EO32" s="6">
        <f>SUM(EO2:EO31)</f>
        <v>1</v>
      </c>
      <c r="EP32" s="6">
        <f>SUM(EP2:EP31)</f>
        <v>5</v>
      </c>
      <c r="EQ32" s="6">
        <f>SUM(EQ2:EQ31)</f>
        <v>13</v>
      </c>
      <c r="ER32" s="6">
        <f>SUM(ER2:ER31)</f>
        <v>8</v>
      </c>
      <c r="ES32" s="6">
        <f>SUM(ES2:ES31)</f>
        <v>579</v>
      </c>
      <c r="ET32" s="7">
        <f>ES32*100/(COUNT(ET2:ET31)*COUNT(CP32:ER32))</f>
        <v>35.090909090909093</v>
      </c>
    </row>
    <row r="33" spans="1:160" x14ac:dyDescent="0.35">
      <c r="A33" s="27" t="s">
        <v>157</v>
      </c>
      <c r="C33" s="32">
        <f>(COUNT(C2:C31)-C32)*100/COUNT(C2:C31)</f>
        <v>46.666666666666664</v>
      </c>
      <c r="D33" s="32">
        <f>(COUNT(D2:D31)-D32)*100/COUNT(D2:D31)</f>
        <v>86.666666666666671</v>
      </c>
      <c r="E33" s="32">
        <f>(COUNT(E2:E31)-E32)*100/COUNT(E2:E31)</f>
        <v>73.333333333333329</v>
      </c>
      <c r="F33" s="32">
        <f>(COUNT(F2:F31)-F32)*100/COUNT(F2:F31)</f>
        <v>56.666666666666664</v>
      </c>
      <c r="G33" s="32">
        <f>(COUNT(G2:G31)-G32)*100/COUNT(G2:G31)</f>
        <v>83.333333333333329</v>
      </c>
      <c r="H33" s="32">
        <f>(COUNT(H2:H31)-H32)*100/COUNT(H2:H31)</f>
        <v>70</v>
      </c>
      <c r="I33" s="32">
        <f>(COUNT(I2:I31)-I32)*100/COUNT(I2:I31)</f>
        <v>76.666666666666671</v>
      </c>
      <c r="J33" s="32">
        <f>(COUNT(J2:J31)-J32)*100/COUNT(J2:J31)</f>
        <v>56.666666666666664</v>
      </c>
      <c r="K33" s="32">
        <f>(COUNT(K2:K31)-K32)*100/COUNT(K2:K31)</f>
        <v>60</v>
      </c>
      <c r="L33" s="32">
        <f>(COUNT(L2:L31)-L32)*100/COUNT(L2:L31)</f>
        <v>93.333333333333329</v>
      </c>
      <c r="M33" s="32">
        <f>(COUNT(M2:M31)-M32)*100/COUNT(M2:M31)</f>
        <v>50</v>
      </c>
      <c r="N33" s="32">
        <f>(COUNT(N2:N31)-N32)*100/COUNT(N2:N31)</f>
        <v>83.333333333333329</v>
      </c>
      <c r="O33" s="32">
        <f>(COUNT(O2:O31)-O32)*100/COUNT(O2:O31)</f>
        <v>66.666666666666671</v>
      </c>
      <c r="P33" s="32">
        <f>(COUNT(P2:P31)-P32)*100/COUNT(P2:P31)</f>
        <v>90</v>
      </c>
      <c r="Q33" s="32">
        <f>(COUNT(Q2:Q31)-Q32)*100/COUNT(Q2:Q31)</f>
        <v>56.666666666666664</v>
      </c>
      <c r="R33" s="32">
        <f>(COUNT(R2:R31)-R32)*100/COUNT(R2:R31)</f>
        <v>60</v>
      </c>
      <c r="S33" s="32">
        <f>(COUNT(S2:S31)-S32)*100/COUNT(S2:S31)</f>
        <v>76.666666666666671</v>
      </c>
      <c r="T33" s="32">
        <f>(COUNT(T2:T31)-T32)*100/COUNT(T2:T31)</f>
        <v>46.666666666666664</v>
      </c>
      <c r="U33" s="32">
        <f>(COUNT(U2:U31)-U32)*100/COUNT(U2:U31)</f>
        <v>33.333333333333336</v>
      </c>
      <c r="V33" s="32">
        <f>(COUNT(V2:V31)-V32)*100/COUNT(V2:V31)</f>
        <v>33.333333333333336</v>
      </c>
      <c r="W33" s="32">
        <f>(COUNT(W2:W31)-W32)*100/COUNT(W2:W31)</f>
        <v>26.666666666666668</v>
      </c>
      <c r="X33" s="32">
        <f>(COUNT(X2:X31)-X32)*100/COUNT(X2:X31)</f>
        <v>83.333333333333329</v>
      </c>
      <c r="Y33" s="32">
        <f>(COUNT(Y2:Y31)-Y32)*100/COUNT(Y2:Y31)</f>
        <v>56.666666666666664</v>
      </c>
      <c r="Z33" s="32">
        <f>(COUNT(Z2:Z31)-Z32)*100/COUNT(Z2:Z31)</f>
        <v>90</v>
      </c>
      <c r="AA33" s="32">
        <f>(COUNT(AA2:AA31)-AA32)*100/COUNT(AA2:AA31)</f>
        <v>63.333333333333336</v>
      </c>
      <c r="AB33" s="32">
        <f>((COUNT(AB2:AB31)*COUNT(C32:AA32))-AB32)*100/(COUNT(AB2:AB31)*COUNT(C32:AA32))</f>
        <v>64.8</v>
      </c>
      <c r="AC33" s="32"/>
      <c r="AD33" s="30">
        <f>(COUNT(AD2:AD31)-AD32)*100/COUNT(AD2:AD31)</f>
        <v>66.666666666666671</v>
      </c>
      <c r="AE33" s="30">
        <f>(COUNT(AE2:AE31)-AE32)*100/COUNT(AE2:AE31)</f>
        <v>36.666666666666664</v>
      </c>
      <c r="AF33" s="30">
        <f>(COUNT(AF2:AF31)-AF32)*100/COUNT(AF2:AF31)</f>
        <v>53.333333333333336</v>
      </c>
      <c r="AG33" s="30">
        <f>(COUNT(AG2:AG31)-AG32)*100/COUNT(AG2:AG31)</f>
        <v>26.666666666666668</v>
      </c>
      <c r="AH33" s="30">
        <f>(COUNT(AH2:AH31)-AH32)*100/COUNT(AH2:AH31)</f>
        <v>76.666666666666671</v>
      </c>
      <c r="AI33" s="30">
        <f>(COUNT(AI2:AI31)-AI32)*100/COUNT(AI2:AI31)</f>
        <v>73.333333333333329</v>
      </c>
      <c r="AJ33" s="30">
        <f>(COUNT(AJ2:AJ31)-AJ32)*100/COUNT(AJ2:AJ31)</f>
        <v>50</v>
      </c>
      <c r="AK33" s="30">
        <f>(COUNT(AK2:AK31)-AK32)*100/COUNT(AK2:AK31)</f>
        <v>80</v>
      </c>
      <c r="AL33" s="30">
        <f>(COUNT(AL2:AL31)-AL32)*100/COUNT(AL2:AL31)</f>
        <v>76.666666666666671</v>
      </c>
      <c r="AM33" s="30">
        <f>(COUNT(AM2:AM31)-AM32)*100/COUNT(AM2:AM31)</f>
        <v>93.333333333333329</v>
      </c>
      <c r="AN33" s="30">
        <f>(COUNT(AN2:AN31)-AN32)*100/COUNT(AN2:AN31)</f>
        <v>56.666666666666664</v>
      </c>
      <c r="AO33" s="30">
        <f>(COUNT(AO2:AO31)-AO32)*100/COUNT(AO2:AO31)</f>
        <v>80</v>
      </c>
      <c r="AP33" s="30">
        <f>(COUNT(AP2:AP31)-AP32)*100/COUNT(AP2:AP31)</f>
        <v>40</v>
      </c>
      <c r="AQ33" s="30">
        <f>(COUNT(AQ2:AQ31)-AQ32)*100/COUNT(AQ2:AQ31)</f>
        <v>53.333333333333336</v>
      </c>
      <c r="AR33" s="30">
        <f>(COUNT(AR2:AR31)-AR32)*100/COUNT(AR2:AR31)</f>
        <v>86.666666666666671</v>
      </c>
      <c r="AS33" s="30">
        <f>(COUNT(AS2:AS31)-AS32)*100/COUNT(AS2:AS31)</f>
        <v>93.333333333333329</v>
      </c>
      <c r="AT33" s="30">
        <f>(COUNT(AT2:AT31)-AT32)*100/COUNT(AT2:AT31)</f>
        <v>80</v>
      </c>
      <c r="AU33" s="30">
        <f>(COUNT(AU2:AU31)-AU32)*100/COUNT(AU2:AU31)</f>
        <v>83.333333333333329</v>
      </c>
      <c r="AV33" s="30">
        <f>(COUNT(AV2:AV31)-AV32)*100/COUNT(AV2:AV31)</f>
        <v>70</v>
      </c>
      <c r="AW33" s="30">
        <f>(COUNT(AW2:AW31)-AW32)*100/COUNT(AW2:AW31)</f>
        <v>80</v>
      </c>
      <c r="AX33" s="30">
        <f>(COUNT(AX2:AX31)-AX32)*100/COUNT(AX2:AX31)</f>
        <v>73.333333333333329</v>
      </c>
      <c r="AY33" s="30">
        <f>(COUNT(AY2:AY31)-AY32)*100/COUNT(AY2:AY31)</f>
        <v>96.666666666666671</v>
      </c>
      <c r="AZ33" s="30">
        <f>(COUNT(AZ2:AZ31)-AZ32)*100/COUNT(AZ2:AZ31)</f>
        <v>76.666666666666671</v>
      </c>
      <c r="BA33" s="30">
        <f>(COUNT(BA2:BA31)-BA32)*100/COUNT(BA2:BA31)</f>
        <v>73.333333333333329</v>
      </c>
      <c r="BB33" s="30">
        <f>(COUNT(BB2:BB31)-BB32)*100/COUNT(BB2:BB31)</f>
        <v>70</v>
      </c>
      <c r="BC33" s="30">
        <f>((COUNT(BC2:BC31)*COUNT(AD32:BB32))-BC32)*100/(COUNT(BC2:BC31)*COUNT(AD32:BB32))</f>
        <v>69.86666666666666</v>
      </c>
      <c r="BD33" s="30"/>
      <c r="BE33" s="14">
        <f>(COUNT(BE2:BE31)-BE32)*100/COUNT(BE2:BE31)</f>
        <v>73.333333333333329</v>
      </c>
      <c r="BF33" s="14">
        <f>(COUNT(BF2:BF31)-BF32)*100/COUNT(BF2:BF31)</f>
        <v>73.333333333333329</v>
      </c>
      <c r="BG33" s="14">
        <f>(COUNT(BG2:BG31)-BG32)*100/COUNT(BG2:BG31)</f>
        <v>76.666666666666671</v>
      </c>
      <c r="BH33" s="14">
        <f>(COUNT(BH2:BH31)-BH32)*100/COUNT(BH2:BH31)</f>
        <v>63.333333333333336</v>
      </c>
      <c r="BI33" s="14">
        <f>(COUNT(BI2:BI31)-BI32)*100/COUNT(BI2:BI31)</f>
        <v>43.333333333333336</v>
      </c>
      <c r="BJ33" s="14">
        <f>((COUNT(BE32:BI32)*COUNT(BJ2:BJ31))-BJ32)*100/(COUNT(BE32:BI32)*COUNT(BJ2:BJ31))</f>
        <v>66</v>
      </c>
      <c r="BK33" s="14"/>
      <c r="BL33" s="16">
        <f>(COUNT(BL2:BL31)-BL32)*100/COUNT(BL2:BL31)</f>
        <v>73.333333333333329</v>
      </c>
      <c r="BM33" s="16">
        <f>(COUNT(BM2:BM31)-BM32)*100/COUNT(BM2:BM31)</f>
        <v>46.666666666666664</v>
      </c>
      <c r="BN33" s="16">
        <f>(COUNT(BN2:BN31)-BN32)*100/COUNT(BN2:BN31)</f>
        <v>53.333333333333336</v>
      </c>
      <c r="BO33" s="16">
        <f>(COUNT(BO2:BO31)-BO32)*100/COUNT(BO2:BO31)</f>
        <v>70</v>
      </c>
      <c r="BP33" s="16">
        <f>(COUNT(BP2:BP31)-BP32)*100/COUNT(BP2:BP31)</f>
        <v>53.333333333333336</v>
      </c>
      <c r="BQ33" s="16">
        <f>(COUNT(BQ2:BQ31)-BQ32)*100/COUNT(BQ2:BQ31)</f>
        <v>66.666666666666671</v>
      </c>
      <c r="BR33" s="16">
        <f>(COUNT(BR2:BR31)-BR32)*100/COUNT(BR2:BR31)</f>
        <v>60</v>
      </c>
      <c r="BS33" s="16">
        <f>(COUNT(BS2:BS31)-BS32)*100/COUNT(BS2:BS31)</f>
        <v>80</v>
      </c>
      <c r="BT33" s="16">
        <f>(COUNT(BT2:BT31)-BT32)*100/COUNT(BT2:BT31)</f>
        <v>80</v>
      </c>
      <c r="BU33" s="16">
        <f>(COUNT(BU2:BU31)-BU32)*100/COUNT(BU2:BU31)</f>
        <v>50</v>
      </c>
      <c r="BV33" s="16">
        <f>(COUNT(BV2:BV31)-BV32)*100/COUNT(BV2:BV31)</f>
        <v>66.666666666666671</v>
      </c>
      <c r="BW33" s="16">
        <f>(COUNT(BW2:BW31)-BW32)*100/COUNT(BW2:BW31)</f>
        <v>86.666666666666671</v>
      </c>
      <c r="BX33" s="16">
        <f>(COUNT(BX2:BX31)-BX32)*100/COUNT(BX2:BX31)</f>
        <v>70</v>
      </c>
      <c r="BY33" s="16">
        <f>((COUNT(BL32:BX32)*COUNT(BY2:BY31))-BY32)*100/(COUNT(BL32:BX32)*COUNT(BY2:BY31))</f>
        <v>65.897435897435898</v>
      </c>
      <c r="BZ33" s="16"/>
      <c r="CA33" s="15">
        <f>(COUNT(CA2:CA31)-CA32)*100/COUNT(CA2:CA31)</f>
        <v>50</v>
      </c>
      <c r="CB33" s="15">
        <f>(COUNT(CB2:CB31)-CB32)*100/COUNT(CB2:CB31)</f>
        <v>40</v>
      </c>
      <c r="CC33" s="15">
        <f>(COUNT(CC2:CC31)-CC32)*100/COUNT(CC2:CC31)</f>
        <v>93.333333333333329</v>
      </c>
      <c r="CD33" s="15">
        <f>(COUNT(CD2:CD31)-CD32)*100/COUNT(CD2:CD31)</f>
        <v>60</v>
      </c>
      <c r="CE33" s="15">
        <f>(COUNT(CE2:CE31)-CE32)*100/COUNT(CE2:CE31)</f>
        <v>63.333333333333336</v>
      </c>
      <c r="CF33" s="15">
        <f>(COUNT(CF2:CF31)-CF32)*100/COUNT(CF2:CF31)</f>
        <v>66.666666666666671</v>
      </c>
      <c r="CG33" s="15">
        <f>(COUNT(CG2:CG31)-CG32)*100/COUNT(CG2:CG31)</f>
        <v>83.333333333333329</v>
      </c>
      <c r="CH33" s="15">
        <f>(COUNT(CH2:CH31)-CH32)*100/COUNT(CH2:CH31)</f>
        <v>66.666666666666671</v>
      </c>
      <c r="CI33" s="15">
        <f>(COUNT(CI2:CI31)-CI32)*100/COUNT(CI2:CI31)</f>
        <v>66.666666666666671</v>
      </c>
      <c r="CJ33" s="15">
        <f>(COUNT(CJ2:CJ31)-CJ32)*100/COUNT(CJ2:CJ31)</f>
        <v>66.666666666666671</v>
      </c>
      <c r="CK33" s="15">
        <f>((COUNT(CA32:CJ32)*COUNT(CK2:CK31))-CK32)*100/(COUNT(CA32:CJ32)*COUNT(CK2:CK31))</f>
        <v>65.666666666666671</v>
      </c>
      <c r="CL33" s="15"/>
      <c r="CM33" s="20">
        <f>(COUNT(CM2:CM31)-CM32)*100/COUNT(CM2:CM31)</f>
        <v>66.666666666666671</v>
      </c>
      <c r="CN33" s="20">
        <f>((COUNT(CM32:CM32)*COUNT(CN2:CN31))-CN32)*100/(COUNT(CM32:CM32)*COUNT(CN2:CN31))</f>
        <v>66.666666666666671</v>
      </c>
      <c r="CO33" s="20"/>
      <c r="CP33" s="7">
        <f>(COUNT(CP2:CP31)-CP32)*100/COUNT(CP2:CP31)</f>
        <v>53.333333333333336</v>
      </c>
      <c r="CQ33" s="7">
        <f>(COUNT(CQ2:CQ31)-CQ32)*100/COUNT(CQ2:CQ31)</f>
        <v>26.666666666666668</v>
      </c>
      <c r="CR33" s="7">
        <f>(COUNT(CR2:CR31)-CR32)*100/COUNT(CR2:CR31)</f>
        <v>50</v>
      </c>
      <c r="CS33" s="7">
        <f>(COUNT(CS2:CS31)-CS32)*100/COUNT(CS2:CS31)</f>
        <v>90</v>
      </c>
      <c r="CT33" s="7">
        <f>(COUNT(CT2:CT31)-CT32)*100/COUNT(CT2:CT31)</f>
        <v>73.333333333333329</v>
      </c>
      <c r="CU33" s="7">
        <f>(COUNT(CU2:CU31)-CU32)*100/COUNT(CU2:CU31)</f>
        <v>16.666666666666668</v>
      </c>
      <c r="CV33" s="7">
        <f>(COUNT(CV2:CV31)-CV32)*100/COUNT(CV2:CV31)</f>
        <v>60</v>
      </c>
      <c r="CW33" s="7">
        <f>(COUNT(CW2:CW31)-CW32)*100/COUNT(CW2:CW31)</f>
        <v>73.333333333333329</v>
      </c>
      <c r="CX33" s="7">
        <f>(COUNT(CX2:CX31)-CX32)*100/COUNT(CX2:CX31)</f>
        <v>76.666666666666671</v>
      </c>
      <c r="CY33" s="7">
        <f>(COUNT(CY2:CY31)-CY32)*100/COUNT(CY2:CY31)</f>
        <v>13.333333333333334</v>
      </c>
      <c r="CZ33" s="7">
        <f>(COUNT(CZ2:CZ31)-CZ32)*100/COUNT(CZ2:CZ31)</f>
        <v>70</v>
      </c>
      <c r="DA33" s="7">
        <f>(COUNT(DA2:DA31)-DA32)*100/COUNT(DA2:DA31)</f>
        <v>73.333333333333329</v>
      </c>
      <c r="DB33" s="7">
        <f>(COUNT(DB2:DB31)-DB32)*100/COUNT(DB2:DB31)</f>
        <v>86.666666666666671</v>
      </c>
      <c r="DC33" s="7">
        <f>(COUNT(DC2:DC31)-DC32)*100/COUNT(DC2:DC31)</f>
        <v>96.666666666666671</v>
      </c>
      <c r="DD33" s="7">
        <f>(COUNT(DD2:DD31)-DD32)*100/COUNT(DD2:DD31)</f>
        <v>70</v>
      </c>
      <c r="DE33" s="7">
        <f>(COUNT(DE2:DE31)-DE32)*100/COUNT(DE2:DE31)</f>
        <v>63.333333333333336</v>
      </c>
      <c r="DF33" s="7">
        <f>(COUNT(DF2:DF31)-DF32)*100/COUNT(DF2:DF31)</f>
        <v>53.333333333333336</v>
      </c>
      <c r="DG33" s="7">
        <f>(COUNT(DG2:DG31)-DG32)*100/COUNT(DG2:DG31)</f>
        <v>40</v>
      </c>
      <c r="DH33" s="7">
        <f>(COUNT(DH2:DH31)-DH32)*100/COUNT(DH2:DH31)</f>
        <v>66.666666666666671</v>
      </c>
      <c r="DI33" s="7">
        <f>(COUNT(DI2:DI31)-DI32)*100/COUNT(DI2:DI31)</f>
        <v>80</v>
      </c>
      <c r="DJ33" s="7">
        <f>(COUNT(DJ2:DJ31)-DJ32)*100/COUNT(DJ2:DJ31)</f>
        <v>56.666666666666664</v>
      </c>
      <c r="DK33" s="7">
        <f>(COUNT(DK2:DK31)-DK32)*100/COUNT(DK2:DK31)</f>
        <v>60</v>
      </c>
      <c r="DL33" s="7">
        <f>(COUNT(DL2:DL31)-DL32)*100/COUNT(DL2:DL31)</f>
        <v>80</v>
      </c>
      <c r="DM33" s="7">
        <f>(COUNT(DM2:DM31)-DM32)*100/COUNT(DM2:DM31)</f>
        <v>60</v>
      </c>
      <c r="DN33" s="7">
        <f>(COUNT(DN2:DN31)-DN32)*100/COUNT(DN2:DN31)</f>
        <v>56.666666666666664</v>
      </c>
      <c r="DO33" s="7">
        <f>(COUNT(DO2:DO31)-DO32)*100/COUNT(DO2:DO31)</f>
        <v>50</v>
      </c>
      <c r="DP33" s="7">
        <f>(COUNT(DP2:DP31)-DP32)*100/COUNT(DP2:DP31)</f>
        <v>76.666666666666671</v>
      </c>
      <c r="DQ33" s="7">
        <f>(COUNT(DQ2:DQ31)-DQ32)*100/COUNT(DQ2:DQ31)</f>
        <v>70</v>
      </c>
      <c r="DR33" s="7">
        <f>(COUNT(DR2:DR31)-DR32)*100/COUNT(DR2:DR31)</f>
        <v>50</v>
      </c>
      <c r="DS33" s="7">
        <f>(COUNT(DS2:DS31)-DS32)*100/COUNT(DS2:DS31)</f>
        <v>60</v>
      </c>
      <c r="DT33" s="7">
        <f>(COUNT(DT2:DT31)-DT32)*100/COUNT(DT2:DT31)</f>
        <v>56.666666666666664</v>
      </c>
      <c r="DU33" s="7">
        <f>(COUNT(DU2:DU31)-DU32)*100/COUNT(DU2:DU31)</f>
        <v>63.333333333333336</v>
      </c>
      <c r="DV33" s="7">
        <f>(COUNT(DV2:DV31)-DV32)*100/COUNT(DV2:DV31)</f>
        <v>76.666666666666671</v>
      </c>
      <c r="DW33" s="7">
        <f>(COUNT(DW2:DW31)-DW32)*100/COUNT(DW2:DW31)</f>
        <v>33.333333333333336</v>
      </c>
      <c r="DX33" s="7">
        <f>(COUNT(DX2:DX31)-DX32)*100/COUNT(DX2:DX31)</f>
        <v>36.666666666666664</v>
      </c>
      <c r="DY33" s="7">
        <f>(COUNT(DY2:DY31)-DY32)*100/COUNT(DY2:DY31)</f>
        <v>86.666666666666671</v>
      </c>
      <c r="DZ33" s="7">
        <f>(COUNT(DZ2:DZ31)-DZ32)*100/COUNT(DZ2:DZ31)</f>
        <v>33.333333333333336</v>
      </c>
      <c r="EA33" s="7">
        <f>(COUNT(EA2:EA31)-EA32)*100/COUNT(EA2:EA31)</f>
        <v>40</v>
      </c>
      <c r="EB33" s="7">
        <f>(COUNT(EB2:EB31)-EB32)*100/COUNT(EB2:EB31)</f>
        <v>76.666666666666671</v>
      </c>
      <c r="EC33" s="7">
        <f>(COUNT(EC2:EC31)-EC32)*100/COUNT(EC2:EC31)</f>
        <v>83.333333333333329</v>
      </c>
      <c r="ED33" s="7">
        <f>(COUNT(ED2:ED31)-ED32)*100/COUNT(ED2:ED31)</f>
        <v>66.666666666666671</v>
      </c>
      <c r="EE33" s="7">
        <f>(COUNT(EE2:EE31)-EE32)*100/COUNT(EE2:EE31)</f>
        <v>90</v>
      </c>
      <c r="EF33" s="7">
        <f>(COUNT(EF2:EF31)-EF32)*100/COUNT(EF2:EF31)</f>
        <v>66.666666666666671</v>
      </c>
      <c r="EG33" s="7">
        <f>(COUNT(EG2:EG31)-EG32)*100/COUNT(EG2:EG31)</f>
        <v>70</v>
      </c>
      <c r="EH33" s="7">
        <f>(COUNT(EH2:EH31)-EH32)*100/COUNT(EH2:EH31)</f>
        <v>76.666666666666671</v>
      </c>
      <c r="EI33" s="7">
        <f>(COUNT(EI2:EI31)-EI32)*100/COUNT(EI2:EI31)</f>
        <v>76.666666666666671</v>
      </c>
      <c r="EJ33" s="7">
        <f>(COUNT(EJ2:EJ31)-EJ32)*100/COUNT(EJ2:EJ31)</f>
        <v>76.666666666666671</v>
      </c>
      <c r="EK33" s="7">
        <f>(COUNT(EK2:EK31)-EK32)*100/COUNT(EK2:EK31)</f>
        <v>83.333333333333329</v>
      </c>
      <c r="EL33" s="7">
        <f>(COUNT(EL2:EL31)-EL32)*100/COUNT(EL2:EL31)</f>
        <v>90</v>
      </c>
      <c r="EM33" s="7">
        <f>(COUNT(EM2:EM31)-EM32)*100/COUNT(EM2:EM31)</f>
        <v>53.333333333333336</v>
      </c>
      <c r="EN33" s="7">
        <f>(COUNT(EN2:EN31)-EN32)*100/COUNT(EN2:EN31)</f>
        <v>70</v>
      </c>
      <c r="EO33" s="7">
        <f>(COUNT(EO2:EO31)-EO32)*100/COUNT(EO2:EO31)</f>
        <v>96.666666666666671</v>
      </c>
      <c r="EP33" s="7">
        <f>(COUNT(EP2:EP31)-EP32)*100/COUNT(EP2:EP31)</f>
        <v>83.333333333333329</v>
      </c>
      <c r="EQ33" s="7">
        <f>(COUNT(EQ2:EQ31)-EQ32)*100/COUNT(EQ2:EQ31)</f>
        <v>56.666666666666664</v>
      </c>
      <c r="ER33" s="7">
        <f>(COUNT(ER2:ER31)-ER32)*100/COUNT(ER2:ER31)</f>
        <v>73.333333333333329</v>
      </c>
      <c r="ES33" s="7">
        <f>((COUNT(CP32:ER32)*COUNT(ES2:ES32))-ES32)*100/(COUNT(CP32:ER32)*COUNT(ES2:ES32))</f>
        <v>66.041055718475079</v>
      </c>
      <c r="ET33" s="7"/>
    </row>
    <row r="34" spans="1:160" x14ac:dyDescent="0.35">
      <c r="A34" s="27" t="s">
        <v>158</v>
      </c>
      <c r="C34" s="1" t="str">
        <f>IF(C33&lt;=19,"A",IF(C33&lt;=39,"S",IF(C33&lt;=69,"M","I")))</f>
        <v>M</v>
      </c>
      <c r="D34" s="1" t="str">
        <f t="shared" ref="D34:AA34" si="14">IF(D33&lt;=19,"A",IF(D33&lt;=39,"S",IF(D33&lt;=69,"M","I")))</f>
        <v>I</v>
      </c>
      <c r="E34" s="1" t="str">
        <f t="shared" si="14"/>
        <v>I</v>
      </c>
      <c r="F34" s="1" t="str">
        <f t="shared" si="14"/>
        <v>M</v>
      </c>
      <c r="G34" s="1" t="str">
        <f t="shared" si="14"/>
        <v>I</v>
      </c>
      <c r="H34" s="1" t="str">
        <f t="shared" si="14"/>
        <v>I</v>
      </c>
      <c r="I34" s="1" t="str">
        <f t="shared" si="14"/>
        <v>I</v>
      </c>
      <c r="J34" s="1" t="str">
        <f t="shared" si="14"/>
        <v>M</v>
      </c>
      <c r="K34" s="1" t="str">
        <f t="shared" si="14"/>
        <v>M</v>
      </c>
      <c r="L34" s="1" t="str">
        <f t="shared" si="14"/>
        <v>I</v>
      </c>
      <c r="M34" s="1" t="str">
        <f t="shared" si="14"/>
        <v>M</v>
      </c>
      <c r="N34" s="1" t="str">
        <f t="shared" si="14"/>
        <v>I</v>
      </c>
      <c r="O34" s="1" t="str">
        <f t="shared" si="14"/>
        <v>M</v>
      </c>
      <c r="P34" s="1" t="str">
        <f t="shared" si="14"/>
        <v>I</v>
      </c>
      <c r="Q34" s="1" t="str">
        <f t="shared" si="14"/>
        <v>M</v>
      </c>
      <c r="R34" s="1" t="str">
        <f t="shared" si="14"/>
        <v>M</v>
      </c>
      <c r="S34" s="1" t="str">
        <f t="shared" si="14"/>
        <v>I</v>
      </c>
      <c r="T34" s="1" t="str">
        <f t="shared" si="14"/>
        <v>M</v>
      </c>
      <c r="U34" s="1" t="str">
        <f t="shared" si="14"/>
        <v>S</v>
      </c>
      <c r="V34" s="1" t="str">
        <f t="shared" si="14"/>
        <v>S</v>
      </c>
      <c r="W34" s="1" t="str">
        <f t="shared" si="14"/>
        <v>S</v>
      </c>
      <c r="X34" s="1" t="str">
        <f t="shared" si="14"/>
        <v>I</v>
      </c>
      <c r="Y34" s="1" t="str">
        <f t="shared" si="14"/>
        <v>M</v>
      </c>
      <c r="Z34" s="1" t="str">
        <f t="shared" si="14"/>
        <v>I</v>
      </c>
      <c r="AA34" s="1" t="str">
        <f t="shared" si="14"/>
        <v>M</v>
      </c>
      <c r="AB34" s="1" t="str">
        <f t="shared" ref="AB34:BL34" si="15">IF(AB33&lt;=19,"A",IF(AB33&lt;=39,"S",IF(AB33&lt;=69,"M","I")))</f>
        <v>M</v>
      </c>
      <c r="AC34" s="1"/>
      <c r="AD34" s="1" t="str">
        <f t="shared" si="15"/>
        <v>M</v>
      </c>
      <c r="AE34" s="1" t="str">
        <f t="shared" si="15"/>
        <v>S</v>
      </c>
      <c r="AF34" s="1" t="str">
        <f t="shared" si="15"/>
        <v>M</v>
      </c>
      <c r="AG34" s="1" t="str">
        <f t="shared" si="15"/>
        <v>S</v>
      </c>
      <c r="AH34" s="1" t="str">
        <f t="shared" si="15"/>
        <v>I</v>
      </c>
      <c r="AI34" s="1" t="str">
        <f t="shared" si="15"/>
        <v>I</v>
      </c>
      <c r="AJ34" s="1" t="str">
        <f t="shared" si="15"/>
        <v>M</v>
      </c>
      <c r="AK34" s="1" t="str">
        <f t="shared" si="15"/>
        <v>I</v>
      </c>
      <c r="AL34" s="1" t="str">
        <f t="shared" si="15"/>
        <v>I</v>
      </c>
      <c r="AM34" s="1" t="str">
        <f t="shared" si="15"/>
        <v>I</v>
      </c>
      <c r="AN34" s="1" t="str">
        <f t="shared" si="15"/>
        <v>M</v>
      </c>
      <c r="AO34" s="1" t="str">
        <f t="shared" si="15"/>
        <v>I</v>
      </c>
      <c r="AP34" s="1" t="str">
        <f t="shared" si="15"/>
        <v>M</v>
      </c>
      <c r="AQ34" s="1" t="str">
        <f t="shared" si="15"/>
        <v>M</v>
      </c>
      <c r="AR34" s="1" t="str">
        <f t="shared" si="15"/>
        <v>I</v>
      </c>
      <c r="AS34" s="1" t="str">
        <f t="shared" si="15"/>
        <v>I</v>
      </c>
      <c r="AT34" s="1" t="str">
        <f t="shared" si="15"/>
        <v>I</v>
      </c>
      <c r="AU34" s="1" t="str">
        <f t="shared" si="15"/>
        <v>I</v>
      </c>
      <c r="AV34" s="1" t="str">
        <f t="shared" si="15"/>
        <v>I</v>
      </c>
      <c r="AW34" s="1" t="str">
        <f t="shared" si="15"/>
        <v>I</v>
      </c>
      <c r="AX34" s="1" t="str">
        <f t="shared" si="15"/>
        <v>I</v>
      </c>
      <c r="AY34" s="1" t="str">
        <f t="shared" si="15"/>
        <v>I</v>
      </c>
      <c r="AZ34" s="1" t="str">
        <f t="shared" si="15"/>
        <v>I</v>
      </c>
      <c r="BA34" s="1" t="str">
        <f t="shared" si="15"/>
        <v>I</v>
      </c>
      <c r="BB34" s="1" t="str">
        <f t="shared" si="15"/>
        <v>I</v>
      </c>
      <c r="BC34" s="3" t="str">
        <f t="shared" si="15"/>
        <v>I</v>
      </c>
      <c r="BE34" s="1" t="str">
        <f t="shared" si="15"/>
        <v>I</v>
      </c>
      <c r="BF34" s="1" t="str">
        <f>IF(BF33&lt;=19,"A",IF(BF33&lt;=39,"S",IF(BF33&lt;=69,"M","I")))</f>
        <v>I</v>
      </c>
      <c r="BG34" s="1" t="str">
        <f>IF(BG33&lt;=19,"A",IF(BG33&lt;=39,"S",IF(BG33&lt;=69,"M","I")))</f>
        <v>I</v>
      </c>
      <c r="BH34" s="1" t="str">
        <f>IF(BH33&lt;=19,"A",IF(BH33&lt;=39,"S",IF(BH33&lt;=69,"M","I")))</f>
        <v>M</v>
      </c>
      <c r="BI34" s="1" t="str">
        <f>IF(BI33&lt;=19,"A",IF(BI33&lt;=39,"S",IF(BI33&lt;=69,"M","I")))</f>
        <v>M</v>
      </c>
      <c r="BJ34" s="13" t="str">
        <f t="shared" si="15"/>
        <v>M</v>
      </c>
      <c r="BL34" s="1" t="str">
        <f t="shared" si="15"/>
        <v>I</v>
      </c>
      <c r="BM34" s="1" t="str">
        <f t="shared" ref="BM34:BX34" si="16">IF(BM33&lt;=19,"A",IF(BM33&lt;=39,"S",IF(BM33&lt;=69,"M","I")))</f>
        <v>M</v>
      </c>
      <c r="BN34" s="1" t="str">
        <f t="shared" si="16"/>
        <v>M</v>
      </c>
      <c r="BO34" s="1" t="str">
        <f t="shared" si="16"/>
        <v>I</v>
      </c>
      <c r="BP34" s="1" t="str">
        <f t="shared" si="16"/>
        <v>M</v>
      </c>
      <c r="BQ34" s="1" t="str">
        <f t="shared" si="16"/>
        <v>M</v>
      </c>
      <c r="BR34" s="1" t="str">
        <f t="shared" si="16"/>
        <v>M</v>
      </c>
      <c r="BS34" s="1" t="str">
        <f t="shared" si="16"/>
        <v>I</v>
      </c>
      <c r="BT34" s="1" t="str">
        <f t="shared" si="16"/>
        <v>I</v>
      </c>
      <c r="BU34" s="1" t="str">
        <f t="shared" si="16"/>
        <v>M</v>
      </c>
      <c r="BV34" s="1" t="str">
        <f t="shared" si="16"/>
        <v>M</v>
      </c>
      <c r="BW34" s="1" t="str">
        <f t="shared" si="16"/>
        <v>I</v>
      </c>
      <c r="BX34" s="1" t="str">
        <f t="shared" si="16"/>
        <v>I</v>
      </c>
      <c r="BY34" s="11" t="str">
        <f t="shared" ref="BY34:EA34" si="17">IF(BY33&lt;=19,"A",IF(BY33&lt;=39,"S",IF(BY33&lt;=69,"M","I")))</f>
        <v>M</v>
      </c>
      <c r="CA34" s="1" t="str">
        <f>IF(CA33&lt;=19,"A",IF(CA33&lt;=39,"S",IF(CA33&lt;=69,"M","I")))</f>
        <v>M</v>
      </c>
      <c r="CB34" s="1" t="str">
        <f t="shared" ref="CB34:CJ34" si="18">IF(CB33&lt;=19,"A",IF(CB33&lt;=39,"S",IF(CB33&lt;=69,"M","I")))</f>
        <v>M</v>
      </c>
      <c r="CC34" s="1" t="str">
        <f t="shared" si="18"/>
        <v>I</v>
      </c>
      <c r="CD34" s="1" t="str">
        <f t="shared" si="18"/>
        <v>M</v>
      </c>
      <c r="CE34" s="1" t="str">
        <f t="shared" si="18"/>
        <v>M</v>
      </c>
      <c r="CF34" s="1" t="str">
        <f t="shared" si="18"/>
        <v>M</v>
      </c>
      <c r="CG34" s="1" t="str">
        <f t="shared" si="18"/>
        <v>I</v>
      </c>
      <c r="CH34" s="1" t="str">
        <f t="shared" si="18"/>
        <v>M</v>
      </c>
      <c r="CI34" s="1" t="str">
        <f t="shared" si="18"/>
        <v>M</v>
      </c>
      <c r="CJ34" s="1" t="str">
        <f t="shared" si="18"/>
        <v>M</v>
      </c>
      <c r="CK34" s="12" t="str">
        <f t="shared" si="17"/>
        <v>M</v>
      </c>
      <c r="CM34" s="1" t="str">
        <f t="shared" si="17"/>
        <v>M</v>
      </c>
      <c r="CN34" s="17" t="str">
        <f>IF(CN33&lt;=19,"A",IF(CN33&lt;=39,"S",IF(CN33&lt;=69,"M","I")))</f>
        <v>M</v>
      </c>
      <c r="CP34" s="1" t="str">
        <f t="shared" si="17"/>
        <v>M</v>
      </c>
      <c r="CQ34" s="1" t="str">
        <f t="shared" si="17"/>
        <v>S</v>
      </c>
      <c r="CR34" s="1" t="str">
        <f t="shared" si="17"/>
        <v>M</v>
      </c>
      <c r="CS34" s="1" t="str">
        <f t="shared" si="17"/>
        <v>I</v>
      </c>
      <c r="CT34" s="1" t="str">
        <f t="shared" si="17"/>
        <v>I</v>
      </c>
      <c r="CU34" s="1" t="str">
        <f t="shared" si="17"/>
        <v>A</v>
      </c>
      <c r="CV34" s="1" t="str">
        <f t="shared" si="17"/>
        <v>M</v>
      </c>
      <c r="CW34" s="1" t="str">
        <f t="shared" si="17"/>
        <v>I</v>
      </c>
      <c r="CX34" s="1" t="str">
        <f t="shared" si="17"/>
        <v>I</v>
      </c>
      <c r="CY34" s="1" t="str">
        <f t="shared" si="17"/>
        <v>A</v>
      </c>
      <c r="CZ34" s="1" t="str">
        <f t="shared" si="17"/>
        <v>I</v>
      </c>
      <c r="DA34" s="1" t="str">
        <f t="shared" si="17"/>
        <v>I</v>
      </c>
      <c r="DB34" s="1" t="str">
        <f t="shared" si="17"/>
        <v>I</v>
      </c>
      <c r="DC34" s="1" t="str">
        <f t="shared" si="17"/>
        <v>I</v>
      </c>
      <c r="DD34" s="1" t="str">
        <f t="shared" si="17"/>
        <v>I</v>
      </c>
      <c r="DE34" s="1" t="str">
        <f t="shared" si="17"/>
        <v>M</v>
      </c>
      <c r="DF34" s="1" t="str">
        <f t="shared" si="17"/>
        <v>M</v>
      </c>
      <c r="DG34" s="1" t="str">
        <f t="shared" si="17"/>
        <v>M</v>
      </c>
      <c r="DH34" s="1" t="str">
        <f t="shared" si="17"/>
        <v>M</v>
      </c>
      <c r="DI34" s="1" t="str">
        <f t="shared" si="17"/>
        <v>I</v>
      </c>
      <c r="DJ34" s="1" t="str">
        <f t="shared" si="17"/>
        <v>M</v>
      </c>
      <c r="DK34" s="1" t="str">
        <f t="shared" si="17"/>
        <v>M</v>
      </c>
      <c r="DL34" s="1" t="str">
        <f t="shared" si="17"/>
        <v>I</v>
      </c>
      <c r="DM34" s="1" t="str">
        <f t="shared" si="17"/>
        <v>M</v>
      </c>
      <c r="DN34" s="1" t="str">
        <f t="shared" si="17"/>
        <v>M</v>
      </c>
      <c r="DO34" s="1" t="str">
        <f t="shared" si="17"/>
        <v>M</v>
      </c>
      <c r="DP34" s="1" t="str">
        <f t="shared" si="17"/>
        <v>I</v>
      </c>
      <c r="DQ34" s="1" t="str">
        <f t="shared" si="17"/>
        <v>I</v>
      </c>
      <c r="DR34" s="1" t="str">
        <f t="shared" si="17"/>
        <v>M</v>
      </c>
      <c r="DS34" s="1" t="str">
        <f t="shared" si="17"/>
        <v>M</v>
      </c>
      <c r="DT34" s="1" t="str">
        <f t="shared" si="17"/>
        <v>M</v>
      </c>
      <c r="DU34" s="1" t="str">
        <f t="shared" si="17"/>
        <v>M</v>
      </c>
      <c r="DV34" s="1" t="str">
        <f t="shared" si="17"/>
        <v>I</v>
      </c>
      <c r="DW34" s="1" t="str">
        <f t="shared" si="17"/>
        <v>S</v>
      </c>
      <c r="DX34" s="1" t="str">
        <f t="shared" si="17"/>
        <v>S</v>
      </c>
      <c r="DY34" s="1" t="str">
        <f t="shared" si="17"/>
        <v>I</v>
      </c>
      <c r="DZ34" s="1" t="str">
        <f t="shared" si="17"/>
        <v>S</v>
      </c>
      <c r="EA34" s="1" t="str">
        <f t="shared" si="17"/>
        <v>M</v>
      </c>
      <c r="EB34" s="1" t="str">
        <f t="shared" ref="EB34:EM34" si="19">IF(EB33&lt;=19,"A",IF(EB33&lt;=39,"S",IF(EB33&lt;=69,"M","I")))</f>
        <v>I</v>
      </c>
      <c r="EC34" s="1" t="str">
        <f t="shared" si="19"/>
        <v>I</v>
      </c>
      <c r="ED34" s="1" t="str">
        <f t="shared" si="19"/>
        <v>M</v>
      </c>
      <c r="EE34" s="1" t="str">
        <f t="shared" si="19"/>
        <v>I</v>
      </c>
      <c r="EF34" s="1" t="str">
        <f t="shared" si="19"/>
        <v>M</v>
      </c>
      <c r="EG34" s="1" t="str">
        <f t="shared" si="19"/>
        <v>I</v>
      </c>
      <c r="EH34" s="1" t="str">
        <f t="shared" si="19"/>
        <v>I</v>
      </c>
      <c r="EI34" s="1" t="str">
        <f t="shared" si="19"/>
        <v>I</v>
      </c>
      <c r="EJ34" s="1" t="str">
        <f t="shared" si="19"/>
        <v>I</v>
      </c>
      <c r="EK34" s="1" t="str">
        <f t="shared" si="19"/>
        <v>I</v>
      </c>
      <c r="EL34" s="1" t="str">
        <f t="shared" si="19"/>
        <v>I</v>
      </c>
      <c r="EM34" s="1" t="str">
        <f t="shared" si="19"/>
        <v>M</v>
      </c>
      <c r="EN34" s="1" t="str">
        <f t="shared" ref="EN34:ES34" si="20">IF(EN33&lt;=19,"A",IF(EN33&lt;=39,"S",IF(EN33&lt;=69,"M","I")))</f>
        <v>I</v>
      </c>
      <c r="EO34" s="1" t="str">
        <f t="shared" si="20"/>
        <v>I</v>
      </c>
      <c r="EP34" s="1" t="str">
        <f t="shared" si="20"/>
        <v>I</v>
      </c>
      <c r="EQ34" s="1" t="str">
        <f t="shared" si="20"/>
        <v>M</v>
      </c>
      <c r="ER34" s="1" t="str">
        <f t="shared" si="20"/>
        <v>I</v>
      </c>
      <c r="ES34" s="6" t="str">
        <f t="shared" si="20"/>
        <v>M</v>
      </c>
    </row>
    <row r="35" spans="1:160" x14ac:dyDescent="0.35">
      <c r="A35" s="1" t="s">
        <v>159</v>
      </c>
      <c r="C35" s="1">
        <v>5</v>
      </c>
      <c r="D35" s="1">
        <v>1</v>
      </c>
      <c r="E35" s="1">
        <v>3</v>
      </c>
      <c r="F35" s="1">
        <v>1</v>
      </c>
      <c r="G35" s="1">
        <v>4</v>
      </c>
      <c r="H35" s="1">
        <v>2</v>
      </c>
      <c r="I35" s="1">
        <v>6</v>
      </c>
      <c r="J35" s="1">
        <v>1</v>
      </c>
      <c r="K35" s="1">
        <v>2</v>
      </c>
      <c r="L35" s="1">
        <v>3</v>
      </c>
      <c r="M35" s="1">
        <v>3</v>
      </c>
      <c r="N35" s="1">
        <v>3</v>
      </c>
      <c r="O35" s="1">
        <v>3</v>
      </c>
      <c r="P35" s="1">
        <v>5</v>
      </c>
      <c r="Q35" s="1">
        <v>1</v>
      </c>
      <c r="R35" s="1">
        <v>5</v>
      </c>
      <c r="S35" s="1">
        <v>4</v>
      </c>
      <c r="T35" s="1">
        <v>5</v>
      </c>
      <c r="U35" s="1">
        <v>1</v>
      </c>
      <c r="V35" s="1">
        <v>4</v>
      </c>
      <c r="W35" s="1">
        <v>6</v>
      </c>
      <c r="X35" s="1">
        <v>1</v>
      </c>
      <c r="Y35" s="1">
        <v>1</v>
      </c>
      <c r="Z35" s="1">
        <v>5</v>
      </c>
      <c r="AA35" s="1">
        <v>4</v>
      </c>
      <c r="AD35" s="1">
        <v>1</v>
      </c>
      <c r="AE35" s="1">
        <v>2</v>
      </c>
      <c r="AF35" s="1">
        <v>3</v>
      </c>
      <c r="AG35" s="1">
        <v>2</v>
      </c>
      <c r="AH35" s="1">
        <v>1</v>
      </c>
      <c r="AI35" s="1">
        <v>2</v>
      </c>
      <c r="AJ35" s="1">
        <v>1</v>
      </c>
      <c r="AK35" s="1">
        <v>3</v>
      </c>
      <c r="AL35" s="1">
        <v>1</v>
      </c>
      <c r="AM35" s="1">
        <v>1</v>
      </c>
      <c r="AN35" s="1">
        <v>1</v>
      </c>
      <c r="AO35" s="1">
        <v>3</v>
      </c>
      <c r="AP35" s="1">
        <v>1</v>
      </c>
      <c r="AQ35" s="1">
        <v>1</v>
      </c>
      <c r="AR35" s="1">
        <v>2</v>
      </c>
      <c r="AS35" s="1">
        <v>2</v>
      </c>
      <c r="AT35" s="1">
        <v>2</v>
      </c>
      <c r="AU35" s="1">
        <v>1</v>
      </c>
      <c r="AV35" s="1">
        <v>1</v>
      </c>
      <c r="AW35" s="1">
        <v>3</v>
      </c>
      <c r="AX35" s="1">
        <v>2</v>
      </c>
      <c r="AY35" s="1">
        <v>2</v>
      </c>
      <c r="AZ35" s="1">
        <v>3</v>
      </c>
      <c r="BA35" s="1">
        <v>2</v>
      </c>
      <c r="BB35" s="1">
        <v>2</v>
      </c>
      <c r="BE35" s="1">
        <v>6</v>
      </c>
      <c r="BF35" s="1">
        <v>4</v>
      </c>
      <c r="BG35" s="1">
        <v>2</v>
      </c>
      <c r="BH35" s="1">
        <v>8</v>
      </c>
      <c r="BI35" s="1">
        <v>5</v>
      </c>
      <c r="BL35" s="1">
        <v>4</v>
      </c>
      <c r="BM35" s="1">
        <v>3</v>
      </c>
      <c r="BN35" s="1">
        <v>7</v>
      </c>
      <c r="BO35" s="1">
        <v>4</v>
      </c>
      <c r="BP35" s="1">
        <v>4</v>
      </c>
      <c r="BQ35" s="1">
        <v>7</v>
      </c>
      <c r="BR35" s="1">
        <v>3</v>
      </c>
      <c r="BS35" s="1">
        <v>9</v>
      </c>
      <c r="BT35" s="1">
        <v>9</v>
      </c>
      <c r="BU35" s="1">
        <v>8</v>
      </c>
      <c r="BV35" s="1">
        <v>4</v>
      </c>
      <c r="BW35" s="1">
        <v>5</v>
      </c>
      <c r="BX35" s="1">
        <v>9</v>
      </c>
      <c r="CA35" s="1">
        <v>3</v>
      </c>
      <c r="CB35" s="1">
        <v>5</v>
      </c>
      <c r="CC35" s="1">
        <v>7</v>
      </c>
      <c r="CD35" s="1">
        <v>2</v>
      </c>
      <c r="CE35" s="1">
        <v>4</v>
      </c>
      <c r="CF35" s="1">
        <v>2</v>
      </c>
      <c r="CG35" s="1">
        <v>5</v>
      </c>
      <c r="CH35" s="1">
        <v>7</v>
      </c>
      <c r="CI35" s="1">
        <v>4</v>
      </c>
      <c r="CJ35" s="1">
        <v>9</v>
      </c>
      <c r="CM35" s="1">
        <v>1</v>
      </c>
      <c r="CP35" s="1">
        <v>1</v>
      </c>
      <c r="CQ35" s="1">
        <v>1</v>
      </c>
      <c r="CR35" s="1">
        <v>1</v>
      </c>
      <c r="CS35" s="1">
        <v>1</v>
      </c>
      <c r="CT35" s="1">
        <v>1</v>
      </c>
      <c r="CU35" s="1">
        <v>2</v>
      </c>
      <c r="CV35" s="1">
        <v>2</v>
      </c>
      <c r="CW35" s="1">
        <v>2</v>
      </c>
      <c r="CX35" s="1">
        <v>2</v>
      </c>
      <c r="CY35" s="1">
        <v>2</v>
      </c>
      <c r="CZ35" s="1">
        <v>2</v>
      </c>
      <c r="DA35" s="1">
        <v>3</v>
      </c>
      <c r="DB35" s="1">
        <v>3</v>
      </c>
      <c r="DC35" s="1">
        <v>3</v>
      </c>
      <c r="DD35" s="1">
        <v>3</v>
      </c>
      <c r="DE35" s="1">
        <v>3</v>
      </c>
      <c r="DF35" s="1">
        <v>3</v>
      </c>
      <c r="DG35" s="1">
        <v>4</v>
      </c>
      <c r="DH35" s="1">
        <v>4</v>
      </c>
      <c r="DI35" s="1">
        <v>4</v>
      </c>
      <c r="DJ35" s="1">
        <v>4</v>
      </c>
      <c r="DK35" s="1">
        <v>4</v>
      </c>
      <c r="DL35" s="1">
        <v>4</v>
      </c>
      <c r="DM35" s="1">
        <v>4</v>
      </c>
      <c r="DN35" s="1">
        <v>4</v>
      </c>
      <c r="DO35" s="1">
        <v>4</v>
      </c>
      <c r="DP35" s="1">
        <v>4</v>
      </c>
      <c r="DQ35" s="1">
        <v>4</v>
      </c>
      <c r="DR35" s="1">
        <v>4</v>
      </c>
      <c r="DS35" s="1">
        <v>4</v>
      </c>
      <c r="DT35" s="1">
        <v>4</v>
      </c>
      <c r="DU35" s="1">
        <v>4</v>
      </c>
      <c r="DV35" s="1">
        <v>4</v>
      </c>
      <c r="DW35" s="1">
        <v>5</v>
      </c>
      <c r="DX35" s="1">
        <v>5</v>
      </c>
      <c r="DY35" s="1">
        <v>5</v>
      </c>
      <c r="DZ35" s="1">
        <v>5</v>
      </c>
      <c r="EA35" s="1">
        <v>5</v>
      </c>
      <c r="EB35" s="1">
        <v>5</v>
      </c>
      <c r="EC35" s="1">
        <v>5</v>
      </c>
      <c r="ED35" s="1">
        <v>6</v>
      </c>
      <c r="EE35" s="1">
        <v>6</v>
      </c>
      <c r="EF35" s="1">
        <v>6</v>
      </c>
      <c r="EG35" s="1">
        <v>6</v>
      </c>
      <c r="EH35" s="1">
        <v>6</v>
      </c>
      <c r="EI35" s="1">
        <v>7</v>
      </c>
      <c r="EJ35" s="1">
        <v>7</v>
      </c>
      <c r="EK35" s="1">
        <v>7</v>
      </c>
      <c r="EL35" s="1">
        <v>7</v>
      </c>
      <c r="EM35" s="1">
        <v>7</v>
      </c>
      <c r="EN35" s="1">
        <v>7</v>
      </c>
      <c r="EO35" s="1">
        <v>7</v>
      </c>
      <c r="EP35" s="1">
        <v>7</v>
      </c>
      <c r="EQ35" s="1">
        <v>7</v>
      </c>
      <c r="ER35" s="1">
        <v>7</v>
      </c>
      <c r="EU35" s="18"/>
      <c r="EV35" s="18"/>
      <c r="EW35" s="18"/>
      <c r="EX35" s="18"/>
      <c r="EY35" s="18"/>
      <c r="EZ35" s="18"/>
      <c r="FA35" s="18"/>
      <c r="FB35" s="18"/>
      <c r="FC35" s="18"/>
      <c r="FD35" s="18"/>
    </row>
    <row r="36" spans="1:160" ht="13" customHeight="1" x14ac:dyDescent="0.35">
      <c r="A36" s="27" t="s">
        <v>159</v>
      </c>
      <c r="D36" s="57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9"/>
      <c r="AB36" s="31"/>
      <c r="CI36" s="13" t="s">
        <v>236</v>
      </c>
      <c r="CJ36" s="11" t="s">
        <v>237</v>
      </c>
      <c r="CK36" s="12" t="s">
        <v>238</v>
      </c>
      <c r="CL36" s="17" t="s">
        <v>137</v>
      </c>
    </row>
    <row r="37" spans="1:160" ht="14.5" customHeight="1" x14ac:dyDescent="0.35">
      <c r="A37" s="29">
        <v>1</v>
      </c>
      <c r="D37" s="216" t="s">
        <v>162</v>
      </c>
      <c r="E37" s="217"/>
      <c r="F37" s="217"/>
      <c r="G37" s="217"/>
      <c r="H37" s="217"/>
      <c r="I37" s="217"/>
      <c r="J37" s="217"/>
      <c r="K37" s="217"/>
      <c r="L37" s="217"/>
      <c r="M37" s="217"/>
      <c r="N37" s="217"/>
      <c r="O37" s="217"/>
      <c r="P37" s="217"/>
      <c r="Q37" s="217"/>
      <c r="R37" s="217"/>
      <c r="S37" s="217"/>
      <c r="T37" s="217"/>
      <c r="U37" s="217"/>
      <c r="V37" s="217"/>
      <c r="W37" s="217"/>
      <c r="X37" s="217"/>
      <c r="Y37" s="217"/>
      <c r="Z37" s="217"/>
      <c r="AA37" s="218"/>
      <c r="AB37" s="31">
        <f>SUM(D33,F33,J33,Q33,U33,X33,Y33)</f>
        <v>430</v>
      </c>
      <c r="AD37" s="60">
        <v>9</v>
      </c>
      <c r="AE37" s="202" t="s">
        <v>163</v>
      </c>
      <c r="AF37" s="203"/>
      <c r="AG37" s="203"/>
      <c r="AH37" s="203"/>
      <c r="AI37" s="203"/>
      <c r="AJ37" s="203"/>
      <c r="AK37" s="203"/>
      <c r="AL37" s="203"/>
      <c r="AM37" s="203"/>
      <c r="AN37" s="203"/>
      <c r="AO37" s="203"/>
      <c r="AP37" s="203"/>
      <c r="AQ37" s="203"/>
      <c r="AR37" s="203"/>
      <c r="AS37" s="203"/>
      <c r="AT37" s="203"/>
      <c r="AU37" s="203"/>
      <c r="AV37" s="203"/>
      <c r="AW37" s="203"/>
      <c r="AX37" s="203"/>
      <c r="AY37" s="203"/>
      <c r="AZ37" s="203"/>
      <c r="BA37" s="203"/>
      <c r="BB37" s="204"/>
      <c r="BC37" s="30">
        <f>SUM(AD33,AH33,AJ33,AL33,AM33,AN33,AP33,AQ33,AU33,AV33)</f>
        <v>666.66666666666674</v>
      </c>
      <c r="BG37" s="223"/>
      <c r="BH37" s="223"/>
      <c r="BI37" s="223"/>
      <c r="BJ37" s="223"/>
      <c r="BK37" s="223"/>
      <c r="BL37" s="223"/>
      <c r="BM37" s="223"/>
      <c r="BN37" s="223"/>
      <c r="BO37" s="223"/>
      <c r="BP37" s="223"/>
      <c r="BQ37" s="223"/>
      <c r="BR37" s="223"/>
      <c r="BS37" s="223"/>
      <c r="BT37" s="223"/>
      <c r="BU37" s="223"/>
      <c r="BV37" s="223"/>
      <c r="BW37" s="223"/>
      <c r="BX37" s="223"/>
      <c r="BY37" s="223"/>
      <c r="BZ37" s="223"/>
      <c r="CA37" s="223"/>
      <c r="CB37" s="223"/>
      <c r="CC37" s="223"/>
      <c r="CD37" s="223"/>
      <c r="CE37" s="223"/>
      <c r="CF37" s="223"/>
      <c r="CG37" s="223"/>
      <c r="CH37" s="224"/>
      <c r="CI37" s="56"/>
      <c r="CJ37" s="56"/>
      <c r="CK37" s="56"/>
      <c r="CL37" s="79">
        <f>SUM(CM33)</f>
        <v>66.666666666666671</v>
      </c>
      <c r="CM37" s="79"/>
      <c r="DU37" s="216" t="s">
        <v>240</v>
      </c>
      <c r="DV37" s="217"/>
      <c r="DW37" s="217"/>
      <c r="DX37" s="217"/>
      <c r="DY37" s="217"/>
      <c r="DZ37" s="217"/>
      <c r="EA37" s="217"/>
      <c r="EB37" s="217"/>
      <c r="EC37" s="217"/>
      <c r="ED37" s="217"/>
      <c r="EE37" s="217"/>
      <c r="EF37" s="217"/>
      <c r="EG37" s="217"/>
      <c r="EH37" s="217"/>
      <c r="EI37" s="217"/>
      <c r="EJ37" s="217"/>
      <c r="EK37" s="217"/>
      <c r="EL37" s="217"/>
      <c r="EM37" s="217"/>
      <c r="EN37" s="217"/>
      <c r="EO37" s="217"/>
      <c r="EP37" s="218"/>
      <c r="EQ37" s="78"/>
      <c r="ER37" s="78"/>
      <c r="ES37" s="7">
        <f>AVERAGE(CP33:CT33)</f>
        <v>58.666666666666664</v>
      </c>
    </row>
    <row r="38" spans="1:160" x14ac:dyDescent="0.35">
      <c r="A38" s="29">
        <v>2</v>
      </c>
      <c r="D38" s="216" t="s">
        <v>165</v>
      </c>
      <c r="E38" s="217"/>
      <c r="F38" s="217"/>
      <c r="G38" s="217"/>
      <c r="H38" s="217"/>
      <c r="I38" s="217"/>
      <c r="J38" s="217"/>
      <c r="K38" s="217"/>
      <c r="L38" s="217"/>
      <c r="M38" s="217"/>
      <c r="N38" s="217"/>
      <c r="O38" s="217"/>
      <c r="P38" s="217"/>
      <c r="Q38" s="217"/>
      <c r="R38" s="217"/>
      <c r="S38" s="217"/>
      <c r="T38" s="217"/>
      <c r="U38" s="217"/>
      <c r="V38" s="217"/>
      <c r="W38" s="217"/>
      <c r="X38" s="217"/>
      <c r="Y38" s="217"/>
      <c r="Z38" s="217"/>
      <c r="AA38" s="218"/>
      <c r="AB38" s="31">
        <f>SUM(H33,K33)</f>
        <v>130</v>
      </c>
      <c r="AD38" s="61">
        <v>11</v>
      </c>
      <c r="AE38" s="207" t="s">
        <v>160</v>
      </c>
      <c r="AF38" s="208"/>
      <c r="AG38" s="208"/>
      <c r="AH38" s="208"/>
      <c r="AI38" s="208"/>
      <c r="AJ38" s="208"/>
      <c r="AK38" s="208"/>
      <c r="AL38" s="208"/>
      <c r="AM38" s="208"/>
      <c r="AN38" s="208"/>
      <c r="AO38" s="208"/>
      <c r="AP38" s="208"/>
      <c r="AQ38" s="208"/>
      <c r="AR38" s="208"/>
      <c r="AS38" s="208"/>
      <c r="AT38" s="208"/>
      <c r="AU38" s="208"/>
      <c r="AV38" s="208"/>
      <c r="AW38" s="208"/>
      <c r="AX38" s="208"/>
      <c r="AY38" s="208"/>
      <c r="AZ38" s="208"/>
      <c r="BA38" s="208"/>
      <c r="BB38" s="209"/>
      <c r="BC38" s="30">
        <f>SUM(AE33,AG33,AI33,AR33,AS33,AT33,AX33,AY33,BA33,BB33)</f>
        <v>710</v>
      </c>
      <c r="BG38" s="223"/>
      <c r="BH38" s="223"/>
      <c r="BI38" s="223"/>
      <c r="BJ38" s="223"/>
      <c r="BK38" s="223"/>
      <c r="BL38" s="223"/>
      <c r="BM38" s="223"/>
      <c r="BN38" s="223"/>
      <c r="BO38" s="223"/>
      <c r="BP38" s="223"/>
      <c r="BQ38" s="223"/>
      <c r="BR38" s="223"/>
      <c r="BS38" s="223"/>
      <c r="BT38" s="223"/>
      <c r="BU38" s="223"/>
      <c r="BV38" s="223"/>
      <c r="BW38" s="223"/>
      <c r="BX38" s="223"/>
      <c r="BY38" s="223"/>
      <c r="BZ38" s="223"/>
      <c r="CA38" s="223"/>
      <c r="CB38" s="223"/>
      <c r="CC38" s="223"/>
      <c r="CD38" s="223"/>
      <c r="CE38" s="223"/>
      <c r="CF38" s="223"/>
      <c r="CG38" s="223"/>
      <c r="CH38" s="224"/>
      <c r="CI38" s="56">
        <f>SUM(BG33)</f>
        <v>76.666666666666671</v>
      </c>
      <c r="CJ38" s="56"/>
      <c r="CK38" s="56">
        <f>SUM(CD33,CF33)</f>
        <v>126.66666666666667</v>
      </c>
      <c r="CL38" s="79"/>
      <c r="DU38" s="216" t="s">
        <v>241</v>
      </c>
      <c r="DV38" s="217"/>
      <c r="DW38" s="217"/>
      <c r="DX38" s="217"/>
      <c r="DY38" s="217"/>
      <c r="DZ38" s="217"/>
      <c r="EA38" s="217"/>
      <c r="EB38" s="217"/>
      <c r="EC38" s="217"/>
      <c r="ED38" s="217"/>
      <c r="EE38" s="217"/>
      <c r="EF38" s="217"/>
      <c r="EG38" s="217"/>
      <c r="EH38" s="217"/>
      <c r="EI38" s="217"/>
      <c r="EJ38" s="217"/>
      <c r="EK38" s="217"/>
      <c r="EL38" s="217"/>
      <c r="EM38" s="217"/>
      <c r="EN38" s="217"/>
      <c r="EO38" s="217"/>
      <c r="EP38" s="218"/>
      <c r="EQ38" s="78"/>
      <c r="ER38" s="78"/>
      <c r="ES38" s="123">
        <f>AVERAGE(CU33:CZ33)</f>
        <v>51.666666666666664</v>
      </c>
    </row>
    <row r="39" spans="1:160" x14ac:dyDescent="0.35">
      <c r="A39" s="29">
        <v>3</v>
      </c>
      <c r="D39" s="216" t="s">
        <v>168</v>
      </c>
      <c r="E39" s="217"/>
      <c r="F39" s="217"/>
      <c r="G39" s="217"/>
      <c r="H39" s="217"/>
      <c r="I39" s="217"/>
      <c r="J39" s="217"/>
      <c r="K39" s="217"/>
      <c r="L39" s="217"/>
      <c r="M39" s="217"/>
      <c r="N39" s="217"/>
      <c r="O39" s="217"/>
      <c r="P39" s="217"/>
      <c r="Q39" s="217"/>
      <c r="R39" s="217"/>
      <c r="S39" s="217"/>
      <c r="T39" s="217"/>
      <c r="U39" s="217"/>
      <c r="V39" s="217"/>
      <c r="W39" s="217"/>
      <c r="X39" s="217"/>
      <c r="Y39" s="217"/>
      <c r="Z39" s="217"/>
      <c r="AA39" s="218"/>
      <c r="AB39" s="31">
        <f>SUM(E33,L33,M33,N33,O33)</f>
        <v>366.66666666666669</v>
      </c>
      <c r="AD39" s="62"/>
      <c r="AE39" s="210" t="s">
        <v>166</v>
      </c>
      <c r="AF39" s="211"/>
      <c r="AG39" s="211"/>
      <c r="AH39" s="211"/>
      <c r="AI39" s="211"/>
      <c r="AJ39" s="211"/>
      <c r="AK39" s="211"/>
      <c r="AL39" s="211"/>
      <c r="AM39" s="211"/>
      <c r="AN39" s="211"/>
      <c r="AO39" s="211"/>
      <c r="AP39" s="211"/>
      <c r="AQ39" s="211"/>
      <c r="AR39" s="211"/>
      <c r="AS39" s="211"/>
      <c r="AT39" s="211"/>
      <c r="AU39" s="211"/>
      <c r="AV39" s="211"/>
      <c r="AW39" s="211"/>
      <c r="AX39" s="211"/>
      <c r="AY39" s="211"/>
      <c r="AZ39" s="211"/>
      <c r="BA39" s="211"/>
      <c r="BB39" s="212"/>
      <c r="BC39" s="30">
        <f>SUM(AF33,AK33,AO33,AW33,AZ33)</f>
        <v>370.00000000000006</v>
      </c>
      <c r="BG39" s="223"/>
      <c r="BH39" s="223"/>
      <c r="BI39" s="223"/>
      <c r="BJ39" s="223"/>
      <c r="BK39" s="223"/>
      <c r="BL39" s="223"/>
      <c r="BM39" s="223"/>
      <c r="BN39" s="223"/>
      <c r="BO39" s="223"/>
      <c r="BP39" s="223"/>
      <c r="BQ39" s="223"/>
      <c r="BR39" s="223"/>
      <c r="BS39" s="223"/>
      <c r="BT39" s="223"/>
      <c r="BU39" s="223"/>
      <c r="BV39" s="223"/>
      <c r="BW39" s="223"/>
      <c r="BX39" s="223"/>
      <c r="BY39" s="223"/>
      <c r="BZ39" s="223"/>
      <c r="CA39" s="223"/>
      <c r="CB39" s="223"/>
      <c r="CC39" s="223"/>
      <c r="CD39" s="223"/>
      <c r="CE39" s="223"/>
      <c r="CF39" s="223"/>
      <c r="CG39" s="223"/>
      <c r="CH39" s="224"/>
      <c r="CI39" s="56"/>
      <c r="CJ39" s="56">
        <f>SUM(BM33,BR33)</f>
        <v>106.66666666666666</v>
      </c>
      <c r="CK39" s="56">
        <f>SUM(CA33)</f>
        <v>50</v>
      </c>
      <c r="CL39" s="79"/>
      <c r="DU39" s="216" t="s">
        <v>242</v>
      </c>
      <c r="DV39" s="217"/>
      <c r="DW39" s="217"/>
      <c r="DX39" s="217"/>
      <c r="DY39" s="217"/>
      <c r="DZ39" s="217"/>
      <c r="EA39" s="217"/>
      <c r="EB39" s="217"/>
      <c r="EC39" s="217"/>
      <c r="ED39" s="217"/>
      <c r="EE39" s="217"/>
      <c r="EF39" s="217"/>
      <c r="EG39" s="217"/>
      <c r="EH39" s="217"/>
      <c r="EI39" s="217"/>
      <c r="EJ39" s="217"/>
      <c r="EK39" s="217"/>
      <c r="EL39" s="217"/>
      <c r="EM39" s="217"/>
      <c r="EN39" s="217"/>
      <c r="EO39" s="217"/>
      <c r="EP39" s="218"/>
      <c r="EQ39" s="78"/>
      <c r="ER39" s="78"/>
      <c r="ES39" s="123">
        <f>AVERAGE(DA33:DF33)</f>
        <v>73.888888888888886</v>
      </c>
    </row>
    <row r="40" spans="1:160" x14ac:dyDescent="0.35">
      <c r="A40" s="29">
        <v>4</v>
      </c>
      <c r="D40" s="216" t="s">
        <v>169</v>
      </c>
      <c r="E40" s="217"/>
      <c r="F40" s="217"/>
      <c r="G40" s="217"/>
      <c r="H40" s="217"/>
      <c r="I40" s="217"/>
      <c r="J40" s="217"/>
      <c r="K40" s="217"/>
      <c r="L40" s="217"/>
      <c r="M40" s="217"/>
      <c r="N40" s="217"/>
      <c r="O40" s="217"/>
      <c r="P40" s="217"/>
      <c r="Q40" s="217"/>
      <c r="R40" s="217"/>
      <c r="S40" s="217"/>
      <c r="T40" s="217"/>
      <c r="U40" s="217"/>
      <c r="V40" s="217"/>
      <c r="W40" s="217"/>
      <c r="X40" s="217"/>
      <c r="Y40" s="217"/>
      <c r="Z40" s="217"/>
      <c r="AA40" s="218"/>
      <c r="AB40" s="31">
        <f>SUM(G33,S33,V33,AA33)</f>
        <v>256.66666666666669</v>
      </c>
      <c r="BG40" s="223"/>
      <c r="BH40" s="223"/>
      <c r="BI40" s="223"/>
      <c r="BJ40" s="223"/>
      <c r="BK40" s="223"/>
      <c r="BL40" s="223"/>
      <c r="BM40" s="223"/>
      <c r="BN40" s="223"/>
      <c r="BO40" s="223"/>
      <c r="BP40" s="223"/>
      <c r="BQ40" s="223"/>
      <c r="BR40" s="223"/>
      <c r="BS40" s="223"/>
      <c r="BT40" s="223"/>
      <c r="BU40" s="223"/>
      <c r="BV40" s="223"/>
      <c r="BW40" s="223"/>
      <c r="BX40" s="223"/>
      <c r="BY40" s="223"/>
      <c r="BZ40" s="223"/>
      <c r="CA40" s="223"/>
      <c r="CB40" s="223"/>
      <c r="CC40" s="223"/>
      <c r="CD40" s="223"/>
      <c r="CE40" s="223"/>
      <c r="CF40" s="223"/>
      <c r="CG40" s="223"/>
      <c r="CH40" s="224"/>
      <c r="CI40" s="56">
        <f>SUM(BF33)</f>
        <v>73.333333333333329</v>
      </c>
      <c r="CJ40" s="56">
        <f>SUM(BL33,BO33,BP33,BV33)</f>
        <v>263.33333333333331</v>
      </c>
      <c r="CK40" s="56">
        <f>SUM(CE33,CI33)</f>
        <v>130</v>
      </c>
      <c r="CL40" s="56"/>
      <c r="DU40" s="216" t="s">
        <v>243</v>
      </c>
      <c r="DV40" s="217"/>
      <c r="DW40" s="217"/>
      <c r="DX40" s="217"/>
      <c r="DY40" s="217"/>
      <c r="DZ40" s="217"/>
      <c r="EA40" s="217"/>
      <c r="EB40" s="217"/>
      <c r="EC40" s="217"/>
      <c r="ED40" s="217"/>
      <c r="EE40" s="217"/>
      <c r="EF40" s="217"/>
      <c r="EG40" s="217"/>
      <c r="EH40" s="217"/>
      <c r="EI40" s="217"/>
      <c r="EJ40" s="217"/>
      <c r="EK40" s="217"/>
      <c r="EL40" s="217"/>
      <c r="EM40" s="217"/>
      <c r="EN40" s="217"/>
      <c r="EO40" s="217"/>
      <c r="EP40" s="218"/>
      <c r="EQ40" s="78"/>
      <c r="ER40" s="78"/>
      <c r="ES40" s="123">
        <f>AVERAGE(DG33:DV33)</f>
        <v>62.708333333333329</v>
      </c>
    </row>
    <row r="41" spans="1:160" x14ac:dyDescent="0.35">
      <c r="A41" s="29">
        <v>5</v>
      </c>
      <c r="D41" s="216" t="s">
        <v>170</v>
      </c>
      <c r="E41" s="217"/>
      <c r="F41" s="217"/>
      <c r="G41" s="217"/>
      <c r="H41" s="217"/>
      <c r="I41" s="217"/>
      <c r="J41" s="217"/>
      <c r="K41" s="217"/>
      <c r="L41" s="217"/>
      <c r="M41" s="217"/>
      <c r="N41" s="217"/>
      <c r="O41" s="217"/>
      <c r="P41" s="217"/>
      <c r="Q41" s="217"/>
      <c r="R41" s="217"/>
      <c r="S41" s="217"/>
      <c r="T41" s="217"/>
      <c r="U41" s="217"/>
      <c r="V41" s="217"/>
      <c r="W41" s="217"/>
      <c r="X41" s="217"/>
      <c r="Y41" s="217"/>
      <c r="Z41" s="217"/>
      <c r="AA41" s="218"/>
      <c r="AB41" s="31">
        <f>SUM(C33,P33,R33,T33,Z33)</f>
        <v>333.33333333333331</v>
      </c>
      <c r="BG41" s="223"/>
      <c r="BH41" s="223"/>
      <c r="BI41" s="223"/>
      <c r="BJ41" s="223"/>
      <c r="BK41" s="223"/>
      <c r="BL41" s="223"/>
      <c r="BM41" s="223"/>
      <c r="BN41" s="223"/>
      <c r="BO41" s="223"/>
      <c r="BP41" s="223"/>
      <c r="BQ41" s="223"/>
      <c r="BR41" s="223"/>
      <c r="BS41" s="223"/>
      <c r="BT41" s="223"/>
      <c r="BU41" s="223"/>
      <c r="BV41" s="223"/>
      <c r="BW41" s="223"/>
      <c r="BX41" s="223"/>
      <c r="BY41" s="223"/>
      <c r="BZ41" s="223"/>
      <c r="CA41" s="223"/>
      <c r="CB41" s="223"/>
      <c r="CC41" s="223"/>
      <c r="CD41" s="223"/>
      <c r="CE41" s="223"/>
      <c r="CF41" s="223"/>
      <c r="CG41" s="223"/>
      <c r="CH41" s="224"/>
      <c r="CI41" s="56">
        <f>SUM(BI33)</f>
        <v>43.333333333333336</v>
      </c>
      <c r="CJ41" s="56">
        <f>SUM(BW33)</f>
        <v>86.666666666666671</v>
      </c>
      <c r="CK41" s="56">
        <f>SUM(CB33,CG33)</f>
        <v>123.33333333333333</v>
      </c>
      <c r="CL41" s="79"/>
      <c r="CM41" s="79"/>
      <c r="DU41" s="216" t="s">
        <v>244</v>
      </c>
      <c r="DV41" s="217"/>
      <c r="DW41" s="217"/>
      <c r="DX41" s="217"/>
      <c r="DY41" s="217"/>
      <c r="DZ41" s="217"/>
      <c r="EA41" s="217"/>
      <c r="EB41" s="217"/>
      <c r="EC41" s="217"/>
      <c r="ED41" s="217"/>
      <c r="EE41" s="217"/>
      <c r="EF41" s="217"/>
      <c r="EG41" s="217"/>
      <c r="EH41" s="217"/>
      <c r="EI41" s="217"/>
      <c r="EJ41" s="217"/>
      <c r="EK41" s="217"/>
      <c r="EL41" s="217"/>
      <c r="EM41" s="217"/>
      <c r="EN41" s="217"/>
      <c r="EO41" s="217"/>
      <c r="EP41" s="218"/>
      <c r="EQ41" s="78"/>
      <c r="ER41" s="78"/>
      <c r="ES41" s="7">
        <f>AVERAGE(DW33:EC33)</f>
        <v>55.714285714285715</v>
      </c>
    </row>
    <row r="42" spans="1:160" ht="15" customHeight="1" x14ac:dyDescent="0.35">
      <c r="A42" s="29">
        <v>6</v>
      </c>
      <c r="D42" s="222" t="s">
        <v>171</v>
      </c>
      <c r="E42" s="223"/>
      <c r="F42" s="223"/>
      <c r="G42" s="223"/>
      <c r="H42" s="223"/>
      <c r="I42" s="223"/>
      <c r="J42" s="223"/>
      <c r="K42" s="223"/>
      <c r="L42" s="223"/>
      <c r="M42" s="223"/>
      <c r="N42" s="223"/>
      <c r="O42" s="223"/>
      <c r="P42" s="223"/>
      <c r="Q42" s="223"/>
      <c r="R42" s="223"/>
      <c r="S42" s="223"/>
      <c r="T42" s="223"/>
      <c r="U42" s="223"/>
      <c r="V42" s="223"/>
      <c r="W42" s="223"/>
      <c r="X42" s="223"/>
      <c r="Y42" s="223"/>
      <c r="Z42" s="223"/>
      <c r="AA42" s="224"/>
      <c r="AB42" s="31">
        <f>SUM(I33,W33)</f>
        <v>103.33333333333334</v>
      </c>
      <c r="AE42" s="219"/>
      <c r="AF42" s="220"/>
      <c r="AG42" s="220"/>
      <c r="AH42" s="220"/>
      <c r="AI42" s="220"/>
      <c r="AJ42" s="220"/>
      <c r="AK42" s="220"/>
      <c r="AL42" s="220"/>
      <c r="AM42" s="220"/>
      <c r="AN42" s="220"/>
      <c r="AO42" s="220"/>
      <c r="AP42" s="220"/>
      <c r="AQ42" s="220"/>
      <c r="AR42" s="220"/>
      <c r="AS42" s="220"/>
      <c r="AT42" s="220"/>
      <c r="AU42" s="220"/>
      <c r="AV42" s="220"/>
      <c r="AW42" s="220"/>
      <c r="AX42" s="220"/>
      <c r="AY42" s="220"/>
      <c r="AZ42" s="220"/>
      <c r="BA42" s="220"/>
      <c r="BB42" s="221"/>
      <c r="BC42" s="30"/>
      <c r="BG42" s="217"/>
      <c r="BH42" s="217"/>
      <c r="BI42" s="217"/>
      <c r="BJ42" s="217"/>
      <c r="BK42" s="217"/>
      <c r="BL42" s="217"/>
      <c r="BM42" s="217"/>
      <c r="BN42" s="217"/>
      <c r="BO42" s="217"/>
      <c r="BP42" s="217"/>
      <c r="BQ42" s="217"/>
      <c r="BR42" s="217"/>
      <c r="BS42" s="217"/>
      <c r="BT42" s="217"/>
      <c r="BU42" s="217"/>
      <c r="BV42" s="217"/>
      <c r="BW42" s="217"/>
      <c r="BX42" s="217"/>
      <c r="BY42" s="217"/>
      <c r="BZ42" s="217"/>
      <c r="CA42" s="217"/>
      <c r="CB42" s="217"/>
      <c r="CC42" s="217"/>
      <c r="CD42" s="217"/>
      <c r="CE42" s="217"/>
      <c r="CF42" s="217"/>
      <c r="CG42" s="217"/>
      <c r="CH42" s="218"/>
      <c r="CI42" s="56">
        <f>SUM(BE33)</f>
        <v>73.333333333333329</v>
      </c>
      <c r="CJ42" s="56"/>
      <c r="CK42" s="56"/>
      <c r="CL42" s="79"/>
      <c r="DU42" s="222" t="s">
        <v>246</v>
      </c>
      <c r="DV42" s="217"/>
      <c r="DW42" s="217"/>
      <c r="DX42" s="217"/>
      <c r="DY42" s="217"/>
      <c r="DZ42" s="217"/>
      <c r="EA42" s="217"/>
      <c r="EB42" s="217"/>
      <c r="EC42" s="217"/>
      <c r="ED42" s="217"/>
      <c r="EE42" s="217"/>
      <c r="EF42" s="217"/>
      <c r="EG42" s="217"/>
      <c r="EH42" s="217"/>
      <c r="EI42" s="217"/>
      <c r="EJ42" s="217"/>
      <c r="EK42" s="217"/>
      <c r="EL42" s="217"/>
      <c r="EM42" s="217"/>
      <c r="EN42" s="217"/>
      <c r="EO42" s="217"/>
      <c r="EP42" s="218"/>
      <c r="EQ42" s="78"/>
      <c r="ER42" s="78"/>
      <c r="ES42" s="7">
        <f>AVERAGE(ED33:EH33)</f>
        <v>74.000000000000014</v>
      </c>
    </row>
    <row r="43" spans="1:160" x14ac:dyDescent="0.35">
      <c r="A43" s="29">
        <v>7</v>
      </c>
      <c r="BG43" s="223"/>
      <c r="BH43" s="223"/>
      <c r="BI43" s="223"/>
      <c r="BJ43" s="223"/>
      <c r="BK43" s="223"/>
      <c r="BL43" s="223"/>
      <c r="BM43" s="223"/>
      <c r="BN43" s="223"/>
      <c r="BO43" s="223"/>
      <c r="BP43" s="223"/>
      <c r="BQ43" s="223"/>
      <c r="BR43" s="223"/>
      <c r="BS43" s="223"/>
      <c r="BT43" s="223"/>
      <c r="BU43" s="223"/>
      <c r="BV43" s="223"/>
      <c r="BW43" s="223"/>
      <c r="BX43" s="223"/>
      <c r="BY43" s="223"/>
      <c r="BZ43" s="223"/>
      <c r="CA43" s="223"/>
      <c r="CB43" s="223"/>
      <c r="CC43" s="223"/>
      <c r="CD43" s="223"/>
      <c r="CE43" s="223"/>
      <c r="CF43" s="223"/>
      <c r="CG43" s="223"/>
      <c r="CH43" s="224"/>
      <c r="CI43" s="56"/>
      <c r="CJ43" s="56">
        <f>SUM(BN33,BQ33)</f>
        <v>120</v>
      </c>
      <c r="CK43" s="56">
        <f>SUM(CC33,CH33)</f>
        <v>160</v>
      </c>
      <c r="CL43" s="79"/>
      <c r="DU43" s="216" t="s">
        <v>245</v>
      </c>
      <c r="DV43" s="217"/>
      <c r="DW43" s="217"/>
      <c r="DX43" s="217"/>
      <c r="DY43" s="217"/>
      <c r="DZ43" s="217"/>
      <c r="EA43" s="217"/>
      <c r="EB43" s="217"/>
      <c r="EC43" s="217"/>
      <c r="ED43" s="217"/>
      <c r="EE43" s="217"/>
      <c r="EF43" s="217"/>
      <c r="EG43" s="217"/>
      <c r="EH43" s="217"/>
      <c r="EI43" s="217"/>
      <c r="EJ43" s="217"/>
      <c r="EK43" s="217"/>
      <c r="EL43" s="217"/>
      <c r="EM43" s="217"/>
      <c r="EN43" s="217"/>
      <c r="EO43" s="217"/>
      <c r="EP43" s="218"/>
      <c r="EQ43" s="78"/>
      <c r="ER43" s="78"/>
      <c r="ES43" s="7">
        <f>AVERAGE(EI33:ER33)</f>
        <v>76</v>
      </c>
    </row>
    <row r="44" spans="1:160" ht="14.5" customHeight="1" x14ac:dyDescent="0.35">
      <c r="A44" s="29">
        <v>8</v>
      </c>
      <c r="BG44" s="217"/>
      <c r="BH44" s="217"/>
      <c r="BI44" s="217"/>
      <c r="BJ44" s="217"/>
      <c r="BK44" s="217"/>
      <c r="BL44" s="217"/>
      <c r="BM44" s="217"/>
      <c r="BN44" s="217"/>
      <c r="BO44" s="217"/>
      <c r="BP44" s="217"/>
      <c r="BQ44" s="217"/>
      <c r="BR44" s="217"/>
      <c r="BS44" s="217"/>
      <c r="BT44" s="217"/>
      <c r="BU44" s="217"/>
      <c r="BV44" s="217"/>
      <c r="BW44" s="217"/>
      <c r="BX44" s="217"/>
      <c r="BY44" s="217"/>
      <c r="BZ44" s="217"/>
      <c r="CA44" s="217"/>
      <c r="CB44" s="217"/>
      <c r="CC44" s="217"/>
      <c r="CD44" s="217"/>
      <c r="CE44" s="217"/>
      <c r="CF44" s="217"/>
      <c r="CG44" s="217"/>
      <c r="CH44" s="218"/>
      <c r="CI44" s="56">
        <f>SUM(BH33)</f>
        <v>63.333333333333336</v>
      </c>
      <c r="CJ44" s="56">
        <f>SUM(BU33)</f>
        <v>50</v>
      </c>
      <c r="CK44" s="56"/>
      <c r="CL44" s="79"/>
    </row>
    <row r="45" spans="1:160" x14ac:dyDescent="0.35">
      <c r="A45" s="29">
        <v>9</v>
      </c>
      <c r="BG45" s="217"/>
      <c r="BH45" s="217"/>
      <c r="BI45" s="217"/>
      <c r="BJ45" s="217"/>
      <c r="BK45" s="217"/>
      <c r="BL45" s="217"/>
      <c r="BM45" s="217"/>
      <c r="BN45" s="217"/>
      <c r="BO45" s="217"/>
      <c r="BP45" s="217"/>
      <c r="BQ45" s="217"/>
      <c r="BR45" s="217"/>
      <c r="BS45" s="217"/>
      <c r="BT45" s="217"/>
      <c r="BU45" s="217"/>
      <c r="BV45" s="217"/>
      <c r="BW45" s="217"/>
      <c r="BX45" s="217"/>
      <c r="BY45" s="217"/>
      <c r="BZ45" s="217"/>
      <c r="CA45" s="217"/>
      <c r="CB45" s="217"/>
      <c r="CC45" s="217"/>
      <c r="CD45" s="217"/>
      <c r="CE45" s="217"/>
      <c r="CF45" s="217"/>
      <c r="CG45" s="217"/>
      <c r="CH45" s="218"/>
      <c r="CI45" s="56"/>
      <c r="CJ45" s="56">
        <f>SUM(BS33,BT33,BX33)</f>
        <v>230</v>
      </c>
      <c r="CK45" s="56">
        <f>SUM(CJ33)</f>
        <v>66.666666666666671</v>
      </c>
      <c r="CL45" s="79"/>
    </row>
    <row r="46" spans="1:160" s="100" customFormat="1" x14ac:dyDescent="0.35">
      <c r="A46" s="99" t="s">
        <v>348</v>
      </c>
      <c r="AB46" s="103"/>
      <c r="AC46" s="103"/>
      <c r="BC46" s="101"/>
      <c r="BD46" s="101"/>
      <c r="BJ46" s="109"/>
      <c r="BK46" s="109"/>
      <c r="BY46" s="112"/>
      <c r="BZ46" s="112"/>
      <c r="CK46" s="116"/>
      <c r="CL46" s="116"/>
      <c r="CN46" s="121"/>
      <c r="CO46" s="121"/>
      <c r="ES46" s="124"/>
      <c r="ET46" s="124"/>
    </row>
    <row r="47" spans="1:160" s="104" customFormat="1" x14ac:dyDescent="0.35">
      <c r="AB47" s="107"/>
      <c r="AC47" s="107"/>
      <c r="BC47" s="105"/>
      <c r="BD47" s="105"/>
      <c r="BJ47" s="110"/>
      <c r="BK47" s="110"/>
      <c r="BY47" s="113"/>
      <c r="BZ47" s="113"/>
      <c r="CK47" s="117"/>
      <c r="CL47" s="117"/>
      <c r="CN47" s="122"/>
      <c r="CO47" s="122"/>
      <c r="ES47" s="125"/>
      <c r="ET47" s="125"/>
    </row>
  </sheetData>
  <sortState columnSort="1" ref="BY1:CJ105">
    <sortCondition sortBy="cellColor" ref="BZ1:CJ1" dxfId="61"/>
  </sortState>
  <mergeCells count="26">
    <mergeCell ref="BG37:CH37"/>
    <mergeCell ref="BG38:CH38"/>
    <mergeCell ref="BG39:CH39"/>
    <mergeCell ref="BG40:CH40"/>
    <mergeCell ref="BG41:CH41"/>
    <mergeCell ref="BG42:CH42"/>
    <mergeCell ref="BG43:CH43"/>
    <mergeCell ref="BG44:CH44"/>
    <mergeCell ref="BG45:CH45"/>
    <mergeCell ref="D42:AA42"/>
    <mergeCell ref="D40:AA40"/>
    <mergeCell ref="D41:AA41"/>
    <mergeCell ref="AE42:BB42"/>
    <mergeCell ref="DU43:EP43"/>
    <mergeCell ref="DU37:EP37"/>
    <mergeCell ref="DU38:EP38"/>
    <mergeCell ref="DU39:EP39"/>
    <mergeCell ref="DU40:EP40"/>
    <mergeCell ref="DU41:EP41"/>
    <mergeCell ref="DU42:EP42"/>
    <mergeCell ref="AE37:BB37"/>
    <mergeCell ref="AE38:BB38"/>
    <mergeCell ref="AE39:BB39"/>
    <mergeCell ref="D37:AA37"/>
    <mergeCell ref="D38:AA38"/>
    <mergeCell ref="D39:AA39"/>
  </mergeCells>
  <conditionalFormatting sqref="C34:ET34">
    <cfRule type="containsText" dxfId="21" priority="7" operator="containsText" text="I">
      <formula>NOT(ISERROR(SEARCH("I",C34)))</formula>
    </cfRule>
    <cfRule type="containsText" dxfId="20" priority="8" operator="containsText" text="M">
      <formula>NOT(ISERROR(SEARCH("M",C34)))</formula>
    </cfRule>
    <cfRule type="containsText" dxfId="19" priority="9" operator="containsText" text="S">
      <formula>NOT(ISERROR(SEARCH("S",C34)))</formula>
    </cfRule>
    <cfRule type="containsText" dxfId="18" priority="10" operator="containsText" text="A">
      <formula>NOT(ISERROR(SEARCH("A",C34)))</formula>
    </cfRule>
  </conditionalFormatting>
  <conditionalFormatting sqref="ES37:ES43">
    <cfRule type="cellIs" dxfId="17" priority="3" operator="between">
      <formula>69</formula>
      <formula>101</formula>
    </cfRule>
    <cfRule type="cellIs" dxfId="16" priority="4" operator="between">
      <formula>39</formula>
      <formula>70</formula>
    </cfRule>
    <cfRule type="cellIs" dxfId="15" priority="5" operator="between">
      <formula>39</formula>
      <formula>70</formula>
    </cfRule>
    <cfRule type="cellIs" dxfId="14" priority="6" operator="lessThan">
      <formula>40</formula>
    </cfRule>
  </conditionalFormatting>
  <conditionalFormatting sqref="ES38">
    <cfRule type="cellIs" dxfId="13" priority="1" operator="lessThan">
      <formula>18</formula>
    </cfRule>
    <cfRule type="cellIs" dxfId="12" priority="2" operator="lessThan">
      <formula>17</formula>
    </cfRule>
  </conditionalFormatting>
  <pageMargins left="0.7" right="0.7" top="0.75" bottom="0.75" header="0.3" footer="0.3"/>
  <pageSetup orientation="portrait" horizontalDpi="30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N215"/>
  <sheetViews>
    <sheetView tabSelected="1" zoomScaleNormal="100" workbookViewId="0">
      <selection activeCell="A33" sqref="A33:XFD216"/>
    </sheetView>
  </sheetViews>
  <sheetFormatPr baseColWidth="10" defaultRowHeight="14.5" x14ac:dyDescent="0.35"/>
  <cols>
    <col min="1" max="1" width="2.08984375" customWidth="1"/>
    <col min="2" max="2" width="10.1796875" customWidth="1"/>
    <col min="3" max="3" width="42" customWidth="1"/>
    <col min="4" max="4" width="11.81640625" customWidth="1"/>
    <col min="5" max="5" width="8.6328125" customWidth="1"/>
    <col min="6" max="6" width="9" customWidth="1"/>
    <col min="7" max="7" width="8" customWidth="1"/>
    <col min="8" max="8" width="9.08984375" customWidth="1"/>
    <col min="9" max="9" width="8.6328125" customWidth="1"/>
    <col min="10" max="10" width="8.1796875" customWidth="1"/>
    <col min="11" max="11" width="7.54296875" customWidth="1"/>
    <col min="12" max="12" width="8.81640625" customWidth="1"/>
    <col min="13" max="13" width="7.6328125" customWidth="1"/>
    <col min="14" max="14" width="8.1796875" customWidth="1"/>
  </cols>
  <sheetData>
    <row r="2" spans="2:14" ht="68.5" thickBot="1" x14ac:dyDescent="0.4">
      <c r="B2" s="81" t="s">
        <v>124</v>
      </c>
      <c r="C2" s="82" t="s">
        <v>125</v>
      </c>
      <c r="D2" s="83" t="s">
        <v>126</v>
      </c>
      <c r="E2" s="83" t="s">
        <v>127</v>
      </c>
      <c r="F2" s="84" t="s">
        <v>128</v>
      </c>
      <c r="G2" s="85" t="s">
        <v>308</v>
      </c>
      <c r="H2" s="86" t="s">
        <v>129</v>
      </c>
      <c r="I2" s="87" t="s">
        <v>130</v>
      </c>
      <c r="J2" s="88" t="s">
        <v>134</v>
      </c>
      <c r="K2" s="89" t="s">
        <v>135</v>
      </c>
      <c r="L2" s="90" t="s">
        <v>136</v>
      </c>
      <c r="M2" s="91" t="s">
        <v>137</v>
      </c>
      <c r="N2" s="92" t="s">
        <v>131</v>
      </c>
    </row>
    <row r="3" spans="2:14" ht="15" thickBot="1" x14ac:dyDescent="0.4">
      <c r="B3" s="80">
        <f>in!E2</f>
        <v>5702</v>
      </c>
      <c r="C3" s="8" t="str">
        <f>SESION2!A2</f>
        <v>AGRESOT SUAREZ DIEGO ALEJANDRO</v>
      </c>
      <c r="D3" s="9">
        <f>((F3*3+G3*3+H3*3+I3*3+N3)/13)*5</f>
        <v>371.36548901056881</v>
      </c>
      <c r="E3" s="9" t="str">
        <f>IF(D3&lt;=187,"I",IF(D3&lt;=264,"M",IF(D3&lt;=344,"S","A")))</f>
        <v>A</v>
      </c>
      <c r="F3" s="10">
        <f>SESION1!BT2</f>
        <v>75.609756097560975</v>
      </c>
      <c r="G3" s="10">
        <f>((SESION1!AB2+SESION2!BC2)/50)*100</f>
        <v>74</v>
      </c>
      <c r="H3" s="10">
        <f>((SESION1!CT2+SESION2!AB2)/50)*100</f>
        <v>72</v>
      </c>
      <c r="I3" s="10">
        <f>((SESION1!DH2+SESION1!DP2+SESION1!DZ2+SESION1!EE2+SESION2!BJ2+SESION2!BY2+SESION2!CK2+SESION2!CN2)/58)*100</f>
        <v>84.482758620689651</v>
      </c>
      <c r="J3" s="10">
        <f>((SESION1!DH2+SESION2!BJ2)/(COUNT(SESION1!CV2:DG2)+COUNT(SESION2!BE2:BI2)))*100</f>
        <v>94.117647058823522</v>
      </c>
      <c r="K3" s="10">
        <f>((SESION1!DP2+SESION2!BY2)/(COUNT(SESION1!DJ2:DO2)+COUNT(SESION2!BL2:BX2)))*100</f>
        <v>94.73684210526315</v>
      </c>
      <c r="L3" s="10">
        <f>((SESION1!DZ2+SESION2!CK2)/(COUNT(SESION1!DR2:DY2)+COUNT(SESION2!CA2:CJ2)))*100</f>
        <v>61.111111111111114</v>
      </c>
      <c r="M3" s="10">
        <f>((SESION1!EE2+SESION2!CN2)/(COUNT(SESION1!EB2:ED2)+COUNT(SESION2!CM2)))*100</f>
        <v>100</v>
      </c>
      <c r="N3" s="10">
        <f>SESION2!ET2</f>
        <v>47.272727272727273</v>
      </c>
    </row>
    <row r="4" spans="2:14" ht="15" thickBot="1" x14ac:dyDescent="0.4">
      <c r="B4" s="80">
        <f>in!E3</f>
        <v>5704</v>
      </c>
      <c r="C4" s="8" t="str">
        <f>SESION2!A3</f>
        <v>BRAVO FLOREZ MIGUEL ANDRES</v>
      </c>
      <c r="D4" s="9">
        <f>((F4*3+G4*3+H4*3+I4*3+N4)/13)*5</f>
        <v>167.07799349515079</v>
      </c>
      <c r="E4" s="9" t="str">
        <f>IF(D4&lt;=187,"I",IF(D4&lt;=264,"M",IF(D4&lt;=344,"S","A")))</f>
        <v>I</v>
      </c>
      <c r="F4" s="10">
        <f>SESION1!BT3</f>
        <v>41.463414634146339</v>
      </c>
      <c r="G4" s="10">
        <f>((SESION1!AB3+SESION2!BC3)/50)*100</f>
        <v>42</v>
      </c>
      <c r="H4" s="10">
        <f>((SESION1!CT3+SESION2!AB3)/50)*100</f>
        <v>20</v>
      </c>
      <c r="I4" s="10">
        <f>((SESION1!DH3+SESION1!DP3+SESION1!DZ3+SESION1!EE3+SESION2!BJ3+SESION2!BY3+SESION2!CK3+SESION2!CN3)/58)*100</f>
        <v>31.03448275862069</v>
      </c>
      <c r="J4" s="10">
        <f>((SESION1!DH3+SESION2!BJ3)/(COUNT(SESION1!CV3:DG3)+COUNT(SESION2!BE3:BI3)))*100</f>
        <v>29.411764705882355</v>
      </c>
      <c r="K4" s="10">
        <f>((SESION1!DP3+SESION2!BY3)/(COUNT(SESION1!DJ3:DO3)+COUNT(SESION2!BL3:BX3)))*100</f>
        <v>36.84210526315789</v>
      </c>
      <c r="L4" s="10">
        <f>((SESION1!DZ3+SESION2!CK3)/(COUNT(SESION1!DR3:DY3)+COUNT(SESION2!CA3:CJ3)))*100</f>
        <v>22.222222222222221</v>
      </c>
      <c r="M4" s="10">
        <f>((SESION1!EE3+SESION2!CN3)/(COUNT(SESION1!EB3:ED3)+COUNT(SESION2!CM3)))*100</f>
        <v>50</v>
      </c>
      <c r="N4" s="10">
        <f>SESION2!ET3</f>
        <v>30.90909090909091</v>
      </c>
    </row>
    <row r="5" spans="2:14" ht="15" thickBot="1" x14ac:dyDescent="0.4">
      <c r="B5" s="80">
        <f>in!E4</f>
        <v>5705</v>
      </c>
      <c r="C5" s="8" t="str">
        <f>SESION2!A4</f>
        <v>CALDERA CALVO MARIA ALEJANDRA</v>
      </c>
      <c r="D5" s="9">
        <f>((F5*3+G5*3+H5*3+I5*3+N5)/13)*5</f>
        <v>222.98864298023256</v>
      </c>
      <c r="E5" s="9" t="str">
        <f>IF(D5&lt;=187,"I",IF(D5&lt;=264,"M",IF(D5&lt;=344,"S","A")))</f>
        <v>M</v>
      </c>
      <c r="F5" s="10">
        <f>SESION1!BT4</f>
        <v>46.341463414634148</v>
      </c>
      <c r="G5" s="10">
        <f>((SESION1!AB4+SESION2!BC4)/50)*100</f>
        <v>40</v>
      </c>
      <c r="H5" s="10">
        <f>((SESION1!CT4+SESION2!AB4)/50)*100</f>
        <v>44</v>
      </c>
      <c r="I5" s="10">
        <f>((SESION1!DH4+SESION1!DP4+SESION1!DZ4+SESION1!EE4+SESION2!BJ4+SESION2!BY4+SESION2!CK4+SESION2!CN4)/58)*100</f>
        <v>46.551724137931032</v>
      </c>
      <c r="J5" s="10">
        <f>((SESION1!DH4+SESION2!BJ4)/(COUNT(SESION1!CV4:DG4)+COUNT(SESION2!BE4:BI4)))*100</f>
        <v>23.52941176470588</v>
      </c>
      <c r="K5" s="10">
        <f>((SESION1!DP4+SESION2!BY4)/(COUNT(SESION1!DJ4:DO4)+COUNT(SESION2!BL4:BX4)))*100</f>
        <v>68.421052631578945</v>
      </c>
      <c r="L5" s="10">
        <f>((SESION1!DZ4+SESION2!CK4)/(COUNT(SESION1!DR4:DY4)+COUNT(SESION2!CA4:CJ4)))*100</f>
        <v>38.888888888888893</v>
      </c>
      <c r="M5" s="10">
        <f>((SESION1!EE4+SESION2!CN4)/(COUNT(SESION1!EB4:ED4)+COUNT(SESION2!CM4)))*100</f>
        <v>75</v>
      </c>
      <c r="N5" s="10">
        <f>SESION2!ET4</f>
        <v>49.090909090909093</v>
      </c>
    </row>
    <row r="6" spans="2:14" ht="15" thickBot="1" x14ac:dyDescent="0.4">
      <c r="B6" s="80">
        <f>in!E5</f>
        <v>5706</v>
      </c>
      <c r="C6" s="8" t="str">
        <f>SESION2!A5</f>
        <v>CARVAJAL MIRANDA YOELIS MARIA</v>
      </c>
      <c r="D6" s="9">
        <f>((F6*3+G6*3+H6*3+I6*3+N6)/13)*5</f>
        <v>183.35705505596169</v>
      </c>
      <c r="E6" s="9" t="str">
        <f>IF(D6&lt;=187,"I",IF(D6&lt;=264,"M",IF(D6&lt;=344,"S","A")))</f>
        <v>I</v>
      </c>
      <c r="F6" s="10">
        <f>SESION1!BT5</f>
        <v>39.024390243902438</v>
      </c>
      <c r="G6" s="10">
        <f>((SESION1!AB5+SESION2!BC5)/50)*100</f>
        <v>24</v>
      </c>
      <c r="H6" s="10">
        <f>((SESION1!CT5+SESION2!AB5)/50)*100</f>
        <v>36</v>
      </c>
      <c r="I6" s="10">
        <f>((SESION1!DH5+SESION1!DP5+SESION1!DZ5+SESION1!EE5+SESION2!BJ5+SESION2!BY5+SESION2!CK5+SESION2!CN5)/58)*100</f>
        <v>46.551724137931032</v>
      </c>
      <c r="J6" s="10">
        <f>((SESION1!DH5+SESION2!BJ5)/(COUNT(SESION1!CV5:DG5)+COUNT(SESION2!BE5:BI5)))*100</f>
        <v>35.294117647058826</v>
      </c>
      <c r="K6" s="10">
        <f>((SESION1!DP5+SESION2!BY5)/(COUNT(SESION1!DJ5:DO5)+COUNT(SESION2!BL5:BX5)))*100</f>
        <v>47.368421052631575</v>
      </c>
      <c r="L6" s="10">
        <f>((SESION1!DZ5+SESION2!CK5)/(COUNT(SESION1!DR5:DY5)+COUNT(SESION2!CA5:CJ5)))*100</f>
        <v>55.555555555555557</v>
      </c>
      <c r="M6" s="10">
        <f>((SESION1!EE5+SESION2!CN5)/(COUNT(SESION1!EB5:ED5)+COUNT(SESION2!CM5)))*100</f>
        <v>50</v>
      </c>
      <c r="N6" s="10">
        <f>SESION2!ET5</f>
        <v>40</v>
      </c>
    </row>
    <row r="7" spans="2:14" ht="15" thickBot="1" x14ac:dyDescent="0.4">
      <c r="B7" s="80">
        <f>in!E6</f>
        <v>5707</v>
      </c>
      <c r="C7" s="8" t="str">
        <f>SESION2!A6</f>
        <v>DIAZ DONADO ROSA ANDREA</v>
      </c>
      <c r="D7" s="9">
        <f>((F7*3+G7*3+H7*3+I7*3+N7)/13)*5</f>
        <v>198.66332994171515</v>
      </c>
      <c r="E7" s="9" t="str">
        <f>IF(D7&lt;=187,"I",IF(D7&lt;=264,"M",IF(D7&lt;=344,"S","A")))</f>
        <v>M</v>
      </c>
      <c r="F7" s="10">
        <f>SESION1!BT6</f>
        <v>56.097560975609753</v>
      </c>
      <c r="G7" s="10">
        <f>((SESION1!AB6+SESION2!BC6)/50)*100</f>
        <v>42</v>
      </c>
      <c r="H7" s="10">
        <f>((SESION1!CT6+SESION2!AB6)/50)*100</f>
        <v>36</v>
      </c>
      <c r="I7" s="10">
        <f>((SESION1!DH6+SESION1!DP6+SESION1!DZ6+SESION1!EE6+SESION2!BJ6+SESION2!BY6+SESION2!CK6+SESION2!CN6)/58)*100</f>
        <v>24.137931034482758</v>
      </c>
      <c r="J7" s="10">
        <f>((SESION1!DH6+SESION2!BJ6)/(COUNT(SESION1!CV6:DG6)+COUNT(SESION2!BE6:BI6)))*100</f>
        <v>29.411764705882355</v>
      </c>
      <c r="K7" s="10">
        <f>((SESION1!DP6+SESION2!BY6)/(COUNT(SESION1!DJ6:DO6)+COUNT(SESION2!BL6:BX6)))*100</f>
        <v>31.578947368421051</v>
      </c>
      <c r="L7" s="10">
        <f>((SESION1!DZ6+SESION2!CK6)/(COUNT(SESION1!DR6:DY6)+COUNT(SESION2!CA6:CJ6)))*100</f>
        <v>16.666666666666664</v>
      </c>
      <c r="M7" s="10">
        <f>((SESION1!EE6+SESION2!CN6)/(COUNT(SESION1!EB6:ED6)+COUNT(SESION2!CM6)))*100</f>
        <v>0</v>
      </c>
      <c r="N7" s="10">
        <f>SESION2!ET6</f>
        <v>41.81818181818182</v>
      </c>
    </row>
    <row r="8" spans="2:14" ht="15" thickBot="1" x14ac:dyDescent="0.4">
      <c r="B8" s="80">
        <f>in!E7</f>
        <v>5708</v>
      </c>
      <c r="C8" s="8" t="str">
        <f>SESION2!A7</f>
        <v>DIAZ MARTINEZ DINA MARCELA</v>
      </c>
      <c r="D8" s="9">
        <f>((F8*3+G8*3+H8*3+I8*3+N8)/13)*5</f>
        <v>187.78435189705164</v>
      </c>
      <c r="E8" s="9" t="str">
        <f>IF(D8&lt;=187,"I",IF(D8&lt;=264,"M",IF(D8&lt;=344,"S","A")))</f>
        <v>M</v>
      </c>
      <c r="F8" s="10">
        <f>SESION1!BT7</f>
        <v>39.024390243902438</v>
      </c>
      <c r="G8" s="10">
        <f>((SESION1!AB7+SESION2!BC7)/50)*100</f>
        <v>30</v>
      </c>
      <c r="H8" s="10">
        <f>((SESION1!CT7+SESION2!AB7)/50)*100</f>
        <v>46</v>
      </c>
      <c r="I8" s="10">
        <f>((SESION1!DH7+SESION1!DP7+SESION1!DZ7+SESION1!EE7+SESION2!BJ7+SESION2!BY7+SESION2!CK7+SESION2!CN7)/58)*100</f>
        <v>36.206896551724135</v>
      </c>
      <c r="J8" s="10">
        <f>((SESION1!DH7+SESION2!BJ7)/(COUNT(SESION1!CV7:DG7)+COUNT(SESION2!BE7:BI7)))*100</f>
        <v>35.294117647058826</v>
      </c>
      <c r="K8" s="10">
        <f>((SESION1!DP7+SESION2!BY7)/(COUNT(SESION1!DJ7:DO7)+COUNT(SESION2!BL7:BX7)))*100</f>
        <v>31.578947368421051</v>
      </c>
      <c r="L8" s="10">
        <f>((SESION1!DZ7+SESION2!CK7)/(COUNT(SESION1!DR7:DY7)+COUNT(SESION2!CA7:CJ7)))*100</f>
        <v>38.888888888888893</v>
      </c>
      <c r="M8" s="10">
        <f>((SESION1!EE7+SESION2!CN7)/(COUNT(SESION1!EB7:ED7)+COUNT(SESION2!CM7)))*100</f>
        <v>50</v>
      </c>
      <c r="N8" s="10">
        <f>SESION2!ET7</f>
        <v>34.545454545454547</v>
      </c>
    </row>
    <row r="9" spans="2:14" ht="15" thickBot="1" x14ac:dyDescent="0.4">
      <c r="B9" s="80">
        <f>in!E8</f>
        <v>5709</v>
      </c>
      <c r="C9" s="8" t="str">
        <f>SESION2!A8</f>
        <v>LAGARES PEREZ OVIER ANTONIO</v>
      </c>
      <c r="D9" s="9">
        <f>((F9*3+G9*3+H9*3+I9*3+N9)/13)*5</f>
        <v>220.06157845518655</v>
      </c>
      <c r="E9" s="9" t="str">
        <f>IF(D9&lt;=187,"I",IF(D9&lt;=264,"M",IF(D9&lt;=344,"S","A")))</f>
        <v>M</v>
      </c>
      <c r="F9" s="10">
        <f>SESION1!BT8</f>
        <v>51.219512195121951</v>
      </c>
      <c r="G9" s="10">
        <f>((SESION1!AB8+SESION2!BC8)/50)*100</f>
        <v>44</v>
      </c>
      <c r="H9" s="10">
        <f>((SESION1!CT8+SESION2!AB8)/50)*100</f>
        <v>42</v>
      </c>
      <c r="I9" s="10">
        <f>((SESION1!DH8+SESION1!DP8+SESION1!DZ8+SESION1!EE8+SESION2!BJ8+SESION2!BY8+SESION2!CK8+SESION2!CN8)/58)*100</f>
        <v>41.379310344827587</v>
      </c>
      <c r="J9" s="10">
        <f>((SESION1!DH8+SESION2!BJ8)/(COUNT(SESION1!CV8:DG8)+COUNT(SESION2!BE8:BI8)))*100</f>
        <v>41.17647058823529</v>
      </c>
      <c r="K9" s="10">
        <f>((SESION1!DP8+SESION2!BY8)/(COUNT(SESION1!DJ8:DO8)+COUNT(SESION2!BL8:BX8)))*100</f>
        <v>42.105263157894733</v>
      </c>
      <c r="L9" s="10">
        <f>((SESION1!DZ8+SESION2!CK8)/(COUNT(SESION1!DR8:DY8)+COUNT(SESION2!CA8:CJ8)))*100</f>
        <v>38.888888888888893</v>
      </c>
      <c r="M9" s="10">
        <f>((SESION1!EE8+SESION2!CN8)/(COUNT(SESION1!EB8:ED8)+COUNT(SESION2!CM8)))*100</f>
        <v>50</v>
      </c>
      <c r="N9" s="10">
        <f>SESION2!ET8</f>
        <v>36.363636363636367</v>
      </c>
    </row>
    <row r="10" spans="2:14" ht="15" thickBot="1" x14ac:dyDescent="0.4">
      <c r="B10" s="80">
        <f>in!E9</f>
        <v>5711</v>
      </c>
      <c r="C10" s="8" t="str">
        <f>SESION2!A9</f>
        <v xml:space="preserve">SANTANA RAMOS EUSEBIO </v>
      </c>
      <c r="D10" s="9">
        <f>((F10*3+G10*3+H10*3+I10*3+N10)/13)*5</f>
        <v>234.82923300416991</v>
      </c>
      <c r="E10" s="9" t="str">
        <f>IF(D10&lt;=187,"I",IF(D10&lt;=264,"M",IF(D10&lt;=344,"S","A")))</f>
        <v>M</v>
      </c>
      <c r="F10" s="10">
        <f>SESION1!BT9</f>
        <v>56.097560975609753</v>
      </c>
      <c r="G10" s="10">
        <f>((SESION1!AB9+SESION2!BC9)/50)*100</f>
        <v>36</v>
      </c>
      <c r="H10" s="10">
        <f>((SESION1!CT9+SESION2!AB9)/50)*100</f>
        <v>50</v>
      </c>
      <c r="I10" s="10">
        <f>((SESION1!DH9+SESION1!DP9+SESION1!DZ9+SESION1!EE9+SESION2!BJ9+SESION2!BY9+SESION2!CK9+SESION2!CN9)/58)*100</f>
        <v>51.724137931034484</v>
      </c>
      <c r="J10" s="10">
        <f>((SESION1!DH9+SESION2!BJ9)/(COUNT(SESION1!CV9:DG9)+COUNT(SESION2!BE9:BI9)))*100</f>
        <v>41.17647058823529</v>
      </c>
      <c r="K10" s="10">
        <f>((SESION1!DP9+SESION2!BY9)/(COUNT(SESION1!DJ9:DO9)+COUNT(SESION2!BL9:BX9)))*100</f>
        <v>63.157894736842103</v>
      </c>
      <c r="L10" s="10">
        <f>((SESION1!DZ9+SESION2!CK9)/(COUNT(SESION1!DR9:DY9)+COUNT(SESION2!CA9:CJ9)))*100</f>
        <v>44.444444444444443</v>
      </c>
      <c r="M10" s="10">
        <f>((SESION1!EE9+SESION2!CN9)/(COUNT(SESION1!EB9:ED9)+COUNT(SESION2!CM9)))*100</f>
        <v>75</v>
      </c>
      <c r="N10" s="10">
        <f>SESION2!ET9</f>
        <v>29.09090909090909</v>
      </c>
    </row>
    <row r="11" spans="2:14" ht="15" thickBot="1" x14ac:dyDescent="0.4">
      <c r="B11" s="80">
        <f>in!E10</f>
        <v>5712</v>
      </c>
      <c r="C11" s="8" t="str">
        <f>SESION2!A10</f>
        <v xml:space="preserve">TRIVIÑO AYALA JONATHAN </v>
      </c>
      <c r="D11" s="9">
        <f>((F11*3+G11*3+H11*3+I11*3+N11)/13)*5</f>
        <v>208.58581284148985</v>
      </c>
      <c r="E11" s="9" t="str">
        <f>IF(D11&lt;=187,"I",IF(D11&lt;=264,"M",IF(D11&lt;=344,"S","A")))</f>
        <v>M</v>
      </c>
      <c r="F11" s="10">
        <f>SESION1!BT10</f>
        <v>51.219512195121951</v>
      </c>
      <c r="G11" s="10">
        <f>((SESION1!AB10+SESION2!BC10)/50)*100</f>
        <v>38</v>
      </c>
      <c r="H11" s="10">
        <f>((SESION1!CT10+SESION2!AB10)/50)*100</f>
        <v>34</v>
      </c>
      <c r="I11" s="10">
        <f>((SESION1!DH10+SESION1!DP10+SESION1!DZ10+SESION1!EE10+SESION2!BJ10+SESION2!BY10+SESION2!CK10+SESION2!CN10)/58)*100</f>
        <v>44.827586206896555</v>
      </c>
      <c r="J11" s="10">
        <f>((SESION1!DH10+SESION2!BJ10)/(COUNT(SESION1!CV10:DG10)+COUNT(SESION2!BE10:BI10)))*100</f>
        <v>58.82352941176471</v>
      </c>
      <c r="K11" s="10">
        <f>((SESION1!DP10+SESION2!BY10)/(COUNT(SESION1!DJ10:DO10)+COUNT(SESION2!BL10:BX10)))*100</f>
        <v>36.84210526315789</v>
      </c>
      <c r="L11" s="10">
        <f>((SESION1!DZ10+SESION2!CK10)/(COUNT(SESION1!DR10:DY10)+COUNT(SESION2!CA10:CJ10)))*100</f>
        <v>33.333333333333329</v>
      </c>
      <c r="M11" s="10">
        <f>((SESION1!EE10+SESION2!CN10)/(COUNT(SESION1!EB10:ED10)+COUNT(SESION2!CM10)))*100</f>
        <v>75</v>
      </c>
      <c r="N11" s="10">
        <f>SESION2!ET10</f>
        <v>38.18181818181818</v>
      </c>
    </row>
    <row r="12" spans="2:14" ht="15" thickBot="1" x14ac:dyDescent="0.4">
      <c r="B12" s="80">
        <f>in!E11</f>
        <v>5713</v>
      </c>
      <c r="C12" s="8" t="str">
        <f>SESION2!A11</f>
        <v>VELASQUEZ GANOT MARIA JOSE</v>
      </c>
      <c r="D12" s="9">
        <f>((F12*3+G12*3+H12*3+I12*3+N12)/13)*5</f>
        <v>193.24889576361403</v>
      </c>
      <c r="E12" s="9" t="str">
        <f>IF(D12&lt;=187,"I",IF(D12&lt;=264,"M",IF(D12&lt;=344,"S","A")))</f>
        <v>M</v>
      </c>
      <c r="F12" s="10">
        <f>SESION1!BT11</f>
        <v>43.902439024390247</v>
      </c>
      <c r="G12" s="10">
        <f>((SESION1!AB11+SESION2!BC11)/50)*100</f>
        <v>40</v>
      </c>
      <c r="H12" s="10">
        <f>((SESION1!CT11+SESION2!AB11)/50)*100</f>
        <v>38</v>
      </c>
      <c r="I12" s="10">
        <f>((SESION1!DH11+SESION1!DP11+SESION1!DZ11+SESION1!EE11+SESION2!BJ11+SESION2!BY11+SESION2!CK11+SESION2!CN11)/58)*100</f>
        <v>31.03448275862069</v>
      </c>
      <c r="J12" s="10">
        <f>((SESION1!DH11+SESION2!BJ11)/(COUNT(SESION1!CV11:DG11)+COUNT(SESION2!BE11:BI11)))*100</f>
        <v>29.411764705882355</v>
      </c>
      <c r="K12" s="10">
        <f>((SESION1!DP11+SESION2!BY11)/(COUNT(SESION1!DJ11:DO11)+COUNT(SESION2!BL11:BX11)))*100</f>
        <v>36.84210526315789</v>
      </c>
      <c r="L12" s="10">
        <f>((SESION1!DZ11+SESION2!CK11)/(COUNT(SESION1!DR11:DY11)+COUNT(SESION2!CA11:CJ11)))*100</f>
        <v>27.777777777777779</v>
      </c>
      <c r="M12" s="10">
        <f>((SESION1!EE11+SESION2!CN11)/(COUNT(SESION1!EB11:ED11)+COUNT(SESION2!CM11)))*100</f>
        <v>25</v>
      </c>
      <c r="N12" s="10">
        <f>SESION2!ET11</f>
        <v>43.636363636363633</v>
      </c>
    </row>
    <row r="13" spans="2:14" ht="15" thickBot="1" x14ac:dyDescent="0.4">
      <c r="B13" s="80">
        <f>in!E12</f>
        <v>5714</v>
      </c>
      <c r="C13" s="8" t="str">
        <f>SESION2!A12</f>
        <v>ZARZA BARRAGAN JOHAN SEBASTIAN</v>
      </c>
      <c r="D13" s="9">
        <f>((F13*3+G13*3+H13*3+I13*3+N13)/13)*5</f>
        <v>158.57234439236123</v>
      </c>
      <c r="E13" s="9" t="str">
        <f>IF(D13&lt;=187,"I",IF(D13&lt;=264,"M",IF(D13&lt;=344,"S","A")))</f>
        <v>I</v>
      </c>
      <c r="F13" s="10">
        <f>SESION1!BT12</f>
        <v>31.707317073170731</v>
      </c>
      <c r="G13" s="10">
        <f>((SESION1!AB12+SESION2!BC12)/50)*100</f>
        <v>32</v>
      </c>
      <c r="H13" s="10">
        <f>((SESION1!CT12+SESION2!AB12)/50)*100</f>
        <v>26</v>
      </c>
      <c r="I13" s="10">
        <f>((SESION1!DH12+SESION1!DP12+SESION1!DZ12+SESION1!EE12+SESION2!BJ12+SESION2!BY12+SESION2!CK12+SESION2!CN12)/58)*100</f>
        <v>36.206896551724135</v>
      </c>
      <c r="J13" s="10">
        <f>((SESION1!DH12+SESION2!BJ12)/(COUNT(SESION1!CV12:DG12)+COUNT(SESION2!BE12:BI12)))*100</f>
        <v>35.294117647058826</v>
      </c>
      <c r="K13" s="10">
        <f>((SESION1!DP12+SESION2!BY12)/(COUNT(SESION1!DJ12:DO12)+COUNT(SESION2!BL12:BX12)))*100</f>
        <v>36.84210526315789</v>
      </c>
      <c r="L13" s="10">
        <f>((SESION1!DZ12+SESION2!CK12)/(COUNT(SESION1!DR12:DY12)+COUNT(SESION2!CA12:CJ12)))*100</f>
        <v>22.222222222222221</v>
      </c>
      <c r="M13" s="10">
        <f>((SESION1!EE12+SESION2!CN12)/(COUNT(SESION1!EB12:ED12)+COUNT(SESION2!CM12)))*100</f>
        <v>100</v>
      </c>
      <c r="N13" s="10">
        <f>SESION2!ET12</f>
        <v>34.545454545454547</v>
      </c>
    </row>
    <row r="14" spans="2:14" ht="15" thickBot="1" x14ac:dyDescent="0.4">
      <c r="B14" s="80">
        <f>in!E13</f>
        <v>5801</v>
      </c>
      <c r="C14" s="8" t="str">
        <f>SESION2!A13</f>
        <v xml:space="preserve">BENITEZ GALINDO SAMUEL DAVID  </v>
      </c>
      <c r="D14" s="9">
        <f>((F14*3+G14*3+H14*3+I14*3+N14)/13)*5</f>
        <v>142.92524128520765</v>
      </c>
      <c r="E14" s="9" t="str">
        <f>IF(D14&lt;=187,"I",IF(D14&lt;=264,"M",IF(D14&lt;=344,"S","A")))</f>
        <v>I</v>
      </c>
      <c r="F14" s="10">
        <f>SESION1!BT13</f>
        <v>36.585365853658537</v>
      </c>
      <c r="G14" s="10">
        <f>((SESION1!AB13+SESION2!BC13)/50)*100</f>
        <v>26</v>
      </c>
      <c r="H14" s="10">
        <f>((SESION1!CT13+SESION2!AB13)/50)*100</f>
        <v>24</v>
      </c>
      <c r="I14" s="10">
        <f>((SESION1!DH13+SESION1!DP13+SESION1!DZ13+SESION1!EE13+SESION2!BJ13+SESION2!BY13+SESION2!CK13+SESION2!CN13)/58)*100</f>
        <v>27.586206896551722</v>
      </c>
      <c r="J14" s="10">
        <f>((SESION1!DH13+SESION2!BJ13)/(COUNT(SESION1!CV13:DG13)+COUNT(SESION2!BE13:BI13)))*100</f>
        <v>29.411764705882355</v>
      </c>
      <c r="K14" s="10">
        <f>((SESION1!DP13+SESION2!BY13)/(COUNT(SESION1!DJ13:DO13)+COUNT(SESION2!BL13:BX13)))*100</f>
        <v>36.84210526315789</v>
      </c>
      <c r="L14" s="10">
        <f>((SESION1!DZ13+SESION2!CK13)/(COUNT(SESION1!DR13:DY13)+COUNT(SESION2!CA13:CJ13)))*100</f>
        <v>11.111111111111111</v>
      </c>
      <c r="M14" s="10">
        <f>((SESION1!EE13+SESION2!CN13)/(COUNT(SESION1!EB13:ED13)+COUNT(SESION2!CM13)))*100</f>
        <v>50</v>
      </c>
      <c r="N14" s="10">
        <f>SESION2!ET13</f>
        <v>29.09090909090909</v>
      </c>
    </row>
    <row r="15" spans="2:14" ht="15" thickBot="1" x14ac:dyDescent="0.4">
      <c r="B15" s="80">
        <f>in!E14</f>
        <v>5802</v>
      </c>
      <c r="C15" s="8" t="str">
        <f>SESION2!A14</f>
        <v xml:space="preserve">CASTAÑO EMERIS DANIELA LUCIA  </v>
      </c>
      <c r="D15" s="9">
        <f>((F15*3+G15*3+H15*3+I15*3+N15)/13)*5</f>
        <v>146.32217236086035</v>
      </c>
      <c r="E15" s="9" t="str">
        <f>IF(D15&lt;=187,"I",IF(D15&lt;=264,"M",IF(D15&lt;=344,"S","A")))</f>
        <v>I</v>
      </c>
      <c r="F15" s="10">
        <f>SESION1!BT14</f>
        <v>26.829268292682926</v>
      </c>
      <c r="G15" s="10">
        <f>((SESION1!AB14+SESION2!BC14)/50)*100</f>
        <v>30</v>
      </c>
      <c r="H15" s="10">
        <f>((SESION1!CT14+SESION2!AB14)/50)*100</f>
        <v>32</v>
      </c>
      <c r="I15" s="10">
        <f>((SESION1!DH14+SESION1!DP14+SESION1!DZ14+SESION1!EE14+SESION2!BJ14+SESION2!BY14+SESION2!CK14+SESION2!CN14)/58)*100</f>
        <v>25.862068965517242</v>
      </c>
      <c r="J15" s="10">
        <f>((SESION1!DH14+SESION2!BJ14)/(COUNT(SESION1!CV14:DG14)+COUNT(SESION2!BE14:BI14)))*100</f>
        <v>35.294117647058826</v>
      </c>
      <c r="K15" s="10">
        <f>((SESION1!DP14+SESION2!BY14)/(COUNT(SESION1!DJ14:DO14)+COUNT(SESION2!BL14:BX14)))*100</f>
        <v>26.315789473684209</v>
      </c>
      <c r="L15" s="10">
        <f>((SESION1!DZ14+SESION2!CK14)/(COUNT(SESION1!DR14:DY14)+COUNT(SESION2!CA14:CJ14)))*100</f>
        <v>22.222222222222221</v>
      </c>
      <c r="M15" s="10">
        <f>((SESION1!EE14+SESION2!CN14)/(COUNT(SESION1!EB14:ED14)+COUNT(SESION2!CM14)))*100</f>
        <v>0</v>
      </c>
      <c r="N15" s="10">
        <f>SESION2!ET14</f>
        <v>36.363636363636367</v>
      </c>
    </row>
    <row r="16" spans="2:14" ht="15" thickBot="1" x14ac:dyDescent="0.4">
      <c r="B16" s="80">
        <f>in!E15</f>
        <v>5803</v>
      </c>
      <c r="C16" s="8" t="str">
        <f>SESION2!A15</f>
        <v xml:space="preserve">CAUSIL RAMOS SANTIAGO DAVID  </v>
      </c>
      <c r="D16" s="9">
        <f>((F16*3+G16*3+H16*3+I16*3+N16)/13)*5</f>
        <v>117.82634522752269</v>
      </c>
      <c r="E16" s="9" t="str">
        <f>IF(D16&lt;=187,"I",IF(D16&lt;=264,"M",IF(D16&lt;=344,"S","A")))</f>
        <v>I</v>
      </c>
      <c r="F16" s="10">
        <f>SESION1!BT15</f>
        <v>19.512195121951219</v>
      </c>
      <c r="G16" s="10">
        <f>((SESION1!AB15+SESION2!BC15)/50)*100</f>
        <v>22</v>
      </c>
      <c r="H16" s="10">
        <f>((SESION1!CT15+SESION2!AB15)/50)*100</f>
        <v>14.000000000000002</v>
      </c>
      <c r="I16" s="10">
        <f>((SESION1!DH15+SESION1!DP15+SESION1!DZ15+SESION1!EE15+SESION2!BJ15+SESION2!BY15+SESION2!CK15+SESION2!CN15)/58)*100</f>
        <v>34.482758620689658</v>
      </c>
      <c r="J16" s="10">
        <f>((SESION1!DH15+SESION2!BJ15)/(COUNT(SESION1!CV15:DG15)+COUNT(SESION2!BE15:BI15)))*100</f>
        <v>29.411764705882355</v>
      </c>
      <c r="K16" s="10">
        <f>((SESION1!DP15+SESION2!BY15)/(COUNT(SESION1!DJ15:DO15)+COUNT(SESION2!BL15:BX15)))*100</f>
        <v>52.631578947368418</v>
      </c>
      <c r="L16" s="10">
        <f>((SESION1!DZ15+SESION2!CK15)/(COUNT(SESION1!DR15:DY15)+COUNT(SESION2!CA15:CJ15)))*100</f>
        <v>22.222222222222221</v>
      </c>
      <c r="M16" s="10">
        <f>((SESION1!EE15+SESION2!CN15)/(COUNT(SESION1!EB15:ED15)+COUNT(SESION2!CM15)))*100</f>
        <v>25</v>
      </c>
      <c r="N16" s="10">
        <f>SESION2!ET15</f>
        <v>36.363636363636367</v>
      </c>
    </row>
    <row r="17" spans="2:14" ht="15" thickBot="1" x14ac:dyDescent="0.4">
      <c r="B17" s="80">
        <f>in!E16</f>
        <v>5804</v>
      </c>
      <c r="C17" s="8" t="str">
        <f>SESION2!A16</f>
        <v xml:space="preserve">CHAMORRO ARTEAGA JUAN DAVID  </v>
      </c>
      <c r="D17" s="9">
        <f>((F17*3+G17*3+H17*3+I17*3+N17)/13)*5</f>
        <v>148.47571268092713</v>
      </c>
      <c r="E17" s="9" t="str">
        <f>IF(D17&lt;=187,"I",IF(D17&lt;=264,"M",IF(D17&lt;=344,"S","A")))</f>
        <v>I</v>
      </c>
      <c r="F17" s="10">
        <f>SESION1!BT16</f>
        <v>29.26829268292683</v>
      </c>
      <c r="G17" s="10">
        <f>((SESION1!AB16+SESION2!BC16)/50)*100</f>
        <v>36</v>
      </c>
      <c r="H17" s="10">
        <f>((SESION1!CT16+SESION2!AB16)/50)*100</f>
        <v>32</v>
      </c>
      <c r="I17" s="10">
        <f>((SESION1!DH16+SESION1!DP16+SESION1!DZ16+SESION1!EE16+SESION2!BJ16+SESION2!BY16+SESION2!CK16+SESION2!CN16)/58)*100</f>
        <v>24.137931034482758</v>
      </c>
      <c r="J17" s="10">
        <f>((SESION1!DH16+SESION2!BJ16)/(COUNT(SESION1!CV16:DG16)+COUNT(SESION2!BE16:BI16)))*100</f>
        <v>23.52941176470588</v>
      </c>
      <c r="K17" s="10">
        <f>((SESION1!DP16+SESION2!BY16)/(COUNT(SESION1!DJ16:DO16)+COUNT(SESION2!BL16:BX16)))*100</f>
        <v>5.2631578947368416</v>
      </c>
      <c r="L17" s="10">
        <f>((SESION1!DZ16+SESION2!CK16)/(COUNT(SESION1!DR16:DY16)+COUNT(SESION2!CA16:CJ16)))*100</f>
        <v>38.888888888888893</v>
      </c>
      <c r="M17" s="10">
        <f>((SESION1!EE16+SESION2!CN16)/(COUNT(SESION1!EB16:ED16)+COUNT(SESION2!CM16)))*100</f>
        <v>50</v>
      </c>
      <c r="N17" s="10">
        <f>SESION2!ET16</f>
        <v>21.818181818181817</v>
      </c>
    </row>
    <row r="18" spans="2:14" ht="15" thickBot="1" x14ac:dyDescent="0.4">
      <c r="B18" s="80">
        <f>in!E18</f>
        <v>5806</v>
      </c>
      <c r="C18" s="8" t="str">
        <f>SESION2!A18</f>
        <v xml:space="preserve">LOZANO BENITEZ HECTOR DAVID  </v>
      </c>
      <c r="D18" s="9">
        <f>((F18*3+G18*3+H18*3+I18*3+N18)/13)*5</f>
        <v>161.06383103859974</v>
      </c>
      <c r="E18" s="9" t="str">
        <f>IF(D18&lt;=187,"I",IF(D18&lt;=264,"M",IF(D18&lt;=344,"S","A")))</f>
        <v>I</v>
      </c>
      <c r="F18" s="10">
        <f>SESION1!BT18</f>
        <v>39.024390243902438</v>
      </c>
      <c r="G18" s="10">
        <f>((SESION1!AB18+SESION2!BC18)/50)*100</f>
        <v>34</v>
      </c>
      <c r="H18" s="10">
        <f>((SESION1!CT18+SESION2!AB18)/50)*100</f>
        <v>16</v>
      </c>
      <c r="I18" s="10">
        <f>((SESION1!DH18+SESION1!DP18+SESION1!DZ18+SESION1!EE18+SESION2!BJ18+SESION2!BY18+SESION2!CK18+SESION2!CN18)/58)*100</f>
        <v>39.655172413793103</v>
      </c>
      <c r="J18" s="10">
        <f>((SESION1!DH18+SESION2!BJ18)/(COUNT(SESION1!CV18:DG18)+COUNT(SESION2!BE18:BI18)))*100</f>
        <v>35.294117647058826</v>
      </c>
      <c r="K18" s="10">
        <f>((SESION1!DP18+SESION2!BY18)/(COUNT(SESION1!DJ18:DO18)+COUNT(SESION2!BL18:BX18)))*100</f>
        <v>36.84210526315789</v>
      </c>
      <c r="L18" s="10">
        <f>((SESION1!DZ18+SESION2!CK18)/(COUNT(SESION1!DR18:DY18)+COUNT(SESION2!CA18:CJ18)))*100</f>
        <v>38.888888888888893</v>
      </c>
      <c r="M18" s="10">
        <f>((SESION1!EE18+SESION2!CN18)/(COUNT(SESION1!EB18:ED18)+COUNT(SESION2!CM18)))*100</f>
        <v>75</v>
      </c>
      <c r="N18" s="10">
        <f>SESION2!ET18</f>
        <v>32.727272727272727</v>
      </c>
    </row>
    <row r="19" spans="2:14" ht="15" thickBot="1" x14ac:dyDescent="0.4">
      <c r="B19" s="80">
        <f>in!E19</f>
        <v>5807</v>
      </c>
      <c r="C19" s="8" t="str">
        <f>SESION2!A19</f>
        <v xml:space="preserve">MACHADO CARVAJAL YANDRI VANESSA  </v>
      </c>
      <c r="D19" s="9">
        <f>((F19*3+G19*3+H19*3+I19*3+N19)/13)*5</f>
        <v>181.81618213577843</v>
      </c>
      <c r="E19" s="9" t="str">
        <f>IF(D19&lt;=187,"I",IF(D19&lt;=264,"M",IF(D19&lt;=344,"S","A")))</f>
        <v>I</v>
      </c>
      <c r="F19" s="10">
        <f>SESION1!BT19</f>
        <v>39.024390243902438</v>
      </c>
      <c r="G19" s="10">
        <f>((SESION1!AB19+SESION2!BC19)/50)*100</f>
        <v>42</v>
      </c>
      <c r="H19" s="10">
        <f>((SESION1!CT19+SESION2!AB19)/50)*100</f>
        <v>34</v>
      </c>
      <c r="I19" s="10">
        <f>((SESION1!DH19+SESION1!DP19+SESION1!DZ19+SESION1!EE19+SESION2!BJ19+SESION2!BY19+SESION2!CK19+SESION2!CN19)/58)*100</f>
        <v>31.03448275862069</v>
      </c>
      <c r="J19" s="10">
        <f>((SESION1!DH19+SESION2!BJ19)/(COUNT(SESION1!CV19:DG19)+COUNT(SESION2!BE19:BI19)))*100</f>
        <v>23.52941176470588</v>
      </c>
      <c r="K19" s="10">
        <f>((SESION1!DP19+SESION2!BY19)/(COUNT(SESION1!DJ19:DO19)+COUNT(SESION2!BL19:BX19)))*100</f>
        <v>36.84210526315789</v>
      </c>
      <c r="L19" s="10">
        <f>((SESION1!DZ19+SESION2!CK19)/(COUNT(SESION1!DR19:DY19)+COUNT(SESION2!CA19:CJ19)))*100</f>
        <v>27.777777777777779</v>
      </c>
      <c r="M19" s="10">
        <f>((SESION1!EE19+SESION2!CN19)/(COUNT(SESION1!EB19:ED19)+COUNT(SESION2!CM19)))*100</f>
        <v>50</v>
      </c>
      <c r="N19" s="10">
        <f>SESION2!ET19</f>
        <v>34.545454545454547</v>
      </c>
    </row>
    <row r="20" spans="2:14" ht="15" thickBot="1" x14ac:dyDescent="0.4">
      <c r="B20" s="80">
        <f>in!E20</f>
        <v>5808</v>
      </c>
      <c r="C20" s="8" t="str">
        <f>SESION2!A20</f>
        <v xml:space="preserve">MARTINEZ CAUCIL SARETH MILENA  </v>
      </c>
      <c r="D20" s="9">
        <f>((F20*3+G20*3+H20*3+I20*3+N20)/13)*5</f>
        <v>140.58049603886442</v>
      </c>
      <c r="E20" s="9" t="str">
        <f>IF(D20&lt;=187,"I",IF(D20&lt;=264,"M",IF(D20&lt;=344,"S","A")))</f>
        <v>I</v>
      </c>
      <c r="F20" s="10">
        <f>SESION1!BT20</f>
        <v>24.390243902439025</v>
      </c>
      <c r="G20" s="10">
        <f>((SESION1!AB20+SESION2!BC20)/50)*100</f>
        <v>24</v>
      </c>
      <c r="H20" s="10">
        <f>((SESION1!CT20+SESION2!AB20)/50)*100</f>
        <v>24</v>
      </c>
      <c r="I20" s="10">
        <f>((SESION1!DH20+SESION1!DP20+SESION1!DZ20+SESION1!EE20+SESION2!BJ20+SESION2!BY20+SESION2!CK20+SESION2!CN20)/58)*100</f>
        <v>37.931034482758619</v>
      </c>
      <c r="J20" s="10">
        <f>((SESION1!DH20+SESION2!BJ20)/(COUNT(SESION1!CV20:DG20)+COUNT(SESION2!BE20:BI20)))*100</f>
        <v>52.941176470588239</v>
      </c>
      <c r="K20" s="10">
        <f>((SESION1!DP20+SESION2!BY20)/(COUNT(SESION1!DJ20:DO20)+COUNT(SESION2!BL20:BX20)))*100</f>
        <v>36.84210526315789</v>
      </c>
      <c r="L20" s="10">
        <f>((SESION1!DZ20+SESION2!CK20)/(COUNT(SESION1!DR20:DY20)+COUNT(SESION2!CA20:CJ20)))*100</f>
        <v>27.777777777777779</v>
      </c>
      <c r="M20" s="10">
        <f>((SESION1!EE20+SESION2!CN20)/(COUNT(SESION1!EB20:ED20)+COUNT(SESION2!CM20)))*100</f>
        <v>25</v>
      </c>
      <c r="N20" s="10">
        <f>SESION2!ET20</f>
        <v>34.545454545454547</v>
      </c>
    </row>
    <row r="21" spans="2:14" ht="15" thickBot="1" x14ac:dyDescent="0.4">
      <c r="B21" s="80">
        <f>in!E21</f>
        <v>5810</v>
      </c>
      <c r="C21" s="8" t="str">
        <f>SESION2!A21</f>
        <v xml:space="preserve">MERCADO RAMOS DANIELA SOFIA  </v>
      </c>
      <c r="D21" s="9">
        <f>((F21*3+G21*3+H21*3+I21*3+N21)/13)*5</f>
        <v>120.34847406588366</v>
      </c>
      <c r="E21" s="9" t="str">
        <f>IF(D21&lt;=187,"I",IF(D21&lt;=264,"M",IF(D21&lt;=344,"S","A")))</f>
        <v>I</v>
      </c>
      <c r="F21" s="10">
        <f>SESION1!BT21</f>
        <v>17.073170731707318</v>
      </c>
      <c r="G21" s="10">
        <f>((SESION1!AB21+SESION2!BC21)/50)*100</f>
        <v>20</v>
      </c>
      <c r="H21" s="10">
        <f>((SESION1!CT21+SESION2!AB21)/50)*100</f>
        <v>34</v>
      </c>
      <c r="I21" s="10">
        <f>((SESION1!DH21+SESION1!DP21+SESION1!DZ21+SESION1!EE21+SESION2!BJ21+SESION2!BY21+SESION2!CK21+SESION2!CN21)/58)*100</f>
        <v>24.137931034482758</v>
      </c>
      <c r="J21" s="10">
        <f>((SESION1!DH21+SESION2!BJ21)/(COUNT(SESION1!CV21:DG21)+COUNT(SESION2!BE21:BI21)))*100</f>
        <v>23.52941176470588</v>
      </c>
      <c r="K21" s="10">
        <f>((SESION1!DP21+SESION2!BY21)/(COUNT(SESION1!DJ21:DO21)+COUNT(SESION2!BL21:BX21)))*100</f>
        <v>36.84210526315789</v>
      </c>
      <c r="L21" s="10">
        <f>((SESION1!DZ21+SESION2!CK21)/(COUNT(SESION1!DR21:DY21)+COUNT(SESION2!CA21:CJ21)))*100</f>
        <v>11.111111111111111</v>
      </c>
      <c r="M21" s="10">
        <f>((SESION1!EE21+SESION2!CN21)/(COUNT(SESION1!EB21:ED21)+COUNT(SESION2!CM21)))*100</f>
        <v>25</v>
      </c>
      <c r="N21" s="10">
        <f>SESION2!ET21</f>
        <v>27.272727272727273</v>
      </c>
    </row>
    <row r="22" spans="2:14" ht="15" thickBot="1" x14ac:dyDescent="0.4">
      <c r="B22" s="80">
        <f>in!E22</f>
        <v>5811</v>
      </c>
      <c r="C22" s="8" t="str">
        <f>SESION2!A22</f>
        <v xml:space="preserve">RAMOS MESTRA FABIAN DE JESUS  </v>
      </c>
      <c r="D22" s="9">
        <f>((F22*3+G22*3+H22*3+I22*3+N22)/13)*5</f>
        <v>130.21137819287526</v>
      </c>
      <c r="E22" s="9" t="str">
        <f>IF(D22&lt;=187,"I",IF(D22&lt;=264,"M",IF(D22&lt;=344,"S","A")))</f>
        <v>I</v>
      </c>
      <c r="F22" s="10">
        <f>SESION1!BT22</f>
        <v>21.951219512195124</v>
      </c>
      <c r="G22" s="10">
        <f>((SESION1!AB22+SESION2!BC22)/50)*100</f>
        <v>34</v>
      </c>
      <c r="H22" s="10">
        <f>((SESION1!CT22+SESION2!AB22)/50)*100</f>
        <v>26</v>
      </c>
      <c r="I22" s="10">
        <f>((SESION1!DH22+SESION1!DP22+SESION1!DZ22+SESION1!EE22+SESION2!BJ22+SESION2!BY22+SESION2!CK22+SESION2!CN22)/58)*100</f>
        <v>22.413793103448278</v>
      </c>
      <c r="J22" s="10">
        <f>((SESION1!DH22+SESION2!BJ22)/(COUNT(SESION1!CV22:DG22)+COUNT(SESION2!BE22:BI22)))*100</f>
        <v>17.647058823529413</v>
      </c>
      <c r="K22" s="10">
        <f>((SESION1!DP22+SESION2!BY22)/(COUNT(SESION1!DJ22:DO22)+COUNT(SESION2!BL22:BX22)))*100</f>
        <v>26.315789473684209</v>
      </c>
      <c r="L22" s="10">
        <f>((SESION1!DZ22+SESION2!CK22)/(COUNT(SESION1!DR22:DY22)+COUNT(SESION2!CA22:CJ22)))*100</f>
        <v>27.777777777777779</v>
      </c>
      <c r="M22" s="10">
        <f>((SESION1!EE22+SESION2!CN22)/(COUNT(SESION1!EB22:ED22)+COUNT(SESION2!CM22)))*100</f>
        <v>0</v>
      </c>
      <c r="N22" s="10">
        <f>SESION2!ET22</f>
        <v>25.454545454545453</v>
      </c>
    </row>
    <row r="23" spans="2:14" ht="15" thickBot="1" x14ac:dyDescent="0.4">
      <c r="B23" s="80">
        <f>in!E23</f>
        <v>5812</v>
      </c>
      <c r="C23" s="8" t="str">
        <f>SESION2!A23</f>
        <v xml:space="preserve">RAMOS RAMOS SEBASTIAN ANDRES  </v>
      </c>
      <c r="D23" s="9">
        <f>((F23*3+G23*3+H23*3+I23*3+N23)/13)*5</f>
        <v>134.1317555447076</v>
      </c>
      <c r="E23" s="9" t="str">
        <f>IF(D23&lt;=187,"I",IF(D23&lt;=264,"M",IF(D23&lt;=344,"S","A")))</f>
        <v>I</v>
      </c>
      <c r="F23" s="10">
        <f>SESION1!BT23</f>
        <v>14.634146341463415</v>
      </c>
      <c r="G23" s="10">
        <f>((SESION1!AB23+SESION2!BC23)/50)*100</f>
        <v>26</v>
      </c>
      <c r="H23" s="10">
        <f>((SESION1!CT23+SESION2!AB23)/50)*100</f>
        <v>36</v>
      </c>
      <c r="I23" s="10">
        <f>((SESION1!DH23+SESION1!DP23+SESION1!DZ23+SESION1!EE23+SESION2!BJ23+SESION2!BY23+SESION2!CK23+SESION2!CN23)/58)*100</f>
        <v>29.310344827586203</v>
      </c>
      <c r="J23" s="10">
        <f>((SESION1!DH23+SESION2!BJ23)/(COUNT(SESION1!CV23:DG23)+COUNT(SESION2!BE23:BI23)))*100</f>
        <v>29.411764705882355</v>
      </c>
      <c r="K23" s="10">
        <f>((SESION1!DP23+SESION2!BY23)/(COUNT(SESION1!DJ23:DO23)+COUNT(SESION2!BL23:BX23)))*100</f>
        <v>26.315789473684209</v>
      </c>
      <c r="L23" s="10">
        <f>((SESION1!DZ23+SESION2!CK23)/(COUNT(SESION1!DR23:DY23)+COUNT(SESION2!CA23:CJ23)))*100</f>
        <v>33.333333333333329</v>
      </c>
      <c r="M23" s="10">
        <f>((SESION1!EE23+SESION2!CN23)/(COUNT(SESION1!EB23:ED23)+COUNT(SESION2!CM23)))*100</f>
        <v>25</v>
      </c>
      <c r="N23" s="10">
        <f>SESION2!ET23</f>
        <v>30.90909090909091</v>
      </c>
    </row>
    <row r="24" spans="2:14" ht="15" thickBot="1" x14ac:dyDescent="0.4">
      <c r="B24" s="80">
        <f>in!E17</f>
        <v>5850</v>
      </c>
      <c r="C24" s="8" t="str">
        <f>SESION2!A17</f>
        <v xml:space="preserve">FLOREZ HERNANDEZ BRAYAN ANDRES  </v>
      </c>
      <c r="D24" s="9">
        <f>((F24*3+G24*3+H24*3+I24*3+N24)/13)*5</f>
        <v>202.16930252254053</v>
      </c>
      <c r="E24" s="9" t="str">
        <f>IF(D24&lt;=187,"I",IF(D24&lt;=264,"M",IF(D24&lt;=344,"S","A")))</f>
        <v>M</v>
      </c>
      <c r="F24" s="10">
        <f>SESION1!BT17</f>
        <v>53.658536585365852</v>
      </c>
      <c r="G24" s="10">
        <f>((SESION1!AB17+SESION2!BC17)/50)*100</f>
        <v>26</v>
      </c>
      <c r="H24" s="10">
        <f>((SESION1!CT17+SESION2!AB17)/50)*100</f>
        <v>38</v>
      </c>
      <c r="I24" s="10">
        <f>((SESION1!DH17+SESION1!DP17+SESION1!DZ17+SESION1!EE17+SESION2!BJ17+SESION2!BY17+SESION2!CK17+SESION2!CN17)/58)*100</f>
        <v>44.827586206896555</v>
      </c>
      <c r="J24" s="10">
        <f>((SESION1!DH17+SESION2!BJ17)/(COUNT(SESION1!CV17:DG17)+COUNT(SESION2!BE17:BI17)))*100</f>
        <v>52.941176470588239</v>
      </c>
      <c r="K24" s="10">
        <f>((SESION1!DP17+SESION2!BY17)/(COUNT(SESION1!DJ17:DO17)+COUNT(SESION2!BL17:BX17)))*100</f>
        <v>31.578947368421051</v>
      </c>
      <c r="L24" s="10">
        <f>((SESION1!DZ17+SESION2!CK17)/(COUNT(SESION1!DR17:DY17)+COUNT(SESION2!CA17:CJ17)))*100</f>
        <v>38.888888888888893</v>
      </c>
      <c r="M24" s="10">
        <f>((SESION1!EE17+SESION2!CN17)/(COUNT(SESION1!EB17:ED17)+COUNT(SESION2!CM17)))*100</f>
        <v>100</v>
      </c>
      <c r="N24" s="10">
        <f>SESION2!ET17</f>
        <v>38.18181818181818</v>
      </c>
    </row>
    <row r="25" spans="2:14" ht="15" thickBot="1" x14ac:dyDescent="0.4">
      <c r="B25" s="80">
        <f>in!E24</f>
        <v>6201</v>
      </c>
      <c r="C25" s="8" t="str">
        <f>SESION2!A24</f>
        <v>ALVAREZ MARQUEZ FRANK LUIS</v>
      </c>
      <c r="D25" s="9">
        <f>((F25*3+G25*3+H25*3+I25*3+N25)/13)*5</f>
        <v>193.15573408929168</v>
      </c>
      <c r="E25" s="9" t="str">
        <f>IF(D25&lt;=187,"I",IF(D25&lt;=264,"M",IF(D25&lt;=344,"S","A")))</f>
        <v>M</v>
      </c>
      <c r="F25" s="10">
        <f>SESION1!BT24</f>
        <v>56.097560975609753</v>
      </c>
      <c r="G25" s="10">
        <f>((SESION1!AB24+SESION2!BC24)/50)*100</f>
        <v>34</v>
      </c>
      <c r="H25" s="10">
        <f>((SESION1!CT24+SESION2!AB24)/50)*100</f>
        <v>30</v>
      </c>
      <c r="I25" s="10">
        <f>((SESION1!DH24+SESION1!DP24+SESION1!DZ24+SESION1!EE24+SESION2!BJ24+SESION2!BY24+SESION2!CK24+SESION2!CN24)/58)*100</f>
        <v>32.758620689655174</v>
      </c>
      <c r="J25" s="10">
        <f>((SESION1!DH24+SESION2!BJ24)/(COUNT(SESION1!CV24:DG24)+COUNT(SESION2!BE24:BI24)))*100</f>
        <v>29.411764705882355</v>
      </c>
      <c r="K25" s="10">
        <f>((SESION1!DP24+SESION2!BY24)/(COUNT(SESION1!DJ24:DO24)+COUNT(SESION2!BL24:BX24)))*100</f>
        <v>36.84210526315789</v>
      </c>
      <c r="L25" s="10">
        <f>((SESION1!DZ24+SESION2!CK24)/(COUNT(SESION1!DR24:DY24)+COUNT(SESION2!CA24:CJ24)))*100</f>
        <v>27.777777777777779</v>
      </c>
      <c r="M25" s="10">
        <f>((SESION1!EE24+SESION2!CN24)/(COUNT(SESION1!EB24:ED24)+COUNT(SESION2!CM24)))*100</f>
        <v>50</v>
      </c>
      <c r="N25" s="10">
        <f>SESION2!ET24</f>
        <v>43.636363636363633</v>
      </c>
    </row>
    <row r="26" spans="2:14" ht="15" thickBot="1" x14ac:dyDescent="0.4">
      <c r="B26" s="80">
        <f>in!E25</f>
        <v>6203</v>
      </c>
      <c r="C26" s="8" t="str">
        <f>SESION2!A25</f>
        <v>BRAVO OVALLES KAMILA ANDREA</v>
      </c>
      <c r="D26" s="9">
        <f>((F26*3+G26*3+H26*3+I26*3+N26)/13)*5</f>
        <v>168.22545830956258</v>
      </c>
      <c r="E26" s="9" t="str">
        <f>IF(D26&lt;=187,"I",IF(D26&lt;=264,"M",IF(D26&lt;=344,"S","A")))</f>
        <v>I</v>
      </c>
      <c r="F26" s="10">
        <f>SESION1!BT25</f>
        <v>36.585365853658537</v>
      </c>
      <c r="G26" s="10">
        <f>((SESION1!AB25+SESION2!BC25)/50)*100</f>
        <v>22</v>
      </c>
      <c r="H26" s="10">
        <f>((SESION1!CT25+SESION2!AB25)/50)*100</f>
        <v>40</v>
      </c>
      <c r="I26" s="10">
        <f>((SESION1!DH25+SESION1!DP25+SESION1!DZ25+SESION1!EE25+SESION2!BJ25+SESION2!BY25+SESION2!CK25+SESION2!CN25)/58)*100</f>
        <v>34.482758620689658</v>
      </c>
      <c r="J26" s="10">
        <f>((SESION1!DH25+SESION2!BJ25)/(COUNT(SESION1!CV25:DG25)+COUNT(SESION2!BE25:BI25)))*100</f>
        <v>17.647058823529413</v>
      </c>
      <c r="K26" s="10">
        <f>((SESION1!DP25+SESION2!BY25)/(COUNT(SESION1!DJ25:DO25)+COUNT(SESION2!BL25:BX25)))*100</f>
        <v>26.315789473684209</v>
      </c>
      <c r="L26" s="10">
        <f>((SESION1!DZ25+SESION2!CK25)/(COUNT(SESION1!DR25:DY25)+COUNT(SESION2!CA25:CJ25)))*100</f>
        <v>55.555555555555557</v>
      </c>
      <c r="M26" s="10">
        <f>((SESION1!EE25+SESION2!CN25)/(COUNT(SESION1!EB25:ED25)+COUNT(SESION2!CM25)))*100</f>
        <v>50</v>
      </c>
      <c r="N26" s="10">
        <f>SESION2!ET25</f>
        <v>38.18181818181818</v>
      </c>
    </row>
    <row r="27" spans="2:14" ht="15" thickBot="1" x14ac:dyDescent="0.4">
      <c r="B27" s="80">
        <f>in!E26</f>
        <v>6204</v>
      </c>
      <c r="C27" s="8" t="str">
        <f>SESION2!A26</f>
        <v xml:space="preserve">FLOREZ PEREIRA SARAY </v>
      </c>
      <c r="D27" s="9">
        <f>((F27*3+G27*3+H27*3+I27*3+N27)/13)*5</f>
        <v>190.62013680180206</v>
      </c>
      <c r="E27" s="9" t="str">
        <f>IF(D27&lt;=187,"I",IF(D27&lt;=264,"M",IF(D27&lt;=344,"S","A")))</f>
        <v>M</v>
      </c>
      <c r="F27" s="10">
        <f>SESION1!BT26</f>
        <v>39.024390243902438</v>
      </c>
      <c r="G27" s="10">
        <f>((SESION1!AB26+SESION2!BC26)/50)*100</f>
        <v>44</v>
      </c>
      <c r="H27" s="10">
        <f>((SESION1!CT26+SESION2!AB26)/50)*100</f>
        <v>38</v>
      </c>
      <c r="I27" s="10">
        <f>((SESION1!DH26+SESION1!DP26+SESION1!DZ26+SESION1!EE26+SESION2!BJ26+SESION2!BY26+SESION2!CK26+SESION2!CN26)/58)*100</f>
        <v>34.482758620689658</v>
      </c>
      <c r="J27" s="10">
        <f>((SESION1!DH26+SESION2!BJ26)/(COUNT(SESION1!CV26:DG26)+COUNT(SESION2!BE26:BI26)))*100</f>
        <v>29.411764705882355</v>
      </c>
      <c r="K27" s="10">
        <f>((SESION1!DP26+SESION2!BY26)/(COUNT(SESION1!DJ26:DO26)+COUNT(SESION2!BL26:BX26)))*100</f>
        <v>26.315789473684209</v>
      </c>
      <c r="L27" s="10">
        <f>((SESION1!DZ26+SESION2!CK26)/(COUNT(SESION1!DR26:DY26)+COUNT(SESION2!CA26:CJ26)))*100</f>
        <v>44.444444444444443</v>
      </c>
      <c r="M27" s="10">
        <f>((SESION1!EE26+SESION2!CN26)/(COUNT(SESION1!EB26:ED26)+COUNT(SESION2!CM26)))*100</f>
        <v>50</v>
      </c>
      <c r="N27" s="10">
        <f>SESION2!ET26</f>
        <v>29.09090909090909</v>
      </c>
    </row>
    <row r="28" spans="2:14" ht="15" thickBot="1" x14ac:dyDescent="0.4">
      <c r="B28" s="80">
        <f>in!E27</f>
        <v>6207</v>
      </c>
      <c r="C28" s="8" t="str">
        <f>SESION2!A27</f>
        <v>MARQUEZ BARRAGAN DAIVER JOSE</v>
      </c>
      <c r="D28" s="9">
        <f>((F28*3+G28*3+H28*3+I28*3+N28)/13)*5</f>
        <v>150.58896528198463</v>
      </c>
      <c r="E28" s="9" t="str">
        <f>IF(D28&lt;=187,"I",IF(D28&lt;=264,"M",IF(D28&lt;=344,"S","A")))</f>
        <v>I</v>
      </c>
      <c r="F28" s="10">
        <f>SESION1!BT27</f>
        <v>41.463414634146339</v>
      </c>
      <c r="G28" s="10">
        <f>((SESION1!AB27+SESION2!BC27)/50)*100</f>
        <v>32</v>
      </c>
      <c r="H28" s="10">
        <f>((SESION1!CT27+SESION2!AB27)/50)*100</f>
        <v>22</v>
      </c>
      <c r="I28" s="10">
        <f>((SESION1!DH27+SESION1!DP27+SESION1!DZ27+SESION1!EE27+SESION2!BJ27+SESION2!BY27+SESION2!CK27+SESION2!CN27)/58)*100</f>
        <v>24.137931034482758</v>
      </c>
      <c r="J28" s="10">
        <f>((SESION1!DH27+SESION2!BJ27)/(COUNT(SESION1!CV27:DG27)+COUNT(SESION2!BE27:BI27)))*100</f>
        <v>17.647058823529413</v>
      </c>
      <c r="K28" s="10">
        <f>((SESION1!DP27+SESION2!BY27)/(COUNT(SESION1!DJ27:DO27)+COUNT(SESION2!BL27:BX27)))*100</f>
        <v>21.052631578947366</v>
      </c>
      <c r="L28" s="10">
        <f>((SESION1!DZ27+SESION2!CK27)/(COUNT(SESION1!DR27:DY27)+COUNT(SESION2!CA27:CJ27)))*100</f>
        <v>33.333333333333329</v>
      </c>
      <c r="M28" s="10">
        <f>((SESION1!EE27+SESION2!CN27)/(COUNT(SESION1!EB27:ED27)+COUNT(SESION2!CM27)))*100</f>
        <v>25</v>
      </c>
      <c r="N28" s="10">
        <f>SESION2!ET27</f>
        <v>32.727272727272727</v>
      </c>
    </row>
    <row r="29" spans="2:14" ht="15" thickBot="1" x14ac:dyDescent="0.4">
      <c r="B29" s="80">
        <f>in!E28</f>
        <v>6208</v>
      </c>
      <c r="C29" s="8" t="str">
        <f>SESION2!A28</f>
        <v>MARQUEZ CERMEÑO ELY JOHANA</v>
      </c>
      <c r="D29" s="9">
        <f>((F29*3+G29*3+H29*3+I29*3+N29)/13)*5</f>
        <v>154.98350262017209</v>
      </c>
      <c r="E29" s="9" t="str">
        <f>IF(D29&lt;=187,"I",IF(D29&lt;=264,"M",IF(D29&lt;=344,"S","A")))</f>
        <v>I</v>
      </c>
      <c r="F29" s="10">
        <f>SESION1!BT28</f>
        <v>21.951219512195124</v>
      </c>
      <c r="G29" s="10">
        <f>((SESION1!AB28+SESION2!BC28)/50)*100</f>
        <v>26</v>
      </c>
      <c r="H29" s="10">
        <f>((SESION1!CT28+SESION2!AB28)/50)*100</f>
        <v>42</v>
      </c>
      <c r="I29" s="10">
        <f>((SESION1!DH28+SESION1!DP28+SESION1!DZ28+SESION1!EE28+SESION2!BJ28+SESION2!BY28+SESION2!CK28+SESION2!CN28)/58)*100</f>
        <v>31.03448275862069</v>
      </c>
      <c r="J29" s="10">
        <f>((SESION1!DH28+SESION2!BJ28)/(COUNT(SESION1!CV28:DG28)+COUNT(SESION2!BE28:BI28)))*100</f>
        <v>23.52941176470588</v>
      </c>
      <c r="K29" s="10">
        <f>((SESION1!DP28+SESION2!BY28)/(COUNT(SESION1!DJ28:DO28)+COUNT(SESION2!BL28:BX28)))*100</f>
        <v>36.84210526315789</v>
      </c>
      <c r="L29" s="10">
        <f>((SESION1!DZ28+SESION2!CK28)/(COUNT(SESION1!DR28:DY28)+COUNT(SESION2!CA28:CJ28)))*100</f>
        <v>38.888888888888893</v>
      </c>
      <c r="M29" s="10">
        <f>((SESION1!EE28+SESION2!CN28)/(COUNT(SESION1!EB28:ED28)+COUNT(SESION2!CM28)))*100</f>
        <v>0</v>
      </c>
      <c r="N29" s="10">
        <f>SESION2!ET28</f>
        <v>40</v>
      </c>
    </row>
    <row r="30" spans="2:14" ht="15" thickBot="1" x14ac:dyDescent="0.4">
      <c r="B30" s="80">
        <f>in!E29</f>
        <v>6211</v>
      </c>
      <c r="C30" s="8" t="str">
        <f>SESION2!A29</f>
        <v xml:space="preserve">RUIZ OLIVARES MARISOL </v>
      </c>
      <c r="D30" s="9">
        <f>((F30*3+G30*3+H30*3+I30*3+N30)/13)*5</f>
        <v>243.57325601228044</v>
      </c>
      <c r="E30" s="9" t="str">
        <f>IF(D30&lt;=187,"I",IF(D30&lt;=264,"M",IF(D30&lt;=344,"S","A")))</f>
        <v>M</v>
      </c>
      <c r="F30" s="10">
        <f>SESION1!BT29</f>
        <v>60.975609756097562</v>
      </c>
      <c r="G30" s="10">
        <f>((SESION1!AB29+SESION2!BC29)/50)*100</f>
        <v>40</v>
      </c>
      <c r="H30" s="10">
        <f>((SESION1!CT29+SESION2!AB29)/50)*100</f>
        <v>48</v>
      </c>
      <c r="I30" s="10">
        <f>((SESION1!DH29+SESION1!DP29+SESION1!DZ29+SESION1!EE29+SESION2!BJ29+SESION2!BY29+SESION2!CK29+SESION2!CN29)/58)*100</f>
        <v>50</v>
      </c>
      <c r="J30" s="10">
        <f>((SESION1!DH29+SESION2!BJ29)/(COUNT(SESION1!CV29:DG29)+COUNT(SESION2!BE29:BI29)))*100</f>
        <v>35.294117647058826</v>
      </c>
      <c r="K30" s="10">
        <f>((SESION1!DP29+SESION2!BY29)/(COUNT(SESION1!DJ29:DO29)+COUNT(SESION2!BL29:BX29)))*100</f>
        <v>52.631578947368418</v>
      </c>
      <c r="L30" s="10">
        <f>((SESION1!DZ29+SESION2!CK29)/(COUNT(SESION1!DR29:DY29)+COUNT(SESION2!CA29:CJ29)))*100</f>
        <v>50</v>
      </c>
      <c r="M30" s="10">
        <f>((SESION1!EE29+SESION2!CN29)/(COUNT(SESION1!EB29:ED29)+COUNT(SESION2!CM29)))*100</f>
        <v>100</v>
      </c>
      <c r="N30" s="10">
        <f>SESION2!ET29</f>
        <v>36.363636363636367</v>
      </c>
    </row>
    <row r="31" spans="2:14" ht="15" thickBot="1" x14ac:dyDescent="0.4">
      <c r="B31" s="80">
        <f>in!E30</f>
        <v>6212</v>
      </c>
      <c r="C31" s="8" t="str">
        <f>SESION2!A30</f>
        <v>SOTO MARTINEZ YURANIS PAOLA</v>
      </c>
      <c r="D31" s="9">
        <f>((F31*3+G31*3+H31*3+I31*3+N31)/13)*5</f>
        <v>176.92384150752528</v>
      </c>
      <c r="E31" s="9" t="str">
        <f>IF(D31&lt;=187,"I",IF(D31&lt;=264,"M",IF(D31&lt;=344,"S","A")))</f>
        <v>I</v>
      </c>
      <c r="F31" s="10">
        <f>SESION1!BT30</f>
        <v>43.902439024390247</v>
      </c>
      <c r="G31" s="10">
        <f>((SESION1!AB30+SESION2!BC30)/50)*100</f>
        <v>34</v>
      </c>
      <c r="H31" s="10">
        <f>((SESION1!CT30+SESION2!AB30)/50)*100</f>
        <v>34</v>
      </c>
      <c r="I31" s="10">
        <f>((SESION1!DH30+SESION1!DP30+SESION1!DZ30+SESION1!EE30+SESION2!BJ30+SESION2!BY30+SESION2!CK30+SESION2!CN30)/58)*100</f>
        <v>29.310344827586203</v>
      </c>
      <c r="J31" s="10">
        <f>((SESION1!DH30+SESION2!BJ30)/(COUNT(SESION1!CV30:DG30)+COUNT(SESION2!BE30:BI30)))*100</f>
        <v>29.411764705882355</v>
      </c>
      <c r="K31" s="10">
        <f>((SESION1!DP30+SESION2!BY30)/(COUNT(SESION1!DJ30:DO30)+COUNT(SESION2!BL30:BX30)))*100</f>
        <v>31.578947368421051</v>
      </c>
      <c r="L31" s="10">
        <f>((SESION1!DZ30+SESION2!CK30)/(COUNT(SESION1!DR30:DY30)+COUNT(SESION2!CA30:CJ30)))*100</f>
        <v>27.777777777777779</v>
      </c>
      <c r="M31" s="10">
        <f>((SESION1!EE30+SESION2!CN30)/(COUNT(SESION1!EB30:ED30)+COUNT(SESION2!CM30)))*100</f>
        <v>25</v>
      </c>
      <c r="N31" s="10">
        <f>SESION2!ET30</f>
        <v>36.363636363636367</v>
      </c>
    </row>
    <row r="32" spans="2:14" ht="15" thickBot="1" x14ac:dyDescent="0.4">
      <c r="B32" s="80">
        <f>in!E31</f>
        <v>6213</v>
      </c>
      <c r="C32" s="8" t="str">
        <f>SESION2!A31</f>
        <v>VELASQUEZ PASCACIO ADRIANA JOSÉ</v>
      </c>
      <c r="D32" s="9">
        <f>((F32*3+G32*3+H32*3+I32*3+N32)/13)*5</f>
        <v>149.5360148682268</v>
      </c>
      <c r="E32" s="9" t="str">
        <f>IF(D32&lt;=187,"I",IF(D32&lt;=264,"M",IF(D32&lt;=344,"S","A")))</f>
        <v>I</v>
      </c>
      <c r="F32" s="10">
        <f>SESION1!BT31</f>
        <v>19.512195121951219</v>
      </c>
      <c r="G32" s="10">
        <f>((SESION1!AB31+SESION2!BC31)/50)*100</f>
        <v>30</v>
      </c>
      <c r="H32" s="10">
        <f>((SESION1!CT31+SESION2!AB31)/50)*100</f>
        <v>36</v>
      </c>
      <c r="I32" s="10">
        <f>((SESION1!DH31+SESION1!DP31+SESION1!DZ31+SESION1!EE31+SESION2!BJ31+SESION2!BY31+SESION2!CK31+SESION2!CN31)/58)*100</f>
        <v>36.206896551724135</v>
      </c>
      <c r="J32" s="10">
        <f>((SESION1!DH31+SESION2!BJ31)/(COUNT(SESION1!CV31:DG31)+COUNT(SESION2!BE31:BI31)))*100</f>
        <v>41.17647058823529</v>
      </c>
      <c r="K32" s="10">
        <f>((SESION1!DP31+SESION2!BY31)/(COUNT(SESION1!DJ31:DO31)+COUNT(SESION2!BL31:BX31)))*100</f>
        <v>26.315789473684209</v>
      </c>
      <c r="L32" s="10">
        <f>((SESION1!DZ31+SESION2!CK31)/(COUNT(SESION1!DR31:DY31)+COUNT(SESION2!CA31:CJ31)))*100</f>
        <v>44.444444444444443</v>
      </c>
      <c r="M32" s="10">
        <f>((SESION1!EE31+SESION2!CN31)/(COUNT(SESION1!EB31:ED31)+COUNT(SESION2!CM31)))*100</f>
        <v>25</v>
      </c>
      <c r="N32" s="10">
        <f>SESION2!ET31</f>
        <v>23.636363636363637</v>
      </c>
    </row>
    <row r="33" spans="2:14" ht="15" thickBot="1" x14ac:dyDescent="0.4">
      <c r="B33" s="80"/>
      <c r="C33" s="8"/>
      <c r="D33" s="9"/>
      <c r="E33" s="9"/>
      <c r="F33" s="10"/>
      <c r="G33" s="10"/>
      <c r="H33" s="10"/>
      <c r="I33" s="10"/>
      <c r="J33" s="10"/>
      <c r="K33" s="10"/>
      <c r="L33" s="10"/>
      <c r="M33" s="10"/>
      <c r="N33" s="10"/>
    </row>
    <row r="34" spans="2:14" ht="15" thickBot="1" x14ac:dyDescent="0.4">
      <c r="B34" s="80"/>
      <c r="C34" s="8"/>
      <c r="D34" s="9"/>
      <c r="E34" s="9"/>
      <c r="F34" s="10"/>
      <c r="G34" s="10"/>
      <c r="H34" s="10"/>
      <c r="I34" s="10"/>
      <c r="J34" s="10"/>
      <c r="K34" s="10"/>
      <c r="L34" s="10"/>
      <c r="M34" s="10"/>
      <c r="N34" s="10"/>
    </row>
    <row r="35" spans="2:14" ht="15" thickBot="1" x14ac:dyDescent="0.4">
      <c r="B35" s="80"/>
      <c r="C35" s="8"/>
      <c r="D35" s="9"/>
      <c r="E35" s="9"/>
      <c r="F35" s="10"/>
      <c r="G35" s="10"/>
      <c r="H35" s="10"/>
      <c r="I35" s="10"/>
      <c r="J35" s="10"/>
      <c r="K35" s="10"/>
      <c r="L35" s="10"/>
      <c r="M35" s="10"/>
      <c r="N35" s="10"/>
    </row>
    <row r="36" spans="2:14" ht="15" thickBot="1" x14ac:dyDescent="0.4">
      <c r="B36" s="80"/>
      <c r="C36" s="8"/>
      <c r="D36" s="9"/>
      <c r="E36" s="9"/>
      <c r="F36" s="10"/>
      <c r="G36" s="10"/>
      <c r="H36" s="10"/>
      <c r="I36" s="10"/>
      <c r="J36" s="10"/>
      <c r="K36" s="10"/>
      <c r="L36" s="10"/>
      <c r="M36" s="10"/>
      <c r="N36" s="10"/>
    </row>
    <row r="37" spans="2:14" ht="15" thickBot="1" x14ac:dyDescent="0.4">
      <c r="B37" s="80"/>
      <c r="C37" s="8"/>
      <c r="D37" s="9"/>
      <c r="E37" s="9"/>
      <c r="F37" s="10"/>
      <c r="G37" s="10"/>
      <c r="H37" s="10"/>
      <c r="I37" s="10"/>
      <c r="J37" s="10"/>
      <c r="K37" s="10"/>
      <c r="L37" s="10"/>
      <c r="M37" s="10"/>
      <c r="N37" s="10"/>
    </row>
    <row r="38" spans="2:14" ht="15" thickBot="1" x14ac:dyDescent="0.4">
      <c r="B38" s="80"/>
      <c r="C38" s="8"/>
      <c r="D38" s="9"/>
      <c r="E38" s="9"/>
      <c r="F38" s="10"/>
      <c r="G38" s="10"/>
      <c r="H38" s="10"/>
      <c r="I38" s="10"/>
      <c r="J38" s="10"/>
      <c r="K38" s="10"/>
      <c r="L38" s="10"/>
      <c r="M38" s="10"/>
      <c r="N38" s="10"/>
    </row>
    <row r="39" spans="2:14" ht="15" thickBot="1" x14ac:dyDescent="0.4">
      <c r="B39" s="80"/>
      <c r="C39" s="8"/>
      <c r="D39" s="9"/>
      <c r="E39" s="9"/>
      <c r="F39" s="10"/>
      <c r="G39" s="10"/>
      <c r="H39" s="10"/>
      <c r="I39" s="10"/>
      <c r="J39" s="10"/>
      <c r="K39" s="10"/>
      <c r="L39" s="10"/>
      <c r="M39" s="10"/>
      <c r="N39" s="10"/>
    </row>
    <row r="40" spans="2:14" ht="15" thickBot="1" x14ac:dyDescent="0.4">
      <c r="B40" s="80"/>
      <c r="C40" s="8"/>
      <c r="D40" s="9"/>
      <c r="E40" s="9"/>
      <c r="F40" s="10"/>
      <c r="G40" s="10"/>
      <c r="H40" s="10"/>
      <c r="I40" s="10"/>
      <c r="J40" s="10"/>
      <c r="K40" s="10"/>
      <c r="L40" s="10"/>
      <c r="M40" s="10"/>
      <c r="N40" s="10"/>
    </row>
    <row r="41" spans="2:14" ht="15" thickBot="1" x14ac:dyDescent="0.4">
      <c r="B41" s="80"/>
      <c r="C41" s="8"/>
      <c r="D41" s="9"/>
      <c r="E41" s="9"/>
      <c r="F41" s="10"/>
      <c r="G41" s="10"/>
      <c r="H41" s="10"/>
      <c r="I41" s="10"/>
      <c r="J41" s="10"/>
      <c r="K41" s="10"/>
      <c r="L41" s="10"/>
      <c r="M41" s="10"/>
      <c r="N41" s="10"/>
    </row>
    <row r="42" spans="2:14" ht="15" thickBot="1" x14ac:dyDescent="0.4">
      <c r="B42" s="80"/>
      <c r="C42" s="8"/>
      <c r="D42" s="9"/>
      <c r="E42" s="9"/>
      <c r="F42" s="10"/>
      <c r="G42" s="10"/>
      <c r="H42" s="10"/>
      <c r="I42" s="10"/>
      <c r="J42" s="10"/>
      <c r="K42" s="10"/>
      <c r="L42" s="10"/>
      <c r="M42" s="10"/>
      <c r="N42" s="10"/>
    </row>
    <row r="43" spans="2:14" ht="15" thickBot="1" x14ac:dyDescent="0.4">
      <c r="B43" s="80"/>
      <c r="C43" s="8"/>
      <c r="D43" s="9"/>
      <c r="E43" s="9"/>
      <c r="F43" s="10"/>
      <c r="G43" s="10"/>
      <c r="H43" s="10"/>
      <c r="I43" s="10"/>
      <c r="J43" s="10"/>
      <c r="K43" s="10"/>
      <c r="L43" s="10"/>
      <c r="M43" s="10"/>
      <c r="N43" s="10"/>
    </row>
    <row r="44" spans="2:14" ht="15" thickBot="1" x14ac:dyDescent="0.4">
      <c r="B44" s="80"/>
      <c r="C44" s="8"/>
      <c r="D44" s="9"/>
      <c r="E44" s="9"/>
      <c r="F44" s="10"/>
      <c r="G44" s="10"/>
      <c r="H44" s="10"/>
      <c r="I44" s="10"/>
      <c r="J44" s="10"/>
      <c r="K44" s="10"/>
      <c r="L44" s="10"/>
      <c r="M44" s="10"/>
      <c r="N44" s="10"/>
    </row>
    <row r="45" spans="2:14" ht="15" thickBot="1" x14ac:dyDescent="0.4">
      <c r="B45" s="80"/>
      <c r="C45" s="8"/>
      <c r="D45" s="9"/>
      <c r="E45" s="9"/>
      <c r="F45" s="10"/>
      <c r="G45" s="10"/>
      <c r="H45" s="10"/>
      <c r="I45" s="10"/>
      <c r="J45" s="10"/>
      <c r="K45" s="10"/>
      <c r="L45" s="10"/>
      <c r="M45" s="10"/>
      <c r="N45" s="10"/>
    </row>
    <row r="46" spans="2:14" ht="15" thickBot="1" x14ac:dyDescent="0.4">
      <c r="B46" s="80"/>
      <c r="C46" s="8"/>
      <c r="D46" s="9"/>
      <c r="E46" s="9"/>
      <c r="F46" s="10"/>
      <c r="G46" s="10"/>
      <c r="H46" s="10"/>
      <c r="I46" s="10"/>
      <c r="J46" s="10"/>
      <c r="K46" s="10"/>
      <c r="L46" s="10"/>
      <c r="M46" s="10"/>
      <c r="N46" s="10"/>
    </row>
    <row r="47" spans="2:14" ht="15" thickBot="1" x14ac:dyDescent="0.4">
      <c r="B47" s="80"/>
      <c r="C47" s="8"/>
      <c r="D47" s="9"/>
      <c r="E47" s="9"/>
      <c r="F47" s="10"/>
      <c r="G47" s="10"/>
      <c r="H47" s="10"/>
      <c r="I47" s="10"/>
      <c r="J47" s="10"/>
      <c r="K47" s="10"/>
      <c r="L47" s="10"/>
      <c r="M47" s="10"/>
      <c r="N47" s="10"/>
    </row>
    <row r="48" spans="2:14" ht="15" thickBot="1" x14ac:dyDescent="0.4">
      <c r="B48" s="80"/>
      <c r="C48" s="8"/>
      <c r="D48" s="9"/>
      <c r="E48" s="9"/>
      <c r="F48" s="10"/>
      <c r="G48" s="10"/>
      <c r="H48" s="10"/>
      <c r="I48" s="10"/>
      <c r="J48" s="10"/>
      <c r="K48" s="10"/>
      <c r="L48" s="10"/>
      <c r="M48" s="10"/>
      <c r="N48" s="10"/>
    </row>
    <row r="49" spans="2:14" ht="15" thickBot="1" x14ac:dyDescent="0.4">
      <c r="B49" s="80"/>
      <c r="C49" s="8"/>
      <c r="D49" s="9"/>
      <c r="E49" s="9"/>
      <c r="F49" s="10"/>
      <c r="G49" s="10"/>
      <c r="H49" s="10"/>
      <c r="I49" s="10"/>
      <c r="J49" s="10"/>
      <c r="K49" s="10"/>
      <c r="L49" s="10"/>
      <c r="M49" s="10"/>
      <c r="N49" s="10"/>
    </row>
    <row r="50" spans="2:14" ht="15" thickBot="1" x14ac:dyDescent="0.4">
      <c r="B50" s="80"/>
      <c r="C50" s="8"/>
      <c r="D50" s="9"/>
      <c r="E50" s="9"/>
      <c r="F50" s="10"/>
      <c r="G50" s="10"/>
      <c r="H50" s="10"/>
      <c r="I50" s="10"/>
      <c r="J50" s="10"/>
      <c r="K50" s="10"/>
      <c r="L50" s="10"/>
      <c r="M50" s="10"/>
      <c r="N50" s="10"/>
    </row>
    <row r="51" spans="2:14" ht="15" thickBot="1" x14ac:dyDescent="0.4">
      <c r="B51" s="80"/>
      <c r="C51" s="8"/>
      <c r="D51" s="9"/>
      <c r="E51" s="9"/>
      <c r="F51" s="10"/>
      <c r="G51" s="10"/>
      <c r="H51" s="10"/>
      <c r="I51" s="10"/>
      <c r="J51" s="10"/>
      <c r="K51" s="10"/>
      <c r="L51" s="10"/>
      <c r="M51" s="10"/>
      <c r="N51" s="10"/>
    </row>
    <row r="52" spans="2:14" ht="15" thickBot="1" x14ac:dyDescent="0.4">
      <c r="B52" s="80"/>
      <c r="C52" s="8"/>
      <c r="D52" s="9"/>
      <c r="E52" s="9"/>
      <c r="F52" s="10"/>
      <c r="G52" s="10"/>
      <c r="H52" s="10"/>
      <c r="I52" s="10"/>
      <c r="J52" s="10"/>
      <c r="K52" s="10"/>
      <c r="L52" s="10"/>
      <c r="M52" s="10"/>
      <c r="N52" s="10"/>
    </row>
    <row r="53" spans="2:14" ht="15" thickBot="1" x14ac:dyDescent="0.4">
      <c r="B53" s="80"/>
      <c r="C53" s="8"/>
      <c r="D53" s="9"/>
      <c r="E53" s="9"/>
      <c r="F53" s="10"/>
      <c r="G53" s="10"/>
      <c r="H53" s="10"/>
      <c r="I53" s="10"/>
      <c r="J53" s="10"/>
      <c r="K53" s="10"/>
      <c r="L53" s="10"/>
      <c r="M53" s="10"/>
      <c r="N53" s="10"/>
    </row>
    <row r="54" spans="2:14" ht="15" thickBot="1" x14ac:dyDescent="0.4">
      <c r="B54" s="80"/>
      <c r="C54" s="8"/>
      <c r="D54" s="9"/>
      <c r="E54" s="9"/>
      <c r="F54" s="10"/>
      <c r="G54" s="10"/>
      <c r="H54" s="10"/>
      <c r="I54" s="10"/>
      <c r="J54" s="10"/>
      <c r="K54" s="10"/>
      <c r="L54" s="10"/>
      <c r="M54" s="10"/>
      <c r="N54" s="10"/>
    </row>
    <row r="55" spans="2:14" ht="15" thickBot="1" x14ac:dyDescent="0.4">
      <c r="B55" s="80"/>
      <c r="C55" s="8"/>
      <c r="D55" s="9"/>
      <c r="E55" s="9"/>
      <c r="F55" s="10"/>
      <c r="G55" s="10"/>
      <c r="H55" s="10"/>
      <c r="I55" s="10"/>
      <c r="J55" s="10"/>
      <c r="K55" s="10"/>
      <c r="L55" s="10"/>
      <c r="M55" s="10"/>
      <c r="N55" s="10"/>
    </row>
    <row r="56" spans="2:14" ht="15" thickBot="1" x14ac:dyDescent="0.4">
      <c r="B56" s="80"/>
      <c r="C56" s="8"/>
      <c r="D56" s="9"/>
      <c r="E56" s="9"/>
      <c r="F56" s="10"/>
      <c r="G56" s="10"/>
      <c r="H56" s="10"/>
      <c r="I56" s="10"/>
      <c r="J56" s="10"/>
      <c r="K56" s="10"/>
      <c r="L56" s="10"/>
      <c r="M56" s="10"/>
      <c r="N56" s="10"/>
    </row>
    <row r="57" spans="2:14" ht="15" thickBot="1" x14ac:dyDescent="0.4">
      <c r="B57" s="80"/>
      <c r="C57" s="8"/>
      <c r="D57" s="9"/>
      <c r="E57" s="9"/>
      <c r="F57" s="10"/>
      <c r="G57" s="10"/>
      <c r="H57" s="10"/>
      <c r="I57" s="10"/>
      <c r="J57" s="10"/>
      <c r="K57" s="10"/>
      <c r="L57" s="10"/>
      <c r="M57" s="10"/>
      <c r="N57" s="10"/>
    </row>
    <row r="58" spans="2:14" ht="15" thickBot="1" x14ac:dyDescent="0.4">
      <c r="B58" s="80"/>
      <c r="C58" s="8"/>
      <c r="D58" s="9"/>
      <c r="E58" s="9"/>
      <c r="F58" s="10"/>
      <c r="G58" s="10"/>
      <c r="H58" s="10"/>
      <c r="I58" s="10"/>
      <c r="J58" s="10"/>
      <c r="K58" s="10"/>
      <c r="L58" s="10"/>
      <c r="M58" s="10"/>
      <c r="N58" s="10"/>
    </row>
    <row r="59" spans="2:14" ht="15" thickBot="1" x14ac:dyDescent="0.4">
      <c r="B59" s="80"/>
      <c r="C59" s="8"/>
      <c r="D59" s="9"/>
      <c r="E59" s="9"/>
      <c r="F59" s="10"/>
      <c r="G59" s="10"/>
      <c r="H59" s="10"/>
      <c r="I59" s="10"/>
      <c r="J59" s="10"/>
      <c r="K59" s="10"/>
      <c r="L59" s="10"/>
      <c r="M59" s="10"/>
      <c r="N59" s="10"/>
    </row>
    <row r="60" spans="2:14" ht="15" thickBot="1" x14ac:dyDescent="0.4">
      <c r="B60" s="80"/>
      <c r="C60" s="8"/>
      <c r="D60" s="9"/>
      <c r="E60" s="9"/>
      <c r="F60" s="10"/>
      <c r="G60" s="10"/>
      <c r="H60" s="10"/>
      <c r="I60" s="10"/>
      <c r="J60" s="10"/>
      <c r="K60" s="10"/>
      <c r="L60" s="10"/>
      <c r="M60" s="10"/>
      <c r="N60" s="10"/>
    </row>
    <row r="61" spans="2:14" ht="15" thickBot="1" x14ac:dyDescent="0.4">
      <c r="B61" s="80"/>
      <c r="C61" s="8"/>
      <c r="D61" s="9"/>
      <c r="E61" s="9"/>
      <c r="F61" s="10"/>
      <c r="G61" s="10"/>
      <c r="H61" s="10"/>
      <c r="I61" s="10"/>
      <c r="J61" s="10"/>
      <c r="K61" s="10"/>
      <c r="L61" s="10"/>
      <c r="M61" s="10"/>
      <c r="N61" s="10"/>
    </row>
    <row r="62" spans="2:14" ht="15" thickBot="1" x14ac:dyDescent="0.4">
      <c r="B62" s="80"/>
      <c r="C62" s="8"/>
      <c r="D62" s="9"/>
      <c r="E62" s="9"/>
      <c r="F62" s="10"/>
      <c r="G62" s="10"/>
      <c r="H62" s="10"/>
      <c r="I62" s="10"/>
      <c r="J62" s="10"/>
      <c r="K62" s="10"/>
      <c r="L62" s="10"/>
      <c r="M62" s="10"/>
      <c r="N62" s="10"/>
    </row>
    <row r="63" spans="2:14" ht="15" thickBot="1" x14ac:dyDescent="0.4">
      <c r="B63" s="80"/>
      <c r="C63" s="8"/>
      <c r="D63" s="9"/>
      <c r="E63" s="9"/>
      <c r="F63" s="10"/>
      <c r="G63" s="10"/>
      <c r="H63" s="10"/>
      <c r="I63" s="10"/>
      <c r="J63" s="10"/>
      <c r="K63" s="10"/>
      <c r="L63" s="10"/>
      <c r="M63" s="10"/>
      <c r="N63" s="10"/>
    </row>
    <row r="64" spans="2:14" ht="15" thickBot="1" x14ac:dyDescent="0.4">
      <c r="B64" s="80"/>
      <c r="C64" s="8"/>
      <c r="D64" s="9"/>
      <c r="E64" s="9"/>
      <c r="F64" s="10"/>
      <c r="G64" s="10"/>
      <c r="H64" s="10"/>
      <c r="I64" s="10"/>
      <c r="J64" s="10"/>
      <c r="K64" s="10"/>
      <c r="L64" s="10"/>
      <c r="M64" s="10"/>
      <c r="N64" s="10"/>
    </row>
    <row r="65" spans="2:14" ht="15" thickBot="1" x14ac:dyDescent="0.4">
      <c r="B65" s="80"/>
      <c r="C65" s="8"/>
      <c r="D65" s="9"/>
      <c r="E65" s="9"/>
      <c r="F65" s="10"/>
      <c r="G65" s="10"/>
      <c r="H65" s="10"/>
      <c r="I65" s="10"/>
      <c r="J65" s="10"/>
      <c r="K65" s="10"/>
      <c r="L65" s="10"/>
      <c r="M65" s="10"/>
      <c r="N65" s="10"/>
    </row>
    <row r="66" spans="2:14" ht="15" thickBot="1" x14ac:dyDescent="0.4">
      <c r="B66" s="80"/>
      <c r="C66" s="8"/>
      <c r="D66" s="9"/>
      <c r="E66" s="9"/>
      <c r="F66" s="10"/>
      <c r="G66" s="10"/>
      <c r="H66" s="10"/>
      <c r="I66" s="10"/>
      <c r="J66" s="10"/>
      <c r="K66" s="10"/>
      <c r="L66" s="10"/>
      <c r="M66" s="10"/>
      <c r="N66" s="10"/>
    </row>
    <row r="67" spans="2:14" ht="15" thickBot="1" x14ac:dyDescent="0.4">
      <c r="B67" s="80"/>
      <c r="C67" s="8"/>
      <c r="D67" s="9"/>
      <c r="E67" s="9"/>
      <c r="F67" s="10"/>
      <c r="G67" s="10"/>
      <c r="H67" s="10"/>
      <c r="I67" s="10"/>
      <c r="J67" s="10"/>
      <c r="K67" s="10"/>
      <c r="L67" s="10"/>
      <c r="M67" s="10"/>
      <c r="N67" s="10"/>
    </row>
    <row r="68" spans="2:14" ht="15" thickBot="1" x14ac:dyDescent="0.4">
      <c r="B68" s="80"/>
      <c r="C68" s="8"/>
      <c r="D68" s="9"/>
      <c r="E68" s="9"/>
      <c r="F68" s="10"/>
      <c r="G68" s="10"/>
      <c r="H68" s="10"/>
      <c r="I68" s="10"/>
      <c r="J68" s="10"/>
      <c r="K68" s="10"/>
      <c r="L68" s="10"/>
      <c r="M68" s="10"/>
      <c r="N68" s="10"/>
    </row>
    <row r="69" spans="2:14" ht="15" thickBot="1" x14ac:dyDescent="0.4">
      <c r="B69" s="80"/>
      <c r="C69" s="8"/>
      <c r="D69" s="9"/>
      <c r="E69" s="9"/>
      <c r="F69" s="10"/>
      <c r="G69" s="10"/>
      <c r="H69" s="10"/>
      <c r="I69" s="10"/>
      <c r="J69" s="10"/>
      <c r="K69" s="10"/>
      <c r="L69" s="10"/>
      <c r="M69" s="10"/>
      <c r="N69" s="10"/>
    </row>
    <row r="70" spans="2:14" ht="15" thickBot="1" x14ac:dyDescent="0.4">
      <c r="B70" s="80"/>
      <c r="C70" s="8"/>
      <c r="D70" s="9"/>
      <c r="E70" s="9"/>
      <c r="F70" s="10"/>
      <c r="G70" s="10"/>
      <c r="H70" s="10"/>
      <c r="I70" s="10"/>
      <c r="J70" s="10"/>
      <c r="K70" s="10"/>
      <c r="L70" s="10"/>
      <c r="M70" s="10"/>
      <c r="N70" s="10"/>
    </row>
    <row r="71" spans="2:14" ht="15" thickBot="1" x14ac:dyDescent="0.4">
      <c r="B71" s="80"/>
      <c r="C71" s="8"/>
      <c r="D71" s="9"/>
      <c r="E71" s="9"/>
      <c r="F71" s="10"/>
      <c r="G71" s="10"/>
      <c r="H71" s="10"/>
      <c r="I71" s="10"/>
      <c r="J71" s="10"/>
      <c r="K71" s="10"/>
      <c r="L71" s="10"/>
      <c r="M71" s="10"/>
      <c r="N71" s="10"/>
    </row>
    <row r="72" spans="2:14" ht="15" thickBot="1" x14ac:dyDescent="0.4">
      <c r="B72" s="80"/>
      <c r="C72" s="8"/>
      <c r="D72" s="9"/>
      <c r="E72" s="9"/>
      <c r="F72" s="10"/>
      <c r="G72" s="10"/>
      <c r="H72" s="10"/>
      <c r="I72" s="10"/>
      <c r="J72" s="10"/>
      <c r="K72" s="10"/>
      <c r="L72" s="10"/>
      <c r="M72" s="10"/>
      <c r="N72" s="10"/>
    </row>
    <row r="73" spans="2:14" ht="15" thickBot="1" x14ac:dyDescent="0.4">
      <c r="B73" s="80"/>
      <c r="C73" s="8"/>
      <c r="D73" s="9"/>
      <c r="E73" s="9"/>
      <c r="F73" s="10"/>
      <c r="G73" s="10"/>
      <c r="H73" s="10"/>
      <c r="I73" s="10"/>
      <c r="J73" s="10"/>
      <c r="K73" s="10"/>
      <c r="L73" s="10"/>
      <c r="M73" s="10"/>
      <c r="N73" s="10"/>
    </row>
    <row r="74" spans="2:14" ht="15" thickBot="1" x14ac:dyDescent="0.4">
      <c r="B74" s="80"/>
      <c r="C74" s="8"/>
      <c r="D74" s="9"/>
      <c r="E74" s="9"/>
      <c r="F74" s="10"/>
      <c r="G74" s="10"/>
      <c r="H74" s="10"/>
      <c r="I74" s="10"/>
      <c r="J74" s="10"/>
      <c r="K74" s="10"/>
      <c r="L74" s="10"/>
      <c r="M74" s="10"/>
      <c r="N74" s="10"/>
    </row>
    <row r="75" spans="2:14" ht="15" thickBot="1" x14ac:dyDescent="0.4">
      <c r="B75" s="80"/>
      <c r="C75" s="8"/>
      <c r="D75" s="9"/>
      <c r="E75" s="9"/>
      <c r="F75" s="10"/>
      <c r="G75" s="10"/>
      <c r="H75" s="10"/>
      <c r="I75" s="10"/>
      <c r="J75" s="10"/>
      <c r="K75" s="10"/>
      <c r="L75" s="10"/>
      <c r="M75" s="10"/>
      <c r="N75" s="10"/>
    </row>
    <row r="76" spans="2:14" ht="15" thickBot="1" x14ac:dyDescent="0.4">
      <c r="B76" s="80"/>
      <c r="C76" s="8"/>
      <c r="D76" s="9"/>
      <c r="E76" s="9"/>
      <c r="F76" s="10"/>
      <c r="G76" s="10"/>
      <c r="H76" s="10"/>
      <c r="I76" s="10"/>
      <c r="J76" s="10"/>
      <c r="K76" s="10"/>
      <c r="L76" s="10"/>
      <c r="M76" s="10"/>
      <c r="N76" s="10"/>
    </row>
    <row r="77" spans="2:14" ht="15" thickBot="1" x14ac:dyDescent="0.4">
      <c r="B77" s="80"/>
      <c r="C77" s="8"/>
      <c r="D77" s="9"/>
      <c r="E77" s="9"/>
      <c r="F77" s="10"/>
      <c r="G77" s="10"/>
      <c r="H77" s="10"/>
      <c r="I77" s="10"/>
      <c r="J77" s="10"/>
      <c r="K77" s="10"/>
      <c r="L77" s="10"/>
      <c r="M77" s="10"/>
      <c r="N77" s="10"/>
    </row>
    <row r="78" spans="2:14" ht="15" thickBot="1" x14ac:dyDescent="0.4">
      <c r="B78" s="80"/>
      <c r="C78" s="8"/>
      <c r="D78" s="9"/>
      <c r="E78" s="9"/>
      <c r="F78" s="10"/>
      <c r="G78" s="10"/>
      <c r="H78" s="10"/>
      <c r="I78" s="10"/>
      <c r="J78" s="10"/>
      <c r="K78" s="10"/>
      <c r="L78" s="10"/>
      <c r="M78" s="10"/>
      <c r="N78" s="10"/>
    </row>
    <row r="79" spans="2:14" ht="15" thickBot="1" x14ac:dyDescent="0.4">
      <c r="B79" s="80"/>
      <c r="C79" s="8"/>
      <c r="D79" s="9"/>
      <c r="E79" s="9"/>
      <c r="F79" s="10"/>
      <c r="G79" s="10"/>
      <c r="H79" s="10"/>
      <c r="I79" s="10"/>
      <c r="J79" s="10"/>
      <c r="K79" s="10"/>
      <c r="L79" s="10"/>
      <c r="M79" s="10"/>
      <c r="N79" s="10"/>
    </row>
    <row r="80" spans="2:14" ht="15" thickBot="1" x14ac:dyDescent="0.4">
      <c r="B80" s="80"/>
      <c r="C80" s="8"/>
      <c r="D80" s="9"/>
      <c r="E80" s="9"/>
      <c r="F80" s="10"/>
      <c r="G80" s="10"/>
      <c r="H80" s="10"/>
      <c r="I80" s="10"/>
      <c r="J80" s="10"/>
      <c r="K80" s="10"/>
      <c r="L80" s="10"/>
      <c r="M80" s="10"/>
      <c r="N80" s="10"/>
    </row>
    <row r="81" spans="2:14" ht="15" thickBot="1" x14ac:dyDescent="0.4">
      <c r="B81" s="80"/>
      <c r="C81" s="8"/>
      <c r="D81" s="9"/>
      <c r="E81" s="9"/>
      <c r="F81" s="10"/>
      <c r="G81" s="10"/>
      <c r="H81" s="10"/>
      <c r="I81" s="10"/>
      <c r="J81" s="10"/>
      <c r="K81" s="10"/>
      <c r="L81" s="10"/>
      <c r="M81" s="10"/>
      <c r="N81" s="10"/>
    </row>
    <row r="82" spans="2:14" ht="15" thickBot="1" x14ac:dyDescent="0.4">
      <c r="B82" s="80"/>
      <c r="C82" s="8"/>
      <c r="D82" s="9"/>
      <c r="E82" s="9"/>
      <c r="F82" s="10"/>
      <c r="G82" s="10"/>
      <c r="H82" s="10"/>
      <c r="I82" s="10"/>
      <c r="J82" s="10"/>
      <c r="K82" s="10"/>
      <c r="L82" s="10"/>
      <c r="M82" s="10"/>
      <c r="N82" s="10"/>
    </row>
    <row r="83" spans="2:14" ht="15" thickBot="1" x14ac:dyDescent="0.4">
      <c r="B83" s="80"/>
      <c r="C83" s="8"/>
      <c r="D83" s="9"/>
      <c r="E83" s="9"/>
      <c r="F83" s="10"/>
      <c r="G83" s="10"/>
      <c r="H83" s="10"/>
      <c r="I83" s="10"/>
      <c r="J83" s="10"/>
      <c r="K83" s="10"/>
      <c r="L83" s="10"/>
      <c r="M83" s="10"/>
      <c r="N83" s="10"/>
    </row>
    <row r="84" spans="2:14" ht="15" thickBot="1" x14ac:dyDescent="0.4">
      <c r="B84" s="80"/>
      <c r="C84" s="8"/>
      <c r="D84" s="9"/>
      <c r="E84" s="9"/>
      <c r="F84" s="10"/>
      <c r="G84" s="10"/>
      <c r="H84" s="10"/>
      <c r="I84" s="10"/>
      <c r="J84" s="10"/>
      <c r="K84" s="10"/>
      <c r="L84" s="10"/>
      <c r="M84" s="10"/>
      <c r="N84" s="10"/>
    </row>
    <row r="85" spans="2:14" ht="15" thickBot="1" x14ac:dyDescent="0.4">
      <c r="B85" s="80"/>
      <c r="C85" s="8"/>
      <c r="D85" s="9"/>
      <c r="E85" s="9"/>
      <c r="F85" s="10"/>
      <c r="G85" s="10"/>
      <c r="H85" s="10"/>
      <c r="I85" s="10"/>
      <c r="J85" s="10"/>
      <c r="K85" s="10"/>
      <c r="L85" s="10"/>
      <c r="M85" s="10"/>
      <c r="N85" s="10"/>
    </row>
    <row r="86" spans="2:14" ht="15" thickBot="1" x14ac:dyDescent="0.4">
      <c r="B86" s="80"/>
      <c r="C86" s="8"/>
      <c r="D86" s="9"/>
      <c r="E86" s="9"/>
      <c r="F86" s="10"/>
      <c r="G86" s="10"/>
      <c r="H86" s="10"/>
      <c r="I86" s="10"/>
      <c r="J86" s="10"/>
      <c r="K86" s="10"/>
      <c r="L86" s="10"/>
      <c r="M86" s="10"/>
      <c r="N86" s="10"/>
    </row>
    <row r="87" spans="2:14" ht="15" thickBot="1" x14ac:dyDescent="0.4">
      <c r="B87" s="80"/>
      <c r="C87" s="8"/>
      <c r="D87" s="9"/>
      <c r="E87" s="9"/>
      <c r="F87" s="10"/>
      <c r="G87" s="10"/>
      <c r="H87" s="10"/>
      <c r="I87" s="10"/>
      <c r="J87" s="10"/>
      <c r="K87" s="10"/>
      <c r="L87" s="10"/>
      <c r="M87" s="10"/>
      <c r="N87" s="10"/>
    </row>
    <row r="88" spans="2:14" ht="15" thickBot="1" x14ac:dyDescent="0.4">
      <c r="B88" s="80"/>
      <c r="C88" s="8"/>
      <c r="D88" s="9"/>
      <c r="E88" s="9"/>
      <c r="F88" s="10"/>
      <c r="G88" s="10"/>
      <c r="H88" s="10"/>
      <c r="I88" s="10"/>
      <c r="J88" s="10"/>
      <c r="K88" s="10"/>
      <c r="L88" s="10"/>
      <c r="M88" s="10"/>
      <c r="N88" s="10"/>
    </row>
    <row r="89" spans="2:14" ht="15" thickBot="1" x14ac:dyDescent="0.4">
      <c r="B89" s="80"/>
      <c r="C89" s="8"/>
      <c r="D89" s="9"/>
      <c r="E89" s="9"/>
      <c r="F89" s="10"/>
      <c r="G89" s="10"/>
      <c r="H89" s="10"/>
      <c r="I89" s="10"/>
      <c r="J89" s="10"/>
      <c r="K89" s="10"/>
      <c r="L89" s="10"/>
      <c r="M89" s="10"/>
      <c r="N89" s="10"/>
    </row>
    <row r="90" spans="2:14" ht="15" thickBot="1" x14ac:dyDescent="0.4">
      <c r="B90" s="80"/>
      <c r="C90" s="8"/>
      <c r="D90" s="9"/>
      <c r="E90" s="9"/>
      <c r="F90" s="10"/>
      <c r="G90" s="10"/>
      <c r="H90" s="10"/>
      <c r="I90" s="10"/>
      <c r="J90" s="10"/>
      <c r="K90" s="10"/>
      <c r="L90" s="10"/>
      <c r="M90" s="10"/>
      <c r="N90" s="10"/>
    </row>
    <row r="91" spans="2:14" ht="15" thickBot="1" x14ac:dyDescent="0.4">
      <c r="B91" s="80"/>
      <c r="C91" s="8"/>
      <c r="D91" s="9"/>
      <c r="E91" s="9"/>
      <c r="F91" s="10"/>
      <c r="G91" s="10"/>
      <c r="H91" s="10"/>
      <c r="I91" s="10"/>
      <c r="J91" s="10"/>
      <c r="K91" s="10"/>
      <c r="L91" s="10"/>
      <c r="M91" s="10"/>
      <c r="N91" s="10"/>
    </row>
    <row r="92" spans="2:14" ht="15" thickBot="1" x14ac:dyDescent="0.4">
      <c r="B92" s="80"/>
      <c r="C92" s="8"/>
      <c r="D92" s="9"/>
      <c r="E92" s="9"/>
      <c r="F92" s="10"/>
      <c r="G92" s="10"/>
      <c r="H92" s="10"/>
      <c r="I92" s="10"/>
      <c r="J92" s="10"/>
      <c r="K92" s="10"/>
      <c r="L92" s="10"/>
      <c r="M92" s="10"/>
      <c r="N92" s="10"/>
    </row>
    <row r="93" spans="2:14" ht="15" thickBot="1" x14ac:dyDescent="0.4">
      <c r="B93" s="80"/>
      <c r="C93" s="8"/>
      <c r="D93" s="9"/>
      <c r="E93" s="9"/>
      <c r="F93" s="10"/>
      <c r="G93" s="10"/>
      <c r="H93" s="10"/>
      <c r="I93" s="10"/>
      <c r="J93" s="10"/>
      <c r="K93" s="10"/>
      <c r="L93" s="10"/>
      <c r="M93" s="10"/>
      <c r="N93" s="10"/>
    </row>
    <row r="94" spans="2:14" ht="15" thickBot="1" x14ac:dyDescent="0.4">
      <c r="B94" s="80"/>
      <c r="C94" s="8"/>
      <c r="D94" s="9"/>
      <c r="E94" s="9"/>
      <c r="F94" s="10"/>
      <c r="G94" s="10"/>
      <c r="H94" s="10"/>
      <c r="I94" s="10"/>
      <c r="J94" s="10"/>
      <c r="K94" s="10"/>
      <c r="L94" s="10"/>
      <c r="M94" s="10"/>
      <c r="N94" s="10"/>
    </row>
    <row r="95" spans="2:14" ht="15" thickBot="1" x14ac:dyDescent="0.4">
      <c r="B95" s="80"/>
      <c r="C95" s="8"/>
      <c r="D95" s="9"/>
      <c r="E95" s="9"/>
      <c r="F95" s="10"/>
      <c r="G95" s="10"/>
      <c r="H95" s="10"/>
      <c r="I95" s="10"/>
      <c r="J95" s="10"/>
      <c r="K95" s="10"/>
      <c r="L95" s="10"/>
      <c r="M95" s="10"/>
      <c r="N95" s="10"/>
    </row>
    <row r="96" spans="2:14" ht="15" thickBot="1" x14ac:dyDescent="0.4">
      <c r="B96" s="80"/>
      <c r="C96" s="8"/>
      <c r="D96" s="9"/>
      <c r="E96" s="9"/>
      <c r="F96" s="10"/>
      <c r="G96" s="10"/>
      <c r="H96" s="10"/>
      <c r="I96" s="10"/>
      <c r="J96" s="10"/>
      <c r="K96" s="10"/>
      <c r="L96" s="10"/>
      <c r="M96" s="10"/>
      <c r="N96" s="10"/>
    </row>
    <row r="97" spans="2:14" ht="15" thickBot="1" x14ac:dyDescent="0.4">
      <c r="B97" s="80"/>
      <c r="C97" s="8"/>
      <c r="D97" s="9"/>
      <c r="E97" s="9"/>
      <c r="F97" s="10"/>
      <c r="G97" s="10"/>
      <c r="H97" s="10"/>
      <c r="I97" s="10"/>
      <c r="J97" s="10"/>
      <c r="K97" s="10"/>
      <c r="L97" s="10"/>
      <c r="M97" s="10"/>
      <c r="N97" s="10"/>
    </row>
    <row r="98" spans="2:14" ht="15" thickBot="1" x14ac:dyDescent="0.4">
      <c r="B98" s="80"/>
      <c r="C98" s="8"/>
      <c r="D98" s="9"/>
      <c r="E98" s="9"/>
      <c r="F98" s="10"/>
      <c r="G98" s="10"/>
      <c r="H98" s="10"/>
      <c r="I98" s="10"/>
      <c r="J98" s="10"/>
      <c r="K98" s="10"/>
      <c r="L98" s="10"/>
      <c r="M98" s="10"/>
      <c r="N98" s="10"/>
    </row>
    <row r="99" spans="2:14" ht="15" thickBot="1" x14ac:dyDescent="0.4">
      <c r="B99" s="80"/>
      <c r="C99" s="8"/>
      <c r="D99" s="9"/>
      <c r="E99" s="9"/>
      <c r="F99" s="10"/>
      <c r="G99" s="10"/>
      <c r="H99" s="10"/>
      <c r="I99" s="10"/>
      <c r="J99" s="10"/>
      <c r="K99" s="10"/>
      <c r="L99" s="10"/>
      <c r="M99" s="10"/>
      <c r="N99" s="10"/>
    </row>
    <row r="100" spans="2:14" ht="15" thickBot="1" x14ac:dyDescent="0.4">
      <c r="B100" s="80"/>
      <c r="C100" s="8"/>
      <c r="D100" s="9"/>
      <c r="E100" s="9"/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2:14" ht="15" thickBot="1" x14ac:dyDescent="0.4">
      <c r="B101" s="80"/>
      <c r="C101" s="8"/>
      <c r="D101" s="9"/>
      <c r="E101" s="9"/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2:14" ht="15" thickBot="1" x14ac:dyDescent="0.4">
      <c r="B102" s="80"/>
      <c r="C102" s="8"/>
      <c r="D102" s="9"/>
      <c r="E102" s="9"/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2:14" ht="15" thickBot="1" x14ac:dyDescent="0.4">
      <c r="B103" s="80"/>
      <c r="C103" s="8"/>
      <c r="D103" s="9"/>
      <c r="E103" s="9"/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2:14" ht="15" thickBot="1" x14ac:dyDescent="0.4">
      <c r="B104" s="80"/>
      <c r="C104" s="8"/>
      <c r="D104" s="9"/>
      <c r="E104" s="9"/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2:14" ht="15" thickBot="1" x14ac:dyDescent="0.4">
      <c r="B105" s="80"/>
      <c r="C105" s="8"/>
      <c r="D105" s="9"/>
      <c r="E105" s="9"/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2:14" ht="15" thickBot="1" x14ac:dyDescent="0.4">
      <c r="B106" s="80"/>
      <c r="C106" s="8"/>
      <c r="D106" s="9"/>
      <c r="E106" s="9"/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2:14" ht="15" thickBot="1" x14ac:dyDescent="0.4">
      <c r="B107" s="80"/>
      <c r="C107" s="8"/>
      <c r="D107" s="9"/>
      <c r="E107" s="9"/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2:14" ht="15" thickBot="1" x14ac:dyDescent="0.4">
      <c r="B108" s="80"/>
      <c r="C108" s="8"/>
      <c r="D108" s="9"/>
      <c r="E108" s="9"/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2:14" ht="15" thickBot="1" x14ac:dyDescent="0.4">
      <c r="B109" s="80"/>
      <c r="C109" s="8"/>
      <c r="D109" s="9"/>
      <c r="E109" s="9"/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2:14" ht="15" thickBot="1" x14ac:dyDescent="0.4">
      <c r="B110" s="80"/>
      <c r="C110" s="8"/>
      <c r="D110" s="9"/>
      <c r="E110" s="9"/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2:14" ht="15" thickBot="1" x14ac:dyDescent="0.4">
      <c r="B111" s="80"/>
      <c r="C111" s="8"/>
      <c r="D111" s="9"/>
      <c r="E111" s="9"/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2:14" ht="15" thickBot="1" x14ac:dyDescent="0.4">
      <c r="B112" s="80"/>
      <c r="C112" s="8"/>
      <c r="D112" s="9"/>
      <c r="E112" s="9"/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2:14" ht="15" thickBot="1" x14ac:dyDescent="0.4">
      <c r="B113" s="80"/>
      <c r="C113" s="8"/>
      <c r="D113" s="9"/>
      <c r="E113" s="9"/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2:14" ht="15" thickBot="1" x14ac:dyDescent="0.4">
      <c r="B114" s="80"/>
      <c r="C114" s="8"/>
      <c r="D114" s="9"/>
      <c r="E114" s="9"/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2:14" ht="15" thickBot="1" x14ac:dyDescent="0.4">
      <c r="B115" s="80"/>
      <c r="C115" s="8"/>
      <c r="D115" s="9"/>
      <c r="E115" s="9"/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2:14" ht="15" thickBot="1" x14ac:dyDescent="0.4">
      <c r="B116" s="80"/>
      <c r="C116" s="8"/>
      <c r="D116" s="9"/>
      <c r="E116" s="9"/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2:14" ht="15" thickBot="1" x14ac:dyDescent="0.4">
      <c r="B117" s="80"/>
      <c r="C117" s="8"/>
      <c r="D117" s="9"/>
      <c r="E117" s="9"/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2:14" ht="15" thickBot="1" x14ac:dyDescent="0.4">
      <c r="B118" s="80"/>
      <c r="C118" s="8"/>
      <c r="D118" s="9"/>
      <c r="E118" s="9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2:14" ht="15" thickBot="1" x14ac:dyDescent="0.4">
      <c r="B119" s="80"/>
      <c r="C119" s="8"/>
      <c r="D119" s="9"/>
      <c r="E119" s="9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2:14" ht="15" thickBot="1" x14ac:dyDescent="0.4">
      <c r="B120" s="80"/>
      <c r="C120" s="8"/>
      <c r="D120" s="9"/>
      <c r="E120" s="9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2:14" ht="15" thickBot="1" x14ac:dyDescent="0.4">
      <c r="B121" s="80"/>
      <c r="C121" s="8"/>
      <c r="D121" s="9"/>
      <c r="E121" s="9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2:14" ht="15" thickBot="1" x14ac:dyDescent="0.4">
      <c r="B122" s="80"/>
      <c r="C122" s="8"/>
      <c r="D122" s="9"/>
      <c r="E122" s="9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2:14" ht="15" thickBot="1" x14ac:dyDescent="0.4">
      <c r="B123" s="80"/>
      <c r="C123" s="8"/>
      <c r="D123" s="9"/>
      <c r="E123" s="9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2:14" ht="15" thickBot="1" x14ac:dyDescent="0.4">
      <c r="B124" s="80"/>
      <c r="C124" s="8"/>
      <c r="D124" s="9"/>
      <c r="E124" s="9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2:14" ht="15" thickBot="1" x14ac:dyDescent="0.4">
      <c r="B125" s="80"/>
      <c r="C125" s="8"/>
      <c r="D125" s="9"/>
      <c r="E125" s="9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2:14" ht="15" thickBot="1" x14ac:dyDescent="0.4">
      <c r="B126" s="80"/>
      <c r="C126" s="8"/>
      <c r="D126" s="9"/>
      <c r="E126" s="9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2:14" ht="15" thickBot="1" x14ac:dyDescent="0.4">
      <c r="B127" s="80"/>
      <c r="C127" s="8"/>
      <c r="D127" s="9"/>
      <c r="E127" s="9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2:14" ht="15" thickBot="1" x14ac:dyDescent="0.4">
      <c r="B128" s="80"/>
      <c r="C128" s="8"/>
      <c r="D128" s="9"/>
      <c r="E128" s="9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2:14" ht="15" thickBot="1" x14ac:dyDescent="0.4">
      <c r="B129" s="80"/>
      <c r="C129" s="8"/>
      <c r="D129" s="9"/>
      <c r="E129" s="9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2:14" ht="15" thickBot="1" x14ac:dyDescent="0.4">
      <c r="B130" s="80"/>
      <c r="C130" s="8"/>
      <c r="D130" s="9"/>
      <c r="E130" s="9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2:14" ht="15" thickBot="1" x14ac:dyDescent="0.4">
      <c r="B131" s="80"/>
      <c r="C131" s="8"/>
      <c r="D131" s="9"/>
      <c r="E131" s="9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2:14" ht="15" thickBot="1" x14ac:dyDescent="0.4">
      <c r="B132" s="80"/>
      <c r="C132" s="8"/>
      <c r="D132" s="9"/>
      <c r="E132" s="9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2:14" ht="15" thickBot="1" x14ac:dyDescent="0.4">
      <c r="B133" s="80"/>
      <c r="C133" s="8"/>
      <c r="D133" s="9"/>
      <c r="E133" s="9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2:14" ht="15" thickBot="1" x14ac:dyDescent="0.4">
      <c r="B134" s="80"/>
      <c r="C134" s="8"/>
      <c r="D134" s="9"/>
      <c r="E134" s="9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2:14" ht="15" thickBot="1" x14ac:dyDescent="0.4">
      <c r="B135" s="80"/>
      <c r="C135" s="8"/>
      <c r="D135" s="9"/>
      <c r="E135" s="9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2:14" ht="15" thickBot="1" x14ac:dyDescent="0.4">
      <c r="B136" s="80"/>
      <c r="C136" s="8"/>
      <c r="D136" s="9"/>
      <c r="E136" s="9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2:14" ht="15" thickBot="1" x14ac:dyDescent="0.4">
      <c r="B137" s="80"/>
      <c r="C137" s="8"/>
      <c r="D137" s="9"/>
      <c r="E137" s="9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2:14" ht="15" thickBot="1" x14ac:dyDescent="0.4">
      <c r="B138" s="80"/>
      <c r="C138" s="8"/>
      <c r="D138" s="9"/>
      <c r="E138" s="9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2:14" ht="15" thickBot="1" x14ac:dyDescent="0.4">
      <c r="B139" s="80"/>
      <c r="C139" s="8"/>
      <c r="D139" s="9"/>
      <c r="E139" s="9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2:14" ht="15" thickBot="1" x14ac:dyDescent="0.4">
      <c r="B140" s="80"/>
      <c r="C140" s="8"/>
      <c r="D140" s="9"/>
      <c r="E140" s="9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2:14" ht="15" thickBot="1" x14ac:dyDescent="0.4">
      <c r="B141" s="80"/>
      <c r="C141" s="8"/>
      <c r="D141" s="9"/>
      <c r="E141" s="9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2:14" ht="15" thickBot="1" x14ac:dyDescent="0.4">
      <c r="B142" s="80"/>
      <c r="C142" s="8"/>
      <c r="D142" s="9"/>
      <c r="E142" s="9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2:14" ht="15" thickBot="1" x14ac:dyDescent="0.4">
      <c r="B143" s="80"/>
      <c r="C143" s="8"/>
      <c r="D143" s="9"/>
      <c r="E143" s="9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2:14" ht="15" thickBot="1" x14ac:dyDescent="0.4">
      <c r="B144" s="80"/>
      <c r="C144" s="8"/>
      <c r="D144" s="9"/>
      <c r="E144" s="9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2:14" ht="15" thickBot="1" x14ac:dyDescent="0.4">
      <c r="B145" s="80"/>
      <c r="C145" s="8"/>
      <c r="D145" s="9"/>
      <c r="E145" s="9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2:14" ht="15" thickBot="1" x14ac:dyDescent="0.4">
      <c r="B146" s="80"/>
      <c r="C146" s="8"/>
      <c r="D146" s="9"/>
      <c r="E146" s="9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2:14" ht="15" thickBot="1" x14ac:dyDescent="0.4">
      <c r="B147" s="80"/>
      <c r="C147" s="8"/>
      <c r="D147" s="9"/>
      <c r="E147" s="9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2:14" ht="15" thickBot="1" x14ac:dyDescent="0.4">
      <c r="B148" s="80"/>
      <c r="C148" s="8"/>
      <c r="D148" s="9"/>
      <c r="E148" s="9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2:14" ht="15" thickBot="1" x14ac:dyDescent="0.4">
      <c r="B149" s="80"/>
      <c r="C149" s="8"/>
      <c r="D149" s="9"/>
      <c r="E149" s="9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2:14" ht="15" thickBot="1" x14ac:dyDescent="0.4">
      <c r="B150" s="80"/>
      <c r="C150" s="8"/>
      <c r="D150" s="9"/>
      <c r="E150" s="9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2:14" ht="15" thickBot="1" x14ac:dyDescent="0.4">
      <c r="B151" s="80"/>
      <c r="C151" s="8"/>
      <c r="D151" s="9"/>
      <c r="E151" s="9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2:14" ht="15" thickBot="1" x14ac:dyDescent="0.4">
      <c r="B152" s="80"/>
      <c r="C152" s="8"/>
      <c r="D152" s="9"/>
      <c r="E152" s="9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2:14" ht="15" thickBot="1" x14ac:dyDescent="0.4">
      <c r="B153" s="80"/>
      <c r="C153" s="8"/>
      <c r="D153" s="9"/>
      <c r="E153" s="9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2:14" ht="15" thickBot="1" x14ac:dyDescent="0.4">
      <c r="B154" s="80"/>
      <c r="C154" s="8"/>
      <c r="D154" s="9"/>
      <c r="E154" s="9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2:14" ht="15" thickBot="1" x14ac:dyDescent="0.4">
      <c r="B155" s="80"/>
      <c r="C155" s="8"/>
      <c r="D155" s="9"/>
      <c r="E155" s="9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2:14" ht="15" thickBot="1" x14ac:dyDescent="0.4">
      <c r="B156" s="80"/>
      <c r="C156" s="8"/>
      <c r="D156" s="9"/>
      <c r="E156" s="9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2:14" ht="15" thickBot="1" x14ac:dyDescent="0.4">
      <c r="B157" s="80"/>
      <c r="C157" s="8"/>
      <c r="D157" s="9"/>
      <c r="E157" s="9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2:14" ht="15" thickBot="1" x14ac:dyDescent="0.4">
      <c r="B158" s="80"/>
      <c r="C158" s="8"/>
      <c r="D158" s="9"/>
      <c r="E158" s="9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2:14" ht="15" thickBot="1" x14ac:dyDescent="0.4">
      <c r="B159" s="80"/>
      <c r="C159" s="8"/>
      <c r="D159" s="9"/>
      <c r="E159" s="9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2:14" ht="15" thickBot="1" x14ac:dyDescent="0.4">
      <c r="B160" s="80"/>
      <c r="C160" s="8"/>
      <c r="D160" s="9"/>
      <c r="E160" s="9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2:14" ht="15" thickBot="1" x14ac:dyDescent="0.4">
      <c r="B161" s="80"/>
      <c r="C161" s="8"/>
      <c r="D161" s="9"/>
      <c r="E161" s="9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2:14" ht="15" thickBot="1" x14ac:dyDescent="0.4">
      <c r="B162" s="80"/>
      <c r="C162" s="8"/>
      <c r="D162" s="9"/>
      <c r="E162" s="9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2:14" ht="15" thickBot="1" x14ac:dyDescent="0.4">
      <c r="B163" s="80"/>
      <c r="C163" s="8"/>
      <c r="D163" s="9"/>
      <c r="E163" s="9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2:14" ht="15" thickBot="1" x14ac:dyDescent="0.4">
      <c r="B164" s="80"/>
      <c r="C164" s="8"/>
      <c r="D164" s="9"/>
      <c r="E164" s="9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2:14" ht="15" thickBot="1" x14ac:dyDescent="0.4">
      <c r="B165" s="80"/>
      <c r="C165" s="8"/>
      <c r="D165" s="9"/>
      <c r="E165" s="9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2:14" ht="15" thickBot="1" x14ac:dyDescent="0.4">
      <c r="B166" s="80"/>
      <c r="C166" s="8"/>
      <c r="D166" s="9"/>
      <c r="E166" s="9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2:14" ht="15" thickBot="1" x14ac:dyDescent="0.4">
      <c r="B167" s="80"/>
      <c r="C167" s="8"/>
      <c r="D167" s="9"/>
      <c r="E167" s="9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2:14" ht="15" thickBot="1" x14ac:dyDescent="0.4">
      <c r="B168" s="80"/>
      <c r="C168" s="8"/>
      <c r="D168" s="9"/>
      <c r="E168" s="9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2:14" ht="15" thickBot="1" x14ac:dyDescent="0.4">
      <c r="B169" s="80"/>
      <c r="C169" s="8"/>
      <c r="D169" s="9"/>
      <c r="E169" s="9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2:14" ht="15" thickBot="1" x14ac:dyDescent="0.4">
      <c r="B170" s="80"/>
      <c r="C170" s="8"/>
      <c r="D170" s="9"/>
      <c r="E170" s="9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2:14" ht="15" thickBot="1" x14ac:dyDescent="0.4">
      <c r="B171" s="80"/>
      <c r="C171" s="8"/>
      <c r="D171" s="9"/>
      <c r="E171" s="9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2:14" ht="15" thickBot="1" x14ac:dyDescent="0.4">
      <c r="B172" s="80"/>
      <c r="C172" s="8"/>
      <c r="D172" s="9"/>
      <c r="E172" s="9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2:14" ht="15" thickBot="1" x14ac:dyDescent="0.4">
      <c r="B173" s="80"/>
      <c r="C173" s="8"/>
      <c r="D173" s="9"/>
      <c r="E173" s="9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2:14" ht="15" thickBot="1" x14ac:dyDescent="0.4">
      <c r="B174" s="80"/>
      <c r="C174" s="8"/>
      <c r="D174" s="9"/>
      <c r="E174" s="9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2:14" ht="15" thickBot="1" x14ac:dyDescent="0.4">
      <c r="B175" s="80"/>
      <c r="C175" s="8"/>
      <c r="D175" s="9"/>
      <c r="E175" s="9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2:14" ht="15" thickBot="1" x14ac:dyDescent="0.4">
      <c r="B176" s="80"/>
      <c r="C176" s="8"/>
      <c r="D176" s="9"/>
      <c r="E176" s="9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2:14" ht="15" thickBot="1" x14ac:dyDescent="0.4">
      <c r="B177" s="80"/>
      <c r="C177" s="8"/>
      <c r="D177" s="9"/>
      <c r="E177" s="9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2:14" ht="15" thickBot="1" x14ac:dyDescent="0.4">
      <c r="B178" s="80"/>
      <c r="C178" s="8"/>
      <c r="D178" s="9"/>
      <c r="E178" s="9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2:14" ht="15" thickBot="1" x14ac:dyDescent="0.4">
      <c r="B179" s="80"/>
      <c r="C179" s="8"/>
      <c r="D179" s="9"/>
      <c r="E179" s="9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2:14" ht="15" thickBot="1" x14ac:dyDescent="0.4">
      <c r="B180" s="80"/>
      <c r="C180" s="8"/>
      <c r="D180" s="9"/>
      <c r="E180" s="9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2:14" ht="15" thickBot="1" x14ac:dyDescent="0.4">
      <c r="B181" s="80"/>
      <c r="C181" s="8"/>
      <c r="D181" s="9"/>
      <c r="E181" s="9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2:14" ht="15" thickBot="1" x14ac:dyDescent="0.4">
      <c r="B182" s="80"/>
      <c r="C182" s="8"/>
      <c r="D182" s="9"/>
      <c r="E182" s="9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2:14" ht="15" thickBot="1" x14ac:dyDescent="0.4">
      <c r="B183" s="80"/>
      <c r="C183" s="8"/>
      <c r="D183" s="9"/>
      <c r="E183" s="9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2:14" ht="15" thickBot="1" x14ac:dyDescent="0.4">
      <c r="B184" s="80"/>
      <c r="C184" s="8"/>
      <c r="D184" s="9"/>
      <c r="E184" s="9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2:14" ht="15" thickBot="1" x14ac:dyDescent="0.4">
      <c r="B185" s="80"/>
      <c r="C185" s="8"/>
      <c r="D185" s="9"/>
      <c r="E185" s="9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2:14" ht="15" thickBot="1" x14ac:dyDescent="0.4">
      <c r="B186" s="80"/>
      <c r="C186" s="8"/>
      <c r="D186" s="9"/>
      <c r="E186" s="9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2:14" ht="15" thickBot="1" x14ac:dyDescent="0.4">
      <c r="B187" s="80"/>
      <c r="C187" s="8"/>
      <c r="D187" s="9"/>
      <c r="E187" s="9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2:14" ht="15" thickBot="1" x14ac:dyDescent="0.4">
      <c r="B188" s="80"/>
      <c r="C188" s="8"/>
      <c r="D188" s="9"/>
      <c r="E188" s="9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2:14" ht="15" thickBot="1" x14ac:dyDescent="0.4">
      <c r="B189" s="80"/>
      <c r="C189" s="8"/>
      <c r="D189" s="9"/>
      <c r="E189" s="9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2:14" ht="15" thickBot="1" x14ac:dyDescent="0.4">
      <c r="B190" s="80"/>
      <c r="C190" s="8"/>
      <c r="D190" s="9"/>
      <c r="E190" s="9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2:14" ht="15" thickBot="1" x14ac:dyDescent="0.4">
      <c r="B191" s="80"/>
      <c r="C191" s="8"/>
      <c r="D191" s="9"/>
      <c r="E191" s="9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2:14" ht="15" thickBot="1" x14ac:dyDescent="0.4">
      <c r="B192" s="80"/>
      <c r="C192" s="8"/>
      <c r="D192" s="9"/>
      <c r="E192" s="9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2:14" ht="15" thickBot="1" x14ac:dyDescent="0.4">
      <c r="B193" s="80"/>
      <c r="C193" s="8"/>
      <c r="D193" s="9"/>
      <c r="E193" s="9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2:14" ht="15" thickBot="1" x14ac:dyDescent="0.4">
      <c r="B194" s="80"/>
      <c r="C194" s="8"/>
      <c r="D194" s="9"/>
      <c r="E194" s="9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2:14" ht="15" thickBot="1" x14ac:dyDescent="0.4">
      <c r="B195" s="80"/>
      <c r="C195" s="8"/>
      <c r="D195" s="9"/>
      <c r="E195" s="9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2:14" ht="15" thickBot="1" x14ac:dyDescent="0.4">
      <c r="B196" s="80"/>
      <c r="C196" s="8"/>
      <c r="D196" s="9"/>
      <c r="E196" s="9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2:14" ht="15" thickBot="1" x14ac:dyDescent="0.4">
      <c r="B197" s="80"/>
      <c r="C197" s="8"/>
      <c r="D197" s="9"/>
      <c r="E197" s="9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2:14" ht="15" thickBot="1" x14ac:dyDescent="0.4">
      <c r="B198" s="80"/>
      <c r="C198" s="8"/>
      <c r="D198" s="9"/>
      <c r="E198" s="9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2:14" ht="15" thickBot="1" x14ac:dyDescent="0.4">
      <c r="B199" s="80"/>
      <c r="C199" s="8"/>
      <c r="D199" s="9"/>
      <c r="E199" s="9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2:14" ht="15" thickBot="1" x14ac:dyDescent="0.4">
      <c r="B200" s="80"/>
      <c r="C200" s="8"/>
      <c r="D200" s="9"/>
      <c r="E200" s="9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2:14" ht="15" thickBot="1" x14ac:dyDescent="0.4">
      <c r="B201" s="80"/>
      <c r="C201" s="8"/>
      <c r="D201" s="9"/>
      <c r="E201" s="9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2:14" ht="15" thickBot="1" x14ac:dyDescent="0.4">
      <c r="B202" s="80"/>
      <c r="C202" s="8"/>
      <c r="D202" s="9"/>
      <c r="E202" s="9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2:14" ht="15" thickBot="1" x14ac:dyDescent="0.4">
      <c r="B203" s="80"/>
      <c r="C203" s="8"/>
      <c r="D203" s="9"/>
      <c r="E203" s="9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2:14" ht="15" thickBot="1" x14ac:dyDescent="0.4">
      <c r="B204" s="80"/>
      <c r="C204" s="8"/>
      <c r="D204" s="9"/>
      <c r="E204" s="9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2:14" ht="15" thickBot="1" x14ac:dyDescent="0.4">
      <c r="B205" s="80"/>
      <c r="C205" s="8"/>
      <c r="D205" s="9"/>
      <c r="E205" s="9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2:14" ht="15" thickBot="1" x14ac:dyDescent="0.4">
      <c r="B206" s="80"/>
      <c r="C206" s="8"/>
      <c r="D206" s="9"/>
      <c r="E206" s="9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2:14" ht="15" thickBot="1" x14ac:dyDescent="0.4">
      <c r="B207" s="80"/>
      <c r="C207" s="8"/>
      <c r="D207" s="9"/>
      <c r="E207" s="9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2:14" ht="15" thickBot="1" x14ac:dyDescent="0.4">
      <c r="B208" s="80"/>
      <c r="C208" s="8"/>
      <c r="D208" s="9"/>
      <c r="E208" s="9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2:14" ht="15" thickBot="1" x14ac:dyDescent="0.4">
      <c r="B209" s="80"/>
      <c r="C209" s="8"/>
      <c r="D209" s="9"/>
      <c r="E209" s="9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2:14" ht="15" thickBot="1" x14ac:dyDescent="0.4">
      <c r="B210" s="80"/>
      <c r="C210" s="8"/>
      <c r="D210" s="9"/>
      <c r="E210" s="9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2:14" ht="15" thickBot="1" x14ac:dyDescent="0.4">
      <c r="B211" s="80"/>
      <c r="C211" s="8"/>
      <c r="D211" s="9"/>
      <c r="E211" s="9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2:14" ht="15" thickBot="1" x14ac:dyDescent="0.4">
      <c r="B212" s="80"/>
      <c r="C212" s="8"/>
      <c r="D212" s="9"/>
      <c r="E212" s="9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2:14" ht="15" thickBot="1" x14ac:dyDescent="0.4">
      <c r="B213" s="80"/>
      <c r="C213" s="8"/>
      <c r="D213" s="9"/>
      <c r="E213" s="9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2:14" ht="15" thickBot="1" x14ac:dyDescent="0.4">
      <c r="B214" s="80"/>
      <c r="C214" s="8"/>
      <c r="D214" s="9"/>
      <c r="E214" s="9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2:14" x14ac:dyDescent="0.35">
      <c r="B215" s="80"/>
      <c r="C215" s="8"/>
      <c r="D215" s="9"/>
      <c r="E215" s="9"/>
      <c r="F215" s="10"/>
      <c r="G215" s="10"/>
      <c r="H215" s="10"/>
      <c r="I215" s="10"/>
      <c r="J215" s="10"/>
      <c r="K215" s="10"/>
      <c r="L215" s="10"/>
      <c r="M215" s="10"/>
      <c r="N215" s="10"/>
    </row>
  </sheetData>
  <conditionalFormatting sqref="E3:E215">
    <cfRule type="expression" priority="27">
      <formula>#REF!&lt;187=I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N37"/>
  <sheetViews>
    <sheetView topLeftCell="A25" workbookViewId="0">
      <selection activeCell="B1" sqref="B1:N36"/>
    </sheetView>
  </sheetViews>
  <sheetFormatPr baseColWidth="10" defaultColWidth="10.81640625" defaultRowHeight="14.5" x14ac:dyDescent="0.35"/>
  <cols>
    <col min="1" max="1" width="2.81640625" customWidth="1"/>
    <col min="2" max="2" width="5.1796875" customWidth="1"/>
    <col min="3" max="3" width="42" style="94" customWidth="1"/>
    <col min="4" max="4" width="5" style="94" customWidth="1"/>
    <col min="5" max="5" width="3.453125" style="94" customWidth="1"/>
    <col min="6" max="6" width="3.54296875" style="94" customWidth="1"/>
    <col min="7" max="7" width="3.81640625" style="94" customWidth="1"/>
    <col min="8" max="8" width="5.1796875" style="94" customWidth="1"/>
    <col min="9" max="9" width="5.54296875" style="94" customWidth="1"/>
    <col min="10" max="11" width="3.81640625" style="94" customWidth="1"/>
    <col min="12" max="12" width="4.453125" style="94" customWidth="1"/>
    <col min="13" max="13" width="4" style="94" bestFit="1" customWidth="1"/>
    <col min="14" max="14" width="4.81640625" style="94" customWidth="1"/>
  </cols>
  <sheetData>
    <row r="1" spans="2:14" ht="19" thickBot="1" x14ac:dyDescent="0.5">
      <c r="B1" s="231" t="s">
        <v>1769</v>
      </c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</row>
    <row r="2" spans="2:14" ht="77.25" customHeight="1" thickBot="1" x14ac:dyDescent="0.4">
      <c r="B2" s="24" t="s">
        <v>124</v>
      </c>
      <c r="C2" s="67" t="s">
        <v>125</v>
      </c>
      <c r="D2" s="68" t="s">
        <v>126</v>
      </c>
      <c r="E2" s="68" t="s">
        <v>127</v>
      </c>
      <c r="F2" s="69" t="s">
        <v>128</v>
      </c>
      <c r="G2" s="70" t="s">
        <v>308</v>
      </c>
      <c r="H2" s="71" t="s">
        <v>129</v>
      </c>
      <c r="I2" s="72" t="s">
        <v>130</v>
      </c>
      <c r="J2" s="73" t="s">
        <v>134</v>
      </c>
      <c r="K2" s="74" t="s">
        <v>135</v>
      </c>
      <c r="L2" s="75" t="s">
        <v>136</v>
      </c>
      <c r="M2" s="76" t="s">
        <v>137</v>
      </c>
      <c r="N2" s="77" t="s">
        <v>131</v>
      </c>
    </row>
    <row r="3" spans="2:14" x14ac:dyDescent="0.35">
      <c r="B3" s="66">
        <v>1</v>
      </c>
      <c r="C3" s="93" t="str">
        <f>GENERAL!C3</f>
        <v>AGRESOT SUAREZ DIEGO ALEJANDRO</v>
      </c>
      <c r="D3" s="95">
        <f>GENERAL!D3</f>
        <v>371.36548901056881</v>
      </c>
      <c r="E3" s="95" t="str">
        <f>GENERAL!E3</f>
        <v>A</v>
      </c>
      <c r="F3" s="96">
        <f>GENERAL!F3</f>
        <v>75.609756097560975</v>
      </c>
      <c r="G3" s="96">
        <f>GENERAL!G3</f>
        <v>74</v>
      </c>
      <c r="H3" s="96">
        <f>GENERAL!H3</f>
        <v>72</v>
      </c>
      <c r="I3" s="96">
        <f>GENERAL!I3</f>
        <v>84.482758620689651</v>
      </c>
      <c r="J3" s="96">
        <f>GENERAL!J3</f>
        <v>94.117647058823522</v>
      </c>
      <c r="K3" s="96">
        <f>GENERAL!K3</f>
        <v>94.73684210526315</v>
      </c>
      <c r="L3" s="96">
        <f>GENERAL!L3</f>
        <v>61.111111111111114</v>
      </c>
      <c r="M3" s="96">
        <f>GENERAL!M3</f>
        <v>100</v>
      </c>
      <c r="N3" s="96">
        <f>GENERAL!N3</f>
        <v>47.272727272727273</v>
      </c>
    </row>
    <row r="4" spans="2:14" x14ac:dyDescent="0.35">
      <c r="B4" s="66">
        <v>2</v>
      </c>
      <c r="C4" s="93" t="str">
        <f>GENERAL!C4</f>
        <v>BRAVO FLOREZ MIGUEL ANDRES</v>
      </c>
      <c r="D4" s="95">
        <f>GENERAL!D4</f>
        <v>167.07799349515079</v>
      </c>
      <c r="E4" s="95" t="str">
        <f>GENERAL!E4</f>
        <v>I</v>
      </c>
      <c r="F4" s="96">
        <f>GENERAL!F4</f>
        <v>41.463414634146339</v>
      </c>
      <c r="G4" s="96">
        <f>GENERAL!G4</f>
        <v>42</v>
      </c>
      <c r="H4" s="96">
        <f>GENERAL!H4</f>
        <v>20</v>
      </c>
      <c r="I4" s="96">
        <f>GENERAL!I4</f>
        <v>31.03448275862069</v>
      </c>
      <c r="J4" s="96">
        <f>GENERAL!J4</f>
        <v>29.411764705882355</v>
      </c>
      <c r="K4" s="96">
        <f>GENERAL!K4</f>
        <v>36.84210526315789</v>
      </c>
      <c r="L4" s="96">
        <f>GENERAL!L4</f>
        <v>22.222222222222221</v>
      </c>
      <c r="M4" s="96">
        <f>GENERAL!M4</f>
        <v>50</v>
      </c>
      <c r="N4" s="96">
        <f>GENERAL!N4</f>
        <v>30.90909090909091</v>
      </c>
    </row>
    <row r="5" spans="2:14" x14ac:dyDescent="0.35">
      <c r="B5" s="66">
        <v>3</v>
      </c>
      <c r="C5" s="93" t="str">
        <f>GENERAL!C5</f>
        <v>CALDERA CALVO MARIA ALEJANDRA</v>
      </c>
      <c r="D5" s="95">
        <f>GENERAL!D5</f>
        <v>222.98864298023256</v>
      </c>
      <c r="E5" s="95" t="str">
        <f>GENERAL!E5</f>
        <v>M</v>
      </c>
      <c r="F5" s="96">
        <f>GENERAL!F5</f>
        <v>46.341463414634148</v>
      </c>
      <c r="G5" s="96">
        <f>GENERAL!G5</f>
        <v>40</v>
      </c>
      <c r="H5" s="96">
        <f>GENERAL!H5</f>
        <v>44</v>
      </c>
      <c r="I5" s="96">
        <f>GENERAL!I5</f>
        <v>46.551724137931032</v>
      </c>
      <c r="J5" s="96">
        <f>GENERAL!J5</f>
        <v>23.52941176470588</v>
      </c>
      <c r="K5" s="96">
        <f>GENERAL!K5</f>
        <v>68.421052631578945</v>
      </c>
      <c r="L5" s="96">
        <f>GENERAL!L5</f>
        <v>38.888888888888893</v>
      </c>
      <c r="M5" s="96">
        <f>GENERAL!M5</f>
        <v>75</v>
      </c>
      <c r="N5" s="96">
        <f>GENERAL!N5</f>
        <v>49.090909090909093</v>
      </c>
    </row>
    <row r="6" spans="2:14" x14ac:dyDescent="0.35">
      <c r="B6" s="66">
        <v>4</v>
      </c>
      <c r="C6" s="93" t="str">
        <f>GENERAL!C6</f>
        <v>CARVAJAL MIRANDA YOELIS MARIA</v>
      </c>
      <c r="D6" s="95">
        <f>GENERAL!D6</f>
        <v>183.35705505596169</v>
      </c>
      <c r="E6" s="95" t="str">
        <f>GENERAL!E6</f>
        <v>I</v>
      </c>
      <c r="F6" s="96">
        <f>GENERAL!F6</f>
        <v>39.024390243902438</v>
      </c>
      <c r="G6" s="96">
        <f>GENERAL!G6</f>
        <v>24</v>
      </c>
      <c r="H6" s="96">
        <f>GENERAL!H6</f>
        <v>36</v>
      </c>
      <c r="I6" s="96">
        <f>GENERAL!I6</f>
        <v>46.551724137931032</v>
      </c>
      <c r="J6" s="96">
        <f>GENERAL!J6</f>
        <v>35.294117647058826</v>
      </c>
      <c r="K6" s="96">
        <f>GENERAL!K6</f>
        <v>47.368421052631575</v>
      </c>
      <c r="L6" s="96">
        <f>GENERAL!L6</f>
        <v>55.555555555555557</v>
      </c>
      <c r="M6" s="96">
        <f>GENERAL!M6</f>
        <v>50</v>
      </c>
      <c r="N6" s="96">
        <f>GENERAL!N6</f>
        <v>40</v>
      </c>
    </row>
    <row r="7" spans="2:14" x14ac:dyDescent="0.35">
      <c r="B7" s="66">
        <v>5</v>
      </c>
      <c r="C7" s="93" t="str">
        <f>GENERAL!C7</f>
        <v>DIAZ DONADO ROSA ANDREA</v>
      </c>
      <c r="D7" s="95">
        <f>GENERAL!D7</f>
        <v>198.66332994171515</v>
      </c>
      <c r="E7" s="95" t="str">
        <f>GENERAL!E7</f>
        <v>M</v>
      </c>
      <c r="F7" s="96">
        <f>GENERAL!F7</f>
        <v>56.097560975609753</v>
      </c>
      <c r="G7" s="96">
        <f>GENERAL!G7</f>
        <v>42</v>
      </c>
      <c r="H7" s="96">
        <f>GENERAL!H7</f>
        <v>36</v>
      </c>
      <c r="I7" s="96">
        <f>GENERAL!I7</f>
        <v>24.137931034482758</v>
      </c>
      <c r="J7" s="96">
        <f>GENERAL!J7</f>
        <v>29.411764705882355</v>
      </c>
      <c r="K7" s="96">
        <f>GENERAL!K7</f>
        <v>31.578947368421051</v>
      </c>
      <c r="L7" s="96">
        <f>GENERAL!L7</f>
        <v>16.666666666666664</v>
      </c>
      <c r="M7" s="96">
        <f>GENERAL!M7</f>
        <v>0</v>
      </c>
      <c r="N7" s="96">
        <f>GENERAL!N7</f>
        <v>41.81818181818182</v>
      </c>
    </row>
    <row r="8" spans="2:14" x14ac:dyDescent="0.35">
      <c r="B8" s="66">
        <v>6</v>
      </c>
      <c r="C8" s="93" t="str">
        <f>GENERAL!C8</f>
        <v>DIAZ MARTINEZ DINA MARCELA</v>
      </c>
      <c r="D8" s="95">
        <f>GENERAL!D8</f>
        <v>187.78435189705164</v>
      </c>
      <c r="E8" s="95" t="str">
        <f>GENERAL!E8</f>
        <v>M</v>
      </c>
      <c r="F8" s="96">
        <f>GENERAL!F8</f>
        <v>39.024390243902438</v>
      </c>
      <c r="G8" s="96">
        <f>GENERAL!G8</f>
        <v>30</v>
      </c>
      <c r="H8" s="96">
        <f>GENERAL!H8</f>
        <v>46</v>
      </c>
      <c r="I8" s="96">
        <f>GENERAL!I8</f>
        <v>36.206896551724135</v>
      </c>
      <c r="J8" s="96">
        <f>GENERAL!J8</f>
        <v>35.294117647058826</v>
      </c>
      <c r="K8" s="96">
        <f>GENERAL!K8</f>
        <v>31.578947368421051</v>
      </c>
      <c r="L8" s="96">
        <f>GENERAL!L8</f>
        <v>38.888888888888893</v>
      </c>
      <c r="M8" s="96">
        <f>GENERAL!M8</f>
        <v>50</v>
      </c>
      <c r="N8" s="96">
        <f>GENERAL!N8</f>
        <v>34.545454545454547</v>
      </c>
    </row>
    <row r="9" spans="2:14" x14ac:dyDescent="0.35">
      <c r="B9" s="66">
        <v>7</v>
      </c>
      <c r="C9" s="93" t="str">
        <f>GENERAL!C9</f>
        <v>LAGARES PEREZ OVIER ANTONIO</v>
      </c>
      <c r="D9" s="95">
        <f>GENERAL!D9</f>
        <v>220.06157845518655</v>
      </c>
      <c r="E9" s="95" t="str">
        <f>GENERAL!E9</f>
        <v>M</v>
      </c>
      <c r="F9" s="96">
        <f>GENERAL!F9</f>
        <v>51.219512195121951</v>
      </c>
      <c r="G9" s="96">
        <f>GENERAL!G9</f>
        <v>44</v>
      </c>
      <c r="H9" s="96">
        <f>GENERAL!H9</f>
        <v>42</v>
      </c>
      <c r="I9" s="96">
        <f>GENERAL!I9</f>
        <v>41.379310344827587</v>
      </c>
      <c r="J9" s="96">
        <f>GENERAL!J9</f>
        <v>41.17647058823529</v>
      </c>
      <c r="K9" s="96">
        <f>GENERAL!K9</f>
        <v>42.105263157894733</v>
      </c>
      <c r="L9" s="96">
        <f>GENERAL!L9</f>
        <v>38.888888888888893</v>
      </c>
      <c r="M9" s="96">
        <f>GENERAL!M9</f>
        <v>50</v>
      </c>
      <c r="N9" s="96">
        <f>GENERAL!N9</f>
        <v>36.363636363636367</v>
      </c>
    </row>
    <row r="10" spans="2:14" x14ac:dyDescent="0.35">
      <c r="B10" s="66">
        <v>8</v>
      </c>
      <c r="C10" s="93" t="str">
        <f>GENERAL!C10</f>
        <v xml:space="preserve">SANTANA RAMOS EUSEBIO </v>
      </c>
      <c r="D10" s="95">
        <f>GENERAL!D10</f>
        <v>234.82923300416991</v>
      </c>
      <c r="E10" s="95" t="str">
        <f>GENERAL!E10</f>
        <v>M</v>
      </c>
      <c r="F10" s="96">
        <f>GENERAL!F10</f>
        <v>56.097560975609753</v>
      </c>
      <c r="G10" s="96">
        <f>GENERAL!G10</f>
        <v>36</v>
      </c>
      <c r="H10" s="96">
        <f>GENERAL!H10</f>
        <v>50</v>
      </c>
      <c r="I10" s="96">
        <f>GENERAL!I10</f>
        <v>51.724137931034484</v>
      </c>
      <c r="J10" s="96">
        <f>GENERAL!J10</f>
        <v>41.17647058823529</v>
      </c>
      <c r="K10" s="96">
        <f>GENERAL!K10</f>
        <v>63.157894736842103</v>
      </c>
      <c r="L10" s="96">
        <f>GENERAL!L10</f>
        <v>44.444444444444443</v>
      </c>
      <c r="M10" s="96">
        <f>GENERAL!M10</f>
        <v>75</v>
      </c>
      <c r="N10" s="96">
        <f>GENERAL!N10</f>
        <v>29.09090909090909</v>
      </c>
    </row>
    <row r="11" spans="2:14" x14ac:dyDescent="0.35">
      <c r="B11" s="66">
        <v>9</v>
      </c>
      <c r="C11" s="93" t="str">
        <f>GENERAL!C11</f>
        <v xml:space="preserve">TRIVIÑO AYALA JONATHAN </v>
      </c>
      <c r="D11" s="95">
        <f>GENERAL!D11</f>
        <v>208.58581284148985</v>
      </c>
      <c r="E11" s="95" t="str">
        <f>GENERAL!E11</f>
        <v>M</v>
      </c>
      <c r="F11" s="96">
        <f>GENERAL!F11</f>
        <v>51.219512195121951</v>
      </c>
      <c r="G11" s="96">
        <f>GENERAL!G11</f>
        <v>38</v>
      </c>
      <c r="H11" s="96">
        <f>GENERAL!H11</f>
        <v>34</v>
      </c>
      <c r="I11" s="96">
        <f>GENERAL!I11</f>
        <v>44.827586206896555</v>
      </c>
      <c r="J11" s="96">
        <f>GENERAL!J11</f>
        <v>58.82352941176471</v>
      </c>
      <c r="K11" s="96">
        <f>GENERAL!K11</f>
        <v>36.84210526315789</v>
      </c>
      <c r="L11" s="96">
        <f>GENERAL!L11</f>
        <v>33.333333333333329</v>
      </c>
      <c r="M11" s="96">
        <f>GENERAL!M11</f>
        <v>75</v>
      </c>
      <c r="N11" s="96">
        <f>GENERAL!N11</f>
        <v>38.18181818181818</v>
      </c>
    </row>
    <row r="12" spans="2:14" x14ac:dyDescent="0.35">
      <c r="B12" s="66">
        <v>10</v>
      </c>
      <c r="C12" s="93" t="str">
        <f>GENERAL!C12</f>
        <v>VELASQUEZ GANOT MARIA JOSE</v>
      </c>
      <c r="D12" s="95">
        <f>GENERAL!D12</f>
        <v>193.24889576361403</v>
      </c>
      <c r="E12" s="95" t="str">
        <f>GENERAL!E12</f>
        <v>M</v>
      </c>
      <c r="F12" s="96">
        <f>GENERAL!F12</f>
        <v>43.902439024390247</v>
      </c>
      <c r="G12" s="96">
        <f>GENERAL!G12</f>
        <v>40</v>
      </c>
      <c r="H12" s="96">
        <f>GENERAL!H12</f>
        <v>38</v>
      </c>
      <c r="I12" s="96">
        <f>GENERAL!I12</f>
        <v>31.03448275862069</v>
      </c>
      <c r="J12" s="96">
        <f>GENERAL!J12</f>
        <v>29.411764705882355</v>
      </c>
      <c r="K12" s="96">
        <f>GENERAL!K12</f>
        <v>36.84210526315789</v>
      </c>
      <c r="L12" s="96">
        <f>GENERAL!L12</f>
        <v>27.777777777777779</v>
      </c>
      <c r="M12" s="96">
        <f>GENERAL!M12</f>
        <v>25</v>
      </c>
      <c r="N12" s="96">
        <f>GENERAL!N12</f>
        <v>43.636363636363633</v>
      </c>
    </row>
    <row r="13" spans="2:14" x14ac:dyDescent="0.35">
      <c r="B13" s="66">
        <v>11</v>
      </c>
      <c r="C13" s="93" t="str">
        <f>GENERAL!C13</f>
        <v>ZARZA BARRAGAN JOHAN SEBASTIAN</v>
      </c>
      <c r="D13" s="95">
        <f>GENERAL!D13</f>
        <v>158.57234439236123</v>
      </c>
      <c r="E13" s="95" t="str">
        <f>GENERAL!E13</f>
        <v>I</v>
      </c>
      <c r="F13" s="96">
        <f>GENERAL!F13</f>
        <v>31.707317073170731</v>
      </c>
      <c r="G13" s="96">
        <f>GENERAL!G13</f>
        <v>32</v>
      </c>
      <c r="H13" s="96">
        <f>GENERAL!H13</f>
        <v>26</v>
      </c>
      <c r="I13" s="96">
        <f>GENERAL!I13</f>
        <v>36.206896551724135</v>
      </c>
      <c r="J13" s="96">
        <f>GENERAL!J13</f>
        <v>35.294117647058826</v>
      </c>
      <c r="K13" s="96">
        <f>GENERAL!K13</f>
        <v>36.84210526315789</v>
      </c>
      <c r="L13" s="96">
        <f>GENERAL!L13</f>
        <v>22.222222222222221</v>
      </c>
      <c r="M13" s="96">
        <f>GENERAL!M13</f>
        <v>100</v>
      </c>
      <c r="N13" s="96">
        <f>GENERAL!N13</f>
        <v>34.545454545454547</v>
      </c>
    </row>
    <row r="14" spans="2:14" x14ac:dyDescent="0.35">
      <c r="B14" s="66">
        <v>12</v>
      </c>
      <c r="C14" s="93" t="str">
        <f>GENERAL!C14</f>
        <v xml:space="preserve">BENITEZ GALINDO SAMUEL DAVID  </v>
      </c>
      <c r="D14" s="95">
        <f>GENERAL!D14</f>
        <v>142.92524128520765</v>
      </c>
      <c r="E14" s="95" t="str">
        <f>GENERAL!E14</f>
        <v>I</v>
      </c>
      <c r="F14" s="96">
        <f>GENERAL!F14</f>
        <v>36.585365853658537</v>
      </c>
      <c r="G14" s="96">
        <f>GENERAL!G14</f>
        <v>26</v>
      </c>
      <c r="H14" s="96">
        <f>GENERAL!H14</f>
        <v>24</v>
      </c>
      <c r="I14" s="96">
        <f>GENERAL!I14</f>
        <v>27.586206896551722</v>
      </c>
      <c r="J14" s="96">
        <f>GENERAL!J14</f>
        <v>29.411764705882355</v>
      </c>
      <c r="K14" s="96">
        <f>GENERAL!K14</f>
        <v>36.84210526315789</v>
      </c>
      <c r="L14" s="96">
        <f>GENERAL!L14</f>
        <v>11.111111111111111</v>
      </c>
      <c r="M14" s="96">
        <f>GENERAL!M14</f>
        <v>50</v>
      </c>
      <c r="N14" s="96">
        <f>GENERAL!N14</f>
        <v>29.09090909090909</v>
      </c>
    </row>
    <row r="15" spans="2:14" x14ac:dyDescent="0.35">
      <c r="B15" s="66">
        <v>13</v>
      </c>
      <c r="C15" s="93" t="str">
        <f>GENERAL!C15</f>
        <v xml:space="preserve">CASTAÑO EMERIS DANIELA LUCIA  </v>
      </c>
      <c r="D15" s="95">
        <f>GENERAL!D15</f>
        <v>146.32217236086035</v>
      </c>
      <c r="E15" s="95" t="str">
        <f>GENERAL!E15</f>
        <v>I</v>
      </c>
      <c r="F15" s="96">
        <f>GENERAL!F15</f>
        <v>26.829268292682926</v>
      </c>
      <c r="G15" s="96">
        <f>GENERAL!G15</f>
        <v>30</v>
      </c>
      <c r="H15" s="96">
        <f>GENERAL!H15</f>
        <v>32</v>
      </c>
      <c r="I15" s="96">
        <f>GENERAL!I15</f>
        <v>25.862068965517242</v>
      </c>
      <c r="J15" s="96">
        <f>GENERAL!J15</f>
        <v>35.294117647058826</v>
      </c>
      <c r="K15" s="96">
        <f>GENERAL!K15</f>
        <v>26.315789473684209</v>
      </c>
      <c r="L15" s="96">
        <f>GENERAL!L15</f>
        <v>22.222222222222221</v>
      </c>
      <c r="M15" s="96">
        <f>GENERAL!M15</f>
        <v>0</v>
      </c>
      <c r="N15" s="96">
        <f>GENERAL!N15</f>
        <v>36.363636363636367</v>
      </c>
    </row>
    <row r="16" spans="2:14" x14ac:dyDescent="0.35">
      <c r="B16" s="66">
        <v>14</v>
      </c>
      <c r="C16" s="93" t="str">
        <f>GENERAL!C16</f>
        <v xml:space="preserve">CAUSIL RAMOS SANTIAGO DAVID  </v>
      </c>
      <c r="D16" s="95">
        <f>GENERAL!D16</f>
        <v>117.82634522752269</v>
      </c>
      <c r="E16" s="95" t="str">
        <f>GENERAL!E16</f>
        <v>I</v>
      </c>
      <c r="F16" s="96">
        <f>GENERAL!F16</f>
        <v>19.512195121951219</v>
      </c>
      <c r="G16" s="96">
        <f>GENERAL!G16</f>
        <v>22</v>
      </c>
      <c r="H16" s="96">
        <f>GENERAL!H16</f>
        <v>14.000000000000002</v>
      </c>
      <c r="I16" s="96">
        <f>GENERAL!I16</f>
        <v>34.482758620689658</v>
      </c>
      <c r="J16" s="96">
        <f>GENERAL!J16</f>
        <v>29.411764705882355</v>
      </c>
      <c r="K16" s="96">
        <f>GENERAL!K16</f>
        <v>52.631578947368418</v>
      </c>
      <c r="L16" s="96">
        <f>GENERAL!L16</f>
        <v>22.222222222222221</v>
      </c>
      <c r="M16" s="96">
        <f>GENERAL!M16</f>
        <v>25</v>
      </c>
      <c r="N16" s="96">
        <f>GENERAL!N16</f>
        <v>36.363636363636367</v>
      </c>
    </row>
    <row r="17" spans="2:14" x14ac:dyDescent="0.35">
      <c r="B17" s="66">
        <v>15</v>
      </c>
      <c r="C17" s="93" t="str">
        <f>GENERAL!C17</f>
        <v xml:space="preserve">CHAMORRO ARTEAGA JUAN DAVID  </v>
      </c>
      <c r="D17" s="95">
        <f>GENERAL!D17</f>
        <v>148.47571268092713</v>
      </c>
      <c r="E17" s="95" t="str">
        <f>GENERAL!E17</f>
        <v>I</v>
      </c>
      <c r="F17" s="96">
        <f>GENERAL!F17</f>
        <v>29.26829268292683</v>
      </c>
      <c r="G17" s="96">
        <f>GENERAL!G17</f>
        <v>36</v>
      </c>
      <c r="H17" s="96">
        <f>GENERAL!H17</f>
        <v>32</v>
      </c>
      <c r="I17" s="96">
        <f>GENERAL!I17</f>
        <v>24.137931034482758</v>
      </c>
      <c r="J17" s="96">
        <f>GENERAL!J17</f>
        <v>23.52941176470588</v>
      </c>
      <c r="K17" s="96">
        <f>GENERAL!K17</f>
        <v>5.2631578947368416</v>
      </c>
      <c r="L17" s="96">
        <f>GENERAL!L17</f>
        <v>38.888888888888893</v>
      </c>
      <c r="M17" s="96">
        <f>GENERAL!M17</f>
        <v>50</v>
      </c>
      <c r="N17" s="96">
        <f>GENERAL!N17</f>
        <v>21.818181818181817</v>
      </c>
    </row>
    <row r="18" spans="2:14" x14ac:dyDescent="0.35">
      <c r="B18" s="66">
        <v>16</v>
      </c>
      <c r="C18" s="93" t="str">
        <f>GENERAL!C18</f>
        <v xml:space="preserve">LOZANO BENITEZ HECTOR DAVID  </v>
      </c>
      <c r="D18" s="95">
        <f>GENERAL!D18</f>
        <v>161.06383103859974</v>
      </c>
      <c r="E18" s="95" t="str">
        <f>GENERAL!E18</f>
        <v>I</v>
      </c>
      <c r="F18" s="96">
        <f>GENERAL!F18</f>
        <v>39.024390243902438</v>
      </c>
      <c r="G18" s="96">
        <f>GENERAL!G18</f>
        <v>34</v>
      </c>
      <c r="H18" s="96">
        <f>GENERAL!H18</f>
        <v>16</v>
      </c>
      <c r="I18" s="96">
        <f>GENERAL!I18</f>
        <v>39.655172413793103</v>
      </c>
      <c r="J18" s="96">
        <f>GENERAL!J18</f>
        <v>35.294117647058826</v>
      </c>
      <c r="K18" s="96">
        <f>GENERAL!K18</f>
        <v>36.84210526315789</v>
      </c>
      <c r="L18" s="96">
        <f>GENERAL!L18</f>
        <v>38.888888888888893</v>
      </c>
      <c r="M18" s="96">
        <f>GENERAL!M18</f>
        <v>75</v>
      </c>
      <c r="N18" s="96">
        <f>GENERAL!N18</f>
        <v>32.727272727272727</v>
      </c>
    </row>
    <row r="19" spans="2:14" x14ac:dyDescent="0.35">
      <c r="B19" s="66">
        <v>17</v>
      </c>
      <c r="C19" s="93" t="str">
        <f>GENERAL!C19</f>
        <v xml:space="preserve">MACHADO CARVAJAL YANDRI VANESSA  </v>
      </c>
      <c r="D19" s="95">
        <f>GENERAL!D19</f>
        <v>181.81618213577843</v>
      </c>
      <c r="E19" s="95" t="str">
        <f>GENERAL!E19</f>
        <v>I</v>
      </c>
      <c r="F19" s="96">
        <f>GENERAL!F19</f>
        <v>39.024390243902438</v>
      </c>
      <c r="G19" s="96">
        <f>GENERAL!G19</f>
        <v>42</v>
      </c>
      <c r="H19" s="96">
        <f>GENERAL!H19</f>
        <v>34</v>
      </c>
      <c r="I19" s="96">
        <f>GENERAL!I19</f>
        <v>31.03448275862069</v>
      </c>
      <c r="J19" s="96">
        <f>GENERAL!J19</f>
        <v>23.52941176470588</v>
      </c>
      <c r="K19" s="96">
        <f>GENERAL!K19</f>
        <v>36.84210526315789</v>
      </c>
      <c r="L19" s="96">
        <f>GENERAL!L19</f>
        <v>27.777777777777779</v>
      </c>
      <c r="M19" s="96">
        <f>GENERAL!M19</f>
        <v>50</v>
      </c>
      <c r="N19" s="96">
        <f>GENERAL!N19</f>
        <v>34.545454545454547</v>
      </c>
    </row>
    <row r="20" spans="2:14" x14ac:dyDescent="0.35">
      <c r="B20" s="66">
        <v>18</v>
      </c>
      <c r="C20" s="93" t="str">
        <f>GENERAL!C20</f>
        <v xml:space="preserve">MARTINEZ CAUCIL SARETH MILENA  </v>
      </c>
      <c r="D20" s="95">
        <f>GENERAL!D20</f>
        <v>140.58049603886442</v>
      </c>
      <c r="E20" s="95" t="str">
        <f>GENERAL!E20</f>
        <v>I</v>
      </c>
      <c r="F20" s="96">
        <f>GENERAL!F20</f>
        <v>24.390243902439025</v>
      </c>
      <c r="G20" s="96">
        <f>GENERAL!G20</f>
        <v>24</v>
      </c>
      <c r="H20" s="96">
        <f>GENERAL!H20</f>
        <v>24</v>
      </c>
      <c r="I20" s="96">
        <f>GENERAL!I20</f>
        <v>37.931034482758619</v>
      </c>
      <c r="J20" s="96">
        <f>GENERAL!J20</f>
        <v>52.941176470588239</v>
      </c>
      <c r="K20" s="96">
        <f>GENERAL!K20</f>
        <v>36.84210526315789</v>
      </c>
      <c r="L20" s="96">
        <f>GENERAL!L20</f>
        <v>27.777777777777779</v>
      </c>
      <c r="M20" s="96">
        <f>GENERAL!M20</f>
        <v>25</v>
      </c>
      <c r="N20" s="96">
        <f>GENERAL!N20</f>
        <v>34.545454545454547</v>
      </c>
    </row>
    <row r="21" spans="2:14" x14ac:dyDescent="0.35">
      <c r="B21" s="66">
        <v>19</v>
      </c>
      <c r="C21" s="93" t="str">
        <f>GENERAL!C21</f>
        <v xml:space="preserve">MERCADO RAMOS DANIELA SOFIA  </v>
      </c>
      <c r="D21" s="95">
        <f>GENERAL!D21</f>
        <v>120.34847406588366</v>
      </c>
      <c r="E21" s="95" t="str">
        <f>GENERAL!E21</f>
        <v>I</v>
      </c>
      <c r="F21" s="96">
        <f>GENERAL!F21</f>
        <v>17.073170731707318</v>
      </c>
      <c r="G21" s="96">
        <f>GENERAL!G21</f>
        <v>20</v>
      </c>
      <c r="H21" s="96">
        <f>GENERAL!H21</f>
        <v>34</v>
      </c>
      <c r="I21" s="96">
        <f>GENERAL!I21</f>
        <v>24.137931034482758</v>
      </c>
      <c r="J21" s="96">
        <f>GENERAL!J21</f>
        <v>23.52941176470588</v>
      </c>
      <c r="K21" s="96">
        <f>GENERAL!K21</f>
        <v>36.84210526315789</v>
      </c>
      <c r="L21" s="96">
        <f>GENERAL!L21</f>
        <v>11.111111111111111</v>
      </c>
      <c r="M21" s="96">
        <f>GENERAL!M21</f>
        <v>25</v>
      </c>
      <c r="N21" s="96">
        <f>GENERAL!N21</f>
        <v>27.272727272727273</v>
      </c>
    </row>
    <row r="22" spans="2:14" x14ac:dyDescent="0.35">
      <c r="B22" s="66">
        <v>20</v>
      </c>
      <c r="C22" s="93" t="str">
        <f>GENERAL!C22</f>
        <v xml:space="preserve">RAMOS MESTRA FABIAN DE JESUS  </v>
      </c>
      <c r="D22" s="95">
        <f>GENERAL!D22</f>
        <v>130.21137819287526</v>
      </c>
      <c r="E22" s="95" t="str">
        <f>GENERAL!E22</f>
        <v>I</v>
      </c>
      <c r="F22" s="96">
        <f>GENERAL!F22</f>
        <v>21.951219512195124</v>
      </c>
      <c r="G22" s="96">
        <f>GENERAL!G22</f>
        <v>34</v>
      </c>
      <c r="H22" s="96">
        <f>GENERAL!H22</f>
        <v>26</v>
      </c>
      <c r="I22" s="96">
        <f>GENERAL!I22</f>
        <v>22.413793103448278</v>
      </c>
      <c r="J22" s="96">
        <f>GENERAL!J22</f>
        <v>17.647058823529413</v>
      </c>
      <c r="K22" s="96">
        <f>GENERAL!K22</f>
        <v>26.315789473684209</v>
      </c>
      <c r="L22" s="96">
        <f>GENERAL!L22</f>
        <v>27.777777777777779</v>
      </c>
      <c r="M22" s="96">
        <f>GENERAL!M22</f>
        <v>0</v>
      </c>
      <c r="N22" s="96">
        <f>GENERAL!N22</f>
        <v>25.454545454545453</v>
      </c>
    </row>
    <row r="23" spans="2:14" x14ac:dyDescent="0.35">
      <c r="B23" s="66">
        <v>21</v>
      </c>
      <c r="C23" s="93" t="str">
        <f>GENERAL!C23</f>
        <v xml:space="preserve">RAMOS RAMOS SEBASTIAN ANDRES  </v>
      </c>
      <c r="D23" s="95">
        <f>GENERAL!D23</f>
        <v>134.1317555447076</v>
      </c>
      <c r="E23" s="95" t="str">
        <f>GENERAL!E23</f>
        <v>I</v>
      </c>
      <c r="F23" s="96">
        <f>GENERAL!F23</f>
        <v>14.634146341463415</v>
      </c>
      <c r="G23" s="96">
        <f>GENERAL!G23</f>
        <v>26</v>
      </c>
      <c r="H23" s="96">
        <f>GENERAL!H23</f>
        <v>36</v>
      </c>
      <c r="I23" s="96">
        <f>GENERAL!I23</f>
        <v>29.310344827586203</v>
      </c>
      <c r="J23" s="96">
        <f>GENERAL!J23</f>
        <v>29.411764705882355</v>
      </c>
      <c r="K23" s="96">
        <f>GENERAL!K23</f>
        <v>26.315789473684209</v>
      </c>
      <c r="L23" s="96">
        <f>GENERAL!L23</f>
        <v>33.333333333333329</v>
      </c>
      <c r="M23" s="96">
        <f>GENERAL!M23</f>
        <v>25</v>
      </c>
      <c r="N23" s="96">
        <f>GENERAL!N23</f>
        <v>30.90909090909091</v>
      </c>
    </row>
    <row r="24" spans="2:14" x14ac:dyDescent="0.35">
      <c r="B24" s="66">
        <v>22</v>
      </c>
      <c r="C24" s="93" t="str">
        <f>GENERAL!C24</f>
        <v xml:space="preserve">FLOREZ HERNANDEZ BRAYAN ANDRES  </v>
      </c>
      <c r="D24" s="95">
        <f>GENERAL!D24</f>
        <v>202.16930252254053</v>
      </c>
      <c r="E24" s="95" t="str">
        <f>GENERAL!E24</f>
        <v>M</v>
      </c>
      <c r="F24" s="96">
        <f>GENERAL!F24</f>
        <v>53.658536585365852</v>
      </c>
      <c r="G24" s="96">
        <f>GENERAL!G24</f>
        <v>26</v>
      </c>
      <c r="H24" s="96">
        <f>GENERAL!H24</f>
        <v>38</v>
      </c>
      <c r="I24" s="96">
        <f>GENERAL!I24</f>
        <v>44.827586206896555</v>
      </c>
      <c r="J24" s="96">
        <f>GENERAL!J24</f>
        <v>52.941176470588239</v>
      </c>
      <c r="K24" s="96">
        <f>GENERAL!K24</f>
        <v>31.578947368421051</v>
      </c>
      <c r="L24" s="96">
        <f>GENERAL!L24</f>
        <v>38.888888888888893</v>
      </c>
      <c r="M24" s="96">
        <f>GENERAL!M24</f>
        <v>100</v>
      </c>
      <c r="N24" s="96">
        <f>GENERAL!N24</f>
        <v>38.18181818181818</v>
      </c>
    </row>
    <row r="25" spans="2:14" x14ac:dyDescent="0.35">
      <c r="B25" s="66">
        <v>23</v>
      </c>
      <c r="C25" s="93" t="str">
        <f>GENERAL!C25</f>
        <v>ALVAREZ MARQUEZ FRANK LUIS</v>
      </c>
      <c r="D25" s="95">
        <f>GENERAL!D25</f>
        <v>193.15573408929168</v>
      </c>
      <c r="E25" s="95" t="str">
        <f>GENERAL!E25</f>
        <v>M</v>
      </c>
      <c r="F25" s="96">
        <f>GENERAL!F25</f>
        <v>56.097560975609753</v>
      </c>
      <c r="G25" s="96">
        <f>GENERAL!G25</f>
        <v>34</v>
      </c>
      <c r="H25" s="96">
        <f>GENERAL!H25</f>
        <v>30</v>
      </c>
      <c r="I25" s="96">
        <f>GENERAL!I25</f>
        <v>32.758620689655174</v>
      </c>
      <c r="J25" s="96">
        <f>GENERAL!J25</f>
        <v>29.411764705882355</v>
      </c>
      <c r="K25" s="96">
        <f>GENERAL!K25</f>
        <v>36.84210526315789</v>
      </c>
      <c r="L25" s="96">
        <f>GENERAL!L25</f>
        <v>27.777777777777779</v>
      </c>
      <c r="M25" s="96">
        <f>GENERAL!M25</f>
        <v>50</v>
      </c>
      <c r="N25" s="96">
        <f>GENERAL!N25</f>
        <v>43.636363636363633</v>
      </c>
    </row>
    <row r="26" spans="2:14" x14ac:dyDescent="0.35">
      <c r="B26" s="66">
        <v>24</v>
      </c>
      <c r="C26" s="93" t="str">
        <f>GENERAL!C26</f>
        <v>BRAVO OVALLES KAMILA ANDREA</v>
      </c>
      <c r="D26" s="95">
        <f>GENERAL!D26</f>
        <v>168.22545830956258</v>
      </c>
      <c r="E26" s="95" t="str">
        <f>GENERAL!E26</f>
        <v>I</v>
      </c>
      <c r="F26" s="96">
        <f>GENERAL!F26</f>
        <v>36.585365853658537</v>
      </c>
      <c r="G26" s="96">
        <f>GENERAL!G26</f>
        <v>22</v>
      </c>
      <c r="H26" s="96">
        <f>GENERAL!H26</f>
        <v>40</v>
      </c>
      <c r="I26" s="96">
        <f>GENERAL!I26</f>
        <v>34.482758620689658</v>
      </c>
      <c r="J26" s="96">
        <f>GENERAL!J26</f>
        <v>17.647058823529413</v>
      </c>
      <c r="K26" s="96">
        <f>GENERAL!K26</f>
        <v>26.315789473684209</v>
      </c>
      <c r="L26" s="96">
        <f>GENERAL!L26</f>
        <v>55.555555555555557</v>
      </c>
      <c r="M26" s="96">
        <f>GENERAL!M26</f>
        <v>50</v>
      </c>
      <c r="N26" s="96">
        <f>GENERAL!N26</f>
        <v>38.18181818181818</v>
      </c>
    </row>
    <row r="27" spans="2:14" x14ac:dyDescent="0.35">
      <c r="B27" s="66">
        <v>25</v>
      </c>
      <c r="C27" s="93" t="str">
        <f>GENERAL!C27</f>
        <v xml:space="preserve">FLOREZ PEREIRA SARAY </v>
      </c>
      <c r="D27" s="95">
        <f>GENERAL!D27</f>
        <v>190.62013680180206</v>
      </c>
      <c r="E27" s="95" t="str">
        <f>GENERAL!E27</f>
        <v>M</v>
      </c>
      <c r="F27" s="96">
        <f>GENERAL!F27</f>
        <v>39.024390243902438</v>
      </c>
      <c r="G27" s="96">
        <f>GENERAL!G27</f>
        <v>44</v>
      </c>
      <c r="H27" s="96">
        <f>GENERAL!H27</f>
        <v>38</v>
      </c>
      <c r="I27" s="96">
        <f>GENERAL!I27</f>
        <v>34.482758620689658</v>
      </c>
      <c r="J27" s="96">
        <f>GENERAL!J27</f>
        <v>29.411764705882355</v>
      </c>
      <c r="K27" s="96">
        <f>GENERAL!K27</f>
        <v>26.315789473684209</v>
      </c>
      <c r="L27" s="96">
        <f>GENERAL!L27</f>
        <v>44.444444444444443</v>
      </c>
      <c r="M27" s="96">
        <f>GENERAL!M27</f>
        <v>50</v>
      </c>
      <c r="N27" s="96">
        <f>GENERAL!N27</f>
        <v>29.09090909090909</v>
      </c>
    </row>
    <row r="28" spans="2:14" x14ac:dyDescent="0.35">
      <c r="B28" s="66">
        <v>26</v>
      </c>
      <c r="C28" s="93" t="str">
        <f>GENERAL!C28</f>
        <v>MARQUEZ BARRAGAN DAIVER JOSE</v>
      </c>
      <c r="D28" s="95">
        <f>GENERAL!D28</f>
        <v>150.58896528198463</v>
      </c>
      <c r="E28" s="95" t="str">
        <f>GENERAL!E28</f>
        <v>I</v>
      </c>
      <c r="F28" s="96">
        <f>GENERAL!F28</f>
        <v>41.463414634146339</v>
      </c>
      <c r="G28" s="96">
        <f>GENERAL!G28</f>
        <v>32</v>
      </c>
      <c r="H28" s="96">
        <f>GENERAL!H28</f>
        <v>22</v>
      </c>
      <c r="I28" s="96">
        <f>GENERAL!I28</f>
        <v>24.137931034482758</v>
      </c>
      <c r="J28" s="96">
        <f>GENERAL!J28</f>
        <v>17.647058823529413</v>
      </c>
      <c r="K28" s="96">
        <f>GENERAL!K28</f>
        <v>21.052631578947366</v>
      </c>
      <c r="L28" s="96">
        <f>GENERAL!L28</f>
        <v>33.333333333333329</v>
      </c>
      <c r="M28" s="96">
        <f>GENERAL!M28</f>
        <v>25</v>
      </c>
      <c r="N28" s="96">
        <f>GENERAL!N28</f>
        <v>32.727272727272727</v>
      </c>
    </row>
    <row r="29" spans="2:14" x14ac:dyDescent="0.35">
      <c r="B29" s="66">
        <v>27</v>
      </c>
      <c r="C29" s="93" t="str">
        <f>GENERAL!C29</f>
        <v>MARQUEZ CERMEÑO ELY JOHANA</v>
      </c>
      <c r="D29" s="95">
        <f>GENERAL!D29</f>
        <v>154.98350262017209</v>
      </c>
      <c r="E29" s="95" t="str">
        <f>GENERAL!E29</f>
        <v>I</v>
      </c>
      <c r="F29" s="96">
        <f>GENERAL!F29</f>
        <v>21.951219512195124</v>
      </c>
      <c r="G29" s="96">
        <f>GENERAL!G29</f>
        <v>26</v>
      </c>
      <c r="H29" s="96">
        <f>GENERAL!H29</f>
        <v>42</v>
      </c>
      <c r="I29" s="96">
        <f>GENERAL!I29</f>
        <v>31.03448275862069</v>
      </c>
      <c r="J29" s="96">
        <f>GENERAL!J29</f>
        <v>23.52941176470588</v>
      </c>
      <c r="K29" s="96">
        <f>GENERAL!K29</f>
        <v>36.84210526315789</v>
      </c>
      <c r="L29" s="96">
        <f>GENERAL!L29</f>
        <v>38.888888888888893</v>
      </c>
      <c r="M29" s="96">
        <f>GENERAL!M29</f>
        <v>0</v>
      </c>
      <c r="N29" s="96">
        <f>GENERAL!N29</f>
        <v>40</v>
      </c>
    </row>
    <row r="30" spans="2:14" x14ac:dyDescent="0.35">
      <c r="B30" s="66">
        <v>28</v>
      </c>
      <c r="C30" s="93" t="str">
        <f>GENERAL!C30</f>
        <v xml:space="preserve">RUIZ OLIVARES MARISOL </v>
      </c>
      <c r="D30" s="95">
        <f>GENERAL!D30</f>
        <v>243.57325601228044</v>
      </c>
      <c r="E30" s="95" t="str">
        <f>GENERAL!E30</f>
        <v>M</v>
      </c>
      <c r="F30" s="96">
        <f>GENERAL!F30</f>
        <v>60.975609756097562</v>
      </c>
      <c r="G30" s="96">
        <f>GENERAL!G30</f>
        <v>40</v>
      </c>
      <c r="H30" s="96">
        <f>GENERAL!H30</f>
        <v>48</v>
      </c>
      <c r="I30" s="96">
        <f>GENERAL!I30</f>
        <v>50</v>
      </c>
      <c r="J30" s="96">
        <f>GENERAL!J30</f>
        <v>35.294117647058826</v>
      </c>
      <c r="K30" s="96">
        <f>GENERAL!K30</f>
        <v>52.631578947368418</v>
      </c>
      <c r="L30" s="96">
        <f>GENERAL!L30</f>
        <v>50</v>
      </c>
      <c r="M30" s="96">
        <f>GENERAL!M30</f>
        <v>100</v>
      </c>
      <c r="N30" s="96">
        <f>GENERAL!N30</f>
        <v>36.363636363636367</v>
      </c>
    </row>
    <row r="31" spans="2:14" x14ac:dyDescent="0.35">
      <c r="B31" s="66">
        <v>29</v>
      </c>
      <c r="C31" s="93" t="str">
        <f>GENERAL!C31</f>
        <v>SOTO MARTINEZ YURANIS PAOLA</v>
      </c>
      <c r="D31" s="95">
        <f>GENERAL!D31</f>
        <v>176.92384150752528</v>
      </c>
      <c r="E31" s="95" t="str">
        <f>GENERAL!E31</f>
        <v>I</v>
      </c>
      <c r="F31" s="96">
        <f>GENERAL!F31</f>
        <v>43.902439024390247</v>
      </c>
      <c r="G31" s="96">
        <f>GENERAL!G31</f>
        <v>34</v>
      </c>
      <c r="H31" s="96">
        <f>GENERAL!H31</f>
        <v>34</v>
      </c>
      <c r="I31" s="96">
        <f>GENERAL!I31</f>
        <v>29.310344827586203</v>
      </c>
      <c r="J31" s="96">
        <f>GENERAL!J31</f>
        <v>29.411764705882355</v>
      </c>
      <c r="K31" s="96">
        <f>GENERAL!K31</f>
        <v>31.578947368421051</v>
      </c>
      <c r="L31" s="96">
        <f>GENERAL!L31</f>
        <v>27.777777777777779</v>
      </c>
      <c r="M31" s="96">
        <f>GENERAL!M31</f>
        <v>25</v>
      </c>
      <c r="N31" s="96">
        <f>GENERAL!N31</f>
        <v>36.363636363636367</v>
      </c>
    </row>
    <row r="32" spans="2:14" x14ac:dyDescent="0.35">
      <c r="B32" s="66">
        <v>30</v>
      </c>
      <c r="C32" s="93" t="str">
        <f>GENERAL!C32</f>
        <v>VELASQUEZ PASCACIO ADRIANA JOSÉ</v>
      </c>
      <c r="D32" s="95">
        <f>GENERAL!D32</f>
        <v>149.5360148682268</v>
      </c>
      <c r="E32" s="95" t="str">
        <f>GENERAL!E32</f>
        <v>I</v>
      </c>
      <c r="F32" s="96">
        <f>GENERAL!F32</f>
        <v>19.512195121951219</v>
      </c>
      <c r="G32" s="96">
        <f>GENERAL!G32</f>
        <v>30</v>
      </c>
      <c r="H32" s="96">
        <f>GENERAL!H32</f>
        <v>36</v>
      </c>
      <c r="I32" s="96">
        <f>GENERAL!I32</f>
        <v>36.206896551724135</v>
      </c>
      <c r="J32" s="96">
        <f>GENERAL!J32</f>
        <v>41.17647058823529</v>
      </c>
      <c r="K32" s="96">
        <f>GENERAL!K32</f>
        <v>26.315789473684209</v>
      </c>
      <c r="L32" s="96">
        <f>GENERAL!L32</f>
        <v>44.444444444444443</v>
      </c>
      <c r="M32" s="96">
        <f>GENERAL!M32</f>
        <v>25</v>
      </c>
      <c r="N32" s="96">
        <f>GENERAL!N32</f>
        <v>23.636363636363637</v>
      </c>
    </row>
    <row r="33" spans="2:14" ht="15" thickBot="1" x14ac:dyDescent="0.4">
      <c r="B33" s="225" t="s">
        <v>132</v>
      </c>
      <c r="C33" s="226"/>
      <c r="D33" s="26">
        <f>AVERAGE(D3:D32)</f>
        <v>180.00041758073715</v>
      </c>
      <c r="E33" s="26"/>
      <c r="F33" s="26">
        <f>AVERAGE(F3:F32)</f>
        <v>39.10569105691058</v>
      </c>
      <c r="G33" s="26">
        <f>AVERAGE(G3:G32)</f>
        <v>34.133333333333333</v>
      </c>
      <c r="H33" s="26">
        <f>AVERAGE(H3:H32)</f>
        <v>34.799999999999997</v>
      </c>
      <c r="I33" s="26">
        <f>AVERAGE(I3:I32)</f>
        <v>36.264367816091962</v>
      </c>
      <c r="J33" s="26">
        <f>AVERAGE(J3:J32)</f>
        <v>34.31372549019607</v>
      </c>
      <c r="K33" s="26">
        <f>AVERAGE(K3:K32)</f>
        <v>37.894736842105253</v>
      </c>
      <c r="L33" s="26">
        <f>AVERAGE(L3:L32)</f>
        <v>34.07407407407409</v>
      </c>
      <c r="M33" s="26">
        <f>AVERAGE(M3:M32)</f>
        <v>46.666666666666664</v>
      </c>
      <c r="N33" s="26">
        <f>AVERAGE(N3:N32)</f>
        <v>35.090909090909093</v>
      </c>
    </row>
    <row r="34" spans="2:14" ht="15" thickBot="1" x14ac:dyDescent="0.4">
      <c r="B34" s="227" t="s">
        <v>133</v>
      </c>
      <c r="C34" s="228"/>
      <c r="D34" s="42">
        <f>STDEVA(D3:D32)</f>
        <v>49.105722364743109</v>
      </c>
      <c r="E34" s="42"/>
      <c r="F34" s="42">
        <f>STDEVA(F3:F32)</f>
        <v>14.696856572513058</v>
      </c>
      <c r="G34" s="42">
        <f>STDEVA(G3:G32)</f>
        <v>10.371490543405709</v>
      </c>
      <c r="H34" s="42">
        <f>STDEVA(H3:H32)</f>
        <v>11.393888258850554</v>
      </c>
      <c r="I34" s="42">
        <f>STDEVA(I3:I32)</f>
        <v>12.237512857035137</v>
      </c>
      <c r="J34" s="42">
        <f>STDEVA(J3:J32)</f>
        <v>15.142274266168725</v>
      </c>
      <c r="K34" s="42">
        <f>STDEVA(K3:K32)</f>
        <v>16.260370725405217</v>
      </c>
      <c r="L34" s="42">
        <f>STDEVA(L3:L32)</f>
        <v>12.527817776807701</v>
      </c>
      <c r="M34" s="42">
        <f>STDEVA(M3:M32)</f>
        <v>30.606888263843519</v>
      </c>
      <c r="N34" s="42">
        <f>STDEVA(N3:N32)</f>
        <v>6.5320308187630012</v>
      </c>
    </row>
    <row r="35" spans="2:14" ht="15" thickBot="1" x14ac:dyDescent="0.4">
      <c r="B35" s="229" t="s">
        <v>181</v>
      </c>
      <c r="C35" s="230"/>
      <c r="D35" s="25">
        <f>MAX(D3:D32)</f>
        <v>371.36548901056881</v>
      </c>
      <c r="E35" s="25"/>
      <c r="F35" s="25">
        <f>MAX(F3:F32)</f>
        <v>75.609756097560975</v>
      </c>
      <c r="G35" s="25">
        <f>MAX(G3:G32)</f>
        <v>74</v>
      </c>
      <c r="H35" s="25">
        <f>MAX(H3:H32)</f>
        <v>72</v>
      </c>
      <c r="I35" s="25">
        <f>MAX(I3:I32)</f>
        <v>84.482758620689651</v>
      </c>
      <c r="J35" s="25">
        <f>MAX(J3:J32)</f>
        <v>94.117647058823522</v>
      </c>
      <c r="K35" s="25">
        <f>MAX(K3:K32)</f>
        <v>94.73684210526315</v>
      </c>
      <c r="L35" s="25">
        <f>MAX(L3:L32)</f>
        <v>61.111111111111114</v>
      </c>
      <c r="M35" s="25">
        <f>MAX(M3:M32)</f>
        <v>100</v>
      </c>
      <c r="N35" s="25">
        <f>MAX(N3:N32)</f>
        <v>49.090909090909093</v>
      </c>
    </row>
    <row r="36" spans="2:14" ht="15" thickBot="1" x14ac:dyDescent="0.4">
      <c r="B36" s="229" t="s">
        <v>182</v>
      </c>
      <c r="C36" s="230"/>
      <c r="D36" s="25">
        <f>MIN(D3:D32)</f>
        <v>117.82634522752269</v>
      </c>
      <c r="E36" s="25"/>
      <c r="F36" s="25">
        <f>MIN(F3:F32)</f>
        <v>14.634146341463415</v>
      </c>
      <c r="G36" s="25">
        <f>MIN(G3:G32)</f>
        <v>20</v>
      </c>
      <c r="H36" s="25">
        <f>MIN(H3:H32)</f>
        <v>14.000000000000002</v>
      </c>
      <c r="I36" s="25">
        <f>MIN(I3:I32)</f>
        <v>22.413793103448278</v>
      </c>
      <c r="J36" s="25">
        <f>MIN(J3:J32)</f>
        <v>17.647058823529413</v>
      </c>
      <c r="K36" s="25">
        <f>MIN(K3:K32)</f>
        <v>5.2631578947368416</v>
      </c>
      <c r="L36" s="25">
        <f>MIN(L3:L32)</f>
        <v>11.111111111111111</v>
      </c>
      <c r="M36" s="25">
        <f>MIN(M3:M32)</f>
        <v>0</v>
      </c>
      <c r="N36" s="25">
        <f>MIN(N3:N32)</f>
        <v>21.818181818181817</v>
      </c>
    </row>
    <row r="37" spans="2:14" x14ac:dyDescent="0.35">
      <c r="N37" s="97"/>
    </row>
  </sheetData>
  <sortState ref="C54:N264">
    <sortCondition descending="1" ref="D54"/>
  </sortState>
  <mergeCells count="5">
    <mergeCell ref="B33:C33"/>
    <mergeCell ref="B34:C34"/>
    <mergeCell ref="B35:C35"/>
    <mergeCell ref="B36:C36"/>
    <mergeCell ref="B1:N1"/>
  </mergeCells>
  <pageMargins left="0.25" right="0.25" top="0.75" bottom="0.75" header="0.3" footer="0.3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WH31"/>
  <sheetViews>
    <sheetView topLeftCell="A23" workbookViewId="0">
      <selection activeCell="C35" sqref="C35"/>
    </sheetView>
  </sheetViews>
  <sheetFormatPr baseColWidth="10" defaultRowHeight="14.5" x14ac:dyDescent="0.35"/>
  <cols>
    <col min="2" max="2" width="37.54296875" bestFit="1" customWidth="1"/>
    <col min="22" max="22" width="11.1796875" bestFit="1" customWidth="1"/>
    <col min="26" max="26" width="11.81640625" bestFit="1" customWidth="1"/>
    <col min="27" max="27" width="11.1796875" bestFit="1" customWidth="1"/>
    <col min="72" max="72" width="11.1796875" bestFit="1" customWidth="1"/>
  </cols>
  <sheetData>
    <row r="1" spans="1:1282" ht="15" thickBot="1" x14ac:dyDescent="0.4">
      <c r="A1" t="s">
        <v>349</v>
      </c>
      <c r="B1" t="s">
        <v>138</v>
      </c>
      <c r="I1" t="s">
        <v>139</v>
      </c>
      <c r="J1" t="s">
        <v>140</v>
      </c>
      <c r="K1" t="s">
        <v>141</v>
      </c>
      <c r="L1" t="s">
        <v>142</v>
      </c>
      <c r="M1" t="s">
        <v>143</v>
      </c>
      <c r="N1" t="s">
        <v>144</v>
      </c>
      <c r="O1" t="s">
        <v>145</v>
      </c>
      <c r="P1" t="s">
        <v>146</v>
      </c>
      <c r="Q1" t="s">
        <v>147</v>
      </c>
      <c r="R1" t="s">
        <v>148</v>
      </c>
      <c r="S1" t="s">
        <v>149</v>
      </c>
      <c r="U1" t="s">
        <v>150</v>
      </c>
      <c r="V1" t="s">
        <v>151</v>
      </c>
      <c r="W1" t="s">
        <v>152</v>
      </c>
      <c r="X1" t="s">
        <v>153</v>
      </c>
      <c r="Y1" t="s">
        <v>154</v>
      </c>
      <c r="Z1" t="s">
        <v>155</v>
      </c>
      <c r="AA1" s="44" t="s">
        <v>185</v>
      </c>
      <c r="AB1" s="44" t="s">
        <v>186</v>
      </c>
      <c r="AC1" s="44" t="s">
        <v>187</v>
      </c>
      <c r="AD1" s="44" t="s">
        <v>188</v>
      </c>
      <c r="AE1" s="44" t="s">
        <v>189</v>
      </c>
      <c r="AF1" s="33" t="s">
        <v>190</v>
      </c>
      <c r="AG1" s="33" t="s">
        <v>191</v>
      </c>
      <c r="AH1" s="33" t="s">
        <v>192</v>
      </c>
      <c r="AI1" s="33" t="s">
        <v>193</v>
      </c>
      <c r="AJ1" s="33" t="s">
        <v>194</v>
      </c>
      <c r="AK1" s="36" t="s">
        <v>195</v>
      </c>
      <c r="AL1" s="36" t="s">
        <v>196</v>
      </c>
      <c r="AM1" s="36" t="s">
        <v>197</v>
      </c>
      <c r="AN1" s="36" t="s">
        <v>198</v>
      </c>
      <c r="AO1" s="36" t="s">
        <v>199</v>
      </c>
      <c r="AP1" s="40" t="s">
        <v>200</v>
      </c>
      <c r="AQ1" s="40" t="s">
        <v>201</v>
      </c>
      <c r="AR1" s="40" t="s">
        <v>202</v>
      </c>
      <c r="AS1" s="40" t="s">
        <v>203</v>
      </c>
      <c r="AT1" s="40" t="s">
        <v>204</v>
      </c>
      <c r="AU1" s="39" t="s">
        <v>226</v>
      </c>
      <c r="AV1" s="39" t="s">
        <v>227</v>
      </c>
      <c r="AW1" s="39" t="s">
        <v>228</v>
      </c>
      <c r="AX1" s="33" t="s">
        <v>229</v>
      </c>
      <c r="AY1" s="33" t="s">
        <v>230</v>
      </c>
      <c r="AZ1" s="33" t="s">
        <v>231</v>
      </c>
      <c r="BA1" s="34" t="s">
        <v>232</v>
      </c>
      <c r="BB1" s="34" t="s">
        <v>233</v>
      </c>
      <c r="BC1" s="34" t="s">
        <v>234</v>
      </c>
      <c r="BD1" s="34" t="s">
        <v>247</v>
      </c>
      <c r="BE1" s="34" t="s">
        <v>248</v>
      </c>
      <c r="BF1" s="34" t="s">
        <v>249</v>
      </c>
      <c r="BG1" s="35" t="s">
        <v>250</v>
      </c>
      <c r="BH1" s="35" t="s">
        <v>251</v>
      </c>
      <c r="BI1" s="35" t="s">
        <v>252</v>
      </c>
      <c r="BJ1" s="35" t="s">
        <v>253</v>
      </c>
      <c r="BK1" s="35" t="s">
        <v>254</v>
      </c>
      <c r="BL1" s="35" t="s">
        <v>255</v>
      </c>
      <c r="BM1" s="35" t="s">
        <v>256</v>
      </c>
      <c r="BN1" s="35" t="s">
        <v>257</v>
      </c>
      <c r="BO1" s="35" t="s">
        <v>258</v>
      </c>
      <c r="BP1" s="36" t="s">
        <v>259</v>
      </c>
      <c r="BQ1" s="36" t="s">
        <v>260</v>
      </c>
      <c r="BR1" s="36" t="s">
        <v>261</v>
      </c>
      <c r="BS1" s="36" t="s">
        <v>262</v>
      </c>
      <c r="BT1" s="36" t="s">
        <v>263</v>
      </c>
      <c r="BU1" s="36" t="s">
        <v>264</v>
      </c>
      <c r="BV1" s="36" t="s">
        <v>265</v>
      </c>
      <c r="BW1" s="36" t="s">
        <v>266</v>
      </c>
      <c r="BX1" s="36" t="s">
        <v>267</v>
      </c>
      <c r="BY1" s="37" t="s">
        <v>268</v>
      </c>
      <c r="BZ1" s="37" t="s">
        <v>269</v>
      </c>
      <c r="CA1" s="37" t="s">
        <v>270</v>
      </c>
      <c r="CB1" s="37" t="s">
        <v>271</v>
      </c>
      <c r="CC1" s="37" t="s">
        <v>272</v>
      </c>
      <c r="CD1" s="37" t="s">
        <v>273</v>
      </c>
      <c r="CE1" s="37" t="s">
        <v>274</v>
      </c>
      <c r="CF1" s="37" t="s">
        <v>275</v>
      </c>
      <c r="CG1" s="37" t="s">
        <v>276</v>
      </c>
      <c r="CH1" s="38" t="s">
        <v>277</v>
      </c>
      <c r="CI1" s="38" t="s">
        <v>278</v>
      </c>
      <c r="CJ1" s="38" t="s">
        <v>279</v>
      </c>
      <c r="CK1" s="38" t="s">
        <v>280</v>
      </c>
      <c r="CL1" s="38" t="s">
        <v>281</v>
      </c>
      <c r="CM1" s="38" t="s">
        <v>282</v>
      </c>
      <c r="CN1" s="38" t="s">
        <v>283</v>
      </c>
      <c r="CO1" s="38" t="s">
        <v>284</v>
      </c>
      <c r="CP1" s="38" t="s">
        <v>285</v>
      </c>
      <c r="CQ1" s="40" t="s">
        <v>286</v>
      </c>
      <c r="CR1" s="40" t="s">
        <v>287</v>
      </c>
      <c r="CS1" s="40" t="s">
        <v>288</v>
      </c>
      <c r="CT1" s="40" t="s">
        <v>289</v>
      </c>
      <c r="CU1" s="40" t="s">
        <v>290</v>
      </c>
      <c r="CV1" s="40" t="s">
        <v>291</v>
      </c>
      <c r="CW1" s="40" t="s">
        <v>292</v>
      </c>
      <c r="CX1" s="130" t="s">
        <v>495</v>
      </c>
      <c r="CY1" s="131" t="s">
        <v>496</v>
      </c>
      <c r="CZ1" s="131" t="s">
        <v>497</v>
      </c>
      <c r="DA1" s="131" t="s">
        <v>498</v>
      </c>
      <c r="DB1" s="131" t="s">
        <v>499</v>
      </c>
      <c r="DC1" s="131" t="s">
        <v>500</v>
      </c>
      <c r="DD1" s="131" t="s">
        <v>501</v>
      </c>
      <c r="DE1" s="131" t="s">
        <v>502</v>
      </c>
      <c r="DF1" s="131" t="s">
        <v>503</v>
      </c>
      <c r="DG1" s="131" t="s">
        <v>504</v>
      </c>
      <c r="DH1" s="131" t="s">
        <v>505</v>
      </c>
      <c r="DI1" s="131" t="s">
        <v>506</v>
      </c>
      <c r="DJ1" s="131" t="s">
        <v>507</v>
      </c>
      <c r="DK1" s="131" t="s">
        <v>508</v>
      </c>
      <c r="DL1" s="131" t="s">
        <v>509</v>
      </c>
      <c r="DM1" s="131" t="s">
        <v>510</v>
      </c>
      <c r="DN1" s="131" t="s">
        <v>511</v>
      </c>
      <c r="DO1" s="131" t="s">
        <v>512</v>
      </c>
      <c r="DP1" s="131" t="s">
        <v>513</v>
      </c>
      <c r="DQ1" s="131" t="s">
        <v>514</v>
      </c>
      <c r="DR1" s="131" t="s">
        <v>515</v>
      </c>
      <c r="DS1" s="131" t="s">
        <v>516</v>
      </c>
      <c r="DT1" s="131" t="s">
        <v>517</v>
      </c>
      <c r="DU1" s="131" t="s">
        <v>518</v>
      </c>
      <c r="DV1" s="131" t="s">
        <v>519</v>
      </c>
      <c r="DW1" s="131" t="s">
        <v>520</v>
      </c>
      <c r="DX1" s="131" t="s">
        <v>521</v>
      </c>
      <c r="DY1" s="131" t="s">
        <v>522</v>
      </c>
      <c r="DZ1" s="131" t="s">
        <v>523</v>
      </c>
      <c r="EA1" s="131" t="s">
        <v>524</v>
      </c>
      <c r="EB1" s="131" t="s">
        <v>525</v>
      </c>
      <c r="EC1" s="131" t="s">
        <v>526</v>
      </c>
      <c r="ED1" s="131" t="s">
        <v>527</v>
      </c>
      <c r="EE1" s="131" t="s">
        <v>528</v>
      </c>
      <c r="EF1" s="131" t="s">
        <v>529</v>
      </c>
      <c r="EG1" s="131" t="s">
        <v>530</v>
      </c>
      <c r="EH1" s="131" t="s">
        <v>531</v>
      </c>
      <c r="EI1" s="131" t="s">
        <v>532</v>
      </c>
      <c r="EJ1" s="131" t="s">
        <v>533</v>
      </c>
      <c r="EK1" s="131" t="s">
        <v>534</v>
      </c>
      <c r="EL1" s="131" t="s">
        <v>535</v>
      </c>
      <c r="EM1" s="131" t="s">
        <v>536</v>
      </c>
      <c r="EN1" s="131" t="s">
        <v>537</v>
      </c>
      <c r="EO1" s="131" t="s">
        <v>538</v>
      </c>
      <c r="EP1" s="131" t="s">
        <v>539</v>
      </c>
      <c r="EQ1" s="131" t="s">
        <v>540</v>
      </c>
      <c r="ER1" s="131" t="s">
        <v>541</v>
      </c>
      <c r="ES1" s="131" t="s">
        <v>542</v>
      </c>
      <c r="ET1" s="131" t="s">
        <v>543</v>
      </c>
      <c r="EU1" s="131" t="s">
        <v>544</v>
      </c>
      <c r="EV1" s="131" t="s">
        <v>545</v>
      </c>
      <c r="EW1" s="131" t="s">
        <v>546</v>
      </c>
      <c r="EX1" s="131" t="s">
        <v>547</v>
      </c>
      <c r="EY1" s="131" t="s">
        <v>548</v>
      </c>
      <c r="EZ1" s="131" t="s">
        <v>549</v>
      </c>
      <c r="FA1" s="131" t="s">
        <v>550</v>
      </c>
      <c r="FB1" s="131" t="s">
        <v>551</v>
      </c>
      <c r="FC1" s="131" t="s">
        <v>552</v>
      </c>
      <c r="FD1" s="131" t="s">
        <v>553</v>
      </c>
      <c r="FE1" s="131" t="s">
        <v>554</v>
      </c>
      <c r="FF1" s="131" t="s">
        <v>555</v>
      </c>
      <c r="FG1" s="131" t="s">
        <v>556</v>
      </c>
      <c r="FH1" s="131" t="s">
        <v>557</v>
      </c>
      <c r="FI1" s="131" t="s">
        <v>558</v>
      </c>
      <c r="FJ1" s="131" t="s">
        <v>559</v>
      </c>
      <c r="FK1" s="131" t="s">
        <v>560</v>
      </c>
      <c r="FL1" s="131" t="s">
        <v>561</v>
      </c>
      <c r="FM1" s="131" t="s">
        <v>562</v>
      </c>
      <c r="FN1" s="131" t="s">
        <v>563</v>
      </c>
      <c r="FO1" s="131" t="s">
        <v>564</v>
      </c>
      <c r="FP1" s="131" t="s">
        <v>565</v>
      </c>
      <c r="FQ1" s="131" t="s">
        <v>566</v>
      </c>
      <c r="FR1" s="131" t="s">
        <v>567</v>
      </c>
      <c r="FS1" s="131" t="s">
        <v>568</v>
      </c>
      <c r="FT1" s="131" t="s">
        <v>569</v>
      </c>
      <c r="FU1" s="131" t="s">
        <v>570</v>
      </c>
      <c r="FV1" s="131" t="s">
        <v>571</v>
      </c>
      <c r="FW1" s="131" t="s">
        <v>572</v>
      </c>
      <c r="FX1" s="131" t="s">
        <v>573</v>
      </c>
      <c r="FY1" s="131" t="s">
        <v>574</v>
      </c>
      <c r="FZ1" s="131" t="s">
        <v>575</v>
      </c>
      <c r="GA1" s="131" t="s">
        <v>576</v>
      </c>
      <c r="GB1" s="131" t="s">
        <v>577</v>
      </c>
      <c r="GC1" s="131" t="s">
        <v>578</v>
      </c>
      <c r="GD1" s="131" t="s">
        <v>579</v>
      </c>
      <c r="GE1" s="131" t="s">
        <v>580</v>
      </c>
      <c r="GF1" s="131" t="s">
        <v>581</v>
      </c>
      <c r="GG1" s="131" t="s">
        <v>582</v>
      </c>
      <c r="GH1" s="131" t="s">
        <v>583</v>
      </c>
      <c r="GI1" s="131" t="s">
        <v>584</v>
      </c>
      <c r="GJ1" s="131" t="s">
        <v>585</v>
      </c>
      <c r="GK1" s="131" t="s">
        <v>586</v>
      </c>
      <c r="GL1" s="131" t="s">
        <v>587</v>
      </c>
      <c r="GM1" s="131" t="s">
        <v>588</v>
      </c>
      <c r="GN1" s="131" t="s">
        <v>589</v>
      </c>
      <c r="GO1" s="131" t="s">
        <v>590</v>
      </c>
      <c r="GP1" s="131" t="s">
        <v>1654</v>
      </c>
      <c r="GQ1" s="131" t="s">
        <v>591</v>
      </c>
      <c r="GR1" s="131" t="s">
        <v>592</v>
      </c>
      <c r="GS1" s="131" t="s">
        <v>593</v>
      </c>
      <c r="GT1" s="131" t="s">
        <v>594</v>
      </c>
      <c r="GU1" s="131" t="s">
        <v>595</v>
      </c>
      <c r="GV1" s="131" t="s">
        <v>596</v>
      </c>
      <c r="GW1" s="131" t="s">
        <v>597</v>
      </c>
      <c r="GX1" s="131" t="s">
        <v>598</v>
      </c>
      <c r="GY1" s="131" t="s">
        <v>599</v>
      </c>
      <c r="GZ1" s="131" t="s">
        <v>600</v>
      </c>
      <c r="HA1" s="131" t="s">
        <v>1655</v>
      </c>
      <c r="HB1" s="131" t="s">
        <v>601</v>
      </c>
      <c r="HC1" s="131" t="s">
        <v>602</v>
      </c>
      <c r="HD1" s="131" t="s">
        <v>603</v>
      </c>
      <c r="HE1" s="131" t="s">
        <v>604</v>
      </c>
      <c r="HF1" s="131" t="s">
        <v>605</v>
      </c>
      <c r="HG1" s="131" t="s">
        <v>606</v>
      </c>
      <c r="HH1" s="131" t="s">
        <v>607</v>
      </c>
      <c r="HI1" s="131" t="s">
        <v>608</v>
      </c>
      <c r="HJ1" s="131" t="s">
        <v>609</v>
      </c>
      <c r="HK1" s="131" t="s">
        <v>610</v>
      </c>
      <c r="HL1" s="131" t="s">
        <v>611</v>
      </c>
      <c r="HM1" s="132" t="s">
        <v>612</v>
      </c>
      <c r="HN1" s="130" t="s">
        <v>613</v>
      </c>
      <c r="HO1" s="131" t="s">
        <v>614</v>
      </c>
      <c r="HP1" s="131" t="s">
        <v>615</v>
      </c>
      <c r="HQ1" s="131" t="s">
        <v>616</v>
      </c>
      <c r="HR1" s="131" t="s">
        <v>617</v>
      </c>
      <c r="HS1" s="131" t="s">
        <v>618</v>
      </c>
      <c r="HT1" s="131" t="s">
        <v>619</v>
      </c>
      <c r="HU1" s="131" t="s">
        <v>620</v>
      </c>
      <c r="HV1" s="131" t="s">
        <v>621</v>
      </c>
      <c r="HW1" s="131" t="s">
        <v>622</v>
      </c>
      <c r="HX1" s="131" t="s">
        <v>623</v>
      </c>
      <c r="HY1" s="131" t="s">
        <v>624</v>
      </c>
      <c r="HZ1" s="131" t="s">
        <v>625</v>
      </c>
      <c r="IA1" s="131" t="s">
        <v>626</v>
      </c>
      <c r="IB1" s="131" t="s">
        <v>627</v>
      </c>
      <c r="IC1" s="131" t="s">
        <v>628</v>
      </c>
      <c r="ID1" s="131" t="s">
        <v>629</v>
      </c>
      <c r="IE1" s="131" t="s">
        <v>630</v>
      </c>
      <c r="IF1" s="131" t="s">
        <v>631</v>
      </c>
      <c r="IG1" s="131" t="s">
        <v>632</v>
      </c>
      <c r="IH1" s="131" t="s">
        <v>633</v>
      </c>
      <c r="II1" s="131" t="s">
        <v>634</v>
      </c>
      <c r="IJ1" s="131" t="s">
        <v>635</v>
      </c>
      <c r="IK1" s="131" t="s">
        <v>636</v>
      </c>
      <c r="IL1" s="131" t="s">
        <v>637</v>
      </c>
      <c r="IM1" s="131" t="s">
        <v>638</v>
      </c>
      <c r="IN1" s="131" t="s">
        <v>639</v>
      </c>
      <c r="IO1" s="131" t="s">
        <v>640</v>
      </c>
      <c r="IP1" s="131" t="s">
        <v>641</v>
      </c>
      <c r="IQ1" s="131" t="s">
        <v>642</v>
      </c>
      <c r="IR1" s="131" t="s">
        <v>643</v>
      </c>
      <c r="IS1" s="131" t="s">
        <v>644</v>
      </c>
      <c r="IT1" s="131" t="s">
        <v>645</v>
      </c>
      <c r="IU1" s="131" t="s">
        <v>646</v>
      </c>
      <c r="IV1" s="131" t="s">
        <v>647</v>
      </c>
      <c r="IW1" s="131" t="s">
        <v>648</v>
      </c>
      <c r="IX1" s="131" t="s">
        <v>649</v>
      </c>
      <c r="IY1" s="131" t="s">
        <v>650</v>
      </c>
      <c r="IZ1" s="131" t="s">
        <v>651</v>
      </c>
      <c r="JA1" s="131" t="s">
        <v>652</v>
      </c>
      <c r="JB1" s="131" t="s">
        <v>653</v>
      </c>
      <c r="JC1" s="131" t="s">
        <v>654</v>
      </c>
      <c r="JD1" s="131" t="s">
        <v>655</v>
      </c>
      <c r="JE1" s="131" t="s">
        <v>656</v>
      </c>
      <c r="JF1" s="131" t="s">
        <v>657</v>
      </c>
      <c r="JG1" s="131" t="s">
        <v>658</v>
      </c>
      <c r="JH1" s="131" t="s">
        <v>659</v>
      </c>
      <c r="JI1" s="131" t="s">
        <v>660</v>
      </c>
      <c r="JJ1" s="131" t="s">
        <v>661</v>
      </c>
      <c r="JK1" s="131" t="s">
        <v>662</v>
      </c>
      <c r="JL1" s="131" t="s">
        <v>663</v>
      </c>
      <c r="JM1" s="131" t="s">
        <v>664</v>
      </c>
      <c r="JN1" s="131" t="s">
        <v>665</v>
      </c>
      <c r="JO1" s="131" t="s">
        <v>666</v>
      </c>
      <c r="JP1" s="131" t="s">
        <v>667</v>
      </c>
      <c r="JQ1" s="131" t="s">
        <v>668</v>
      </c>
      <c r="JR1" s="131" t="s">
        <v>669</v>
      </c>
      <c r="JS1" s="131" t="s">
        <v>670</v>
      </c>
      <c r="JT1" s="131" t="s">
        <v>671</v>
      </c>
      <c r="JU1" s="131" t="s">
        <v>672</v>
      </c>
      <c r="JV1" s="131" t="s">
        <v>673</v>
      </c>
      <c r="JW1" s="131" t="s">
        <v>674</v>
      </c>
      <c r="JX1" s="131" t="s">
        <v>675</v>
      </c>
      <c r="JY1" s="131" t="s">
        <v>676</v>
      </c>
      <c r="JZ1" s="131" t="s">
        <v>677</v>
      </c>
      <c r="KA1" s="131" t="s">
        <v>678</v>
      </c>
      <c r="KB1" s="131" t="s">
        <v>679</v>
      </c>
      <c r="KC1" s="131" t="s">
        <v>680</v>
      </c>
      <c r="KD1" s="131" t="s">
        <v>681</v>
      </c>
      <c r="KE1" s="131" t="s">
        <v>682</v>
      </c>
      <c r="KF1" s="131" t="s">
        <v>683</v>
      </c>
      <c r="KG1" s="131" t="s">
        <v>684</v>
      </c>
      <c r="KH1" s="131" t="s">
        <v>685</v>
      </c>
      <c r="KI1" s="131" t="s">
        <v>686</v>
      </c>
      <c r="KJ1" s="131" t="s">
        <v>687</v>
      </c>
      <c r="KK1" s="131" t="s">
        <v>688</v>
      </c>
      <c r="KL1" s="131" t="s">
        <v>689</v>
      </c>
      <c r="KM1" s="131" t="s">
        <v>690</v>
      </c>
      <c r="KN1" s="131" t="s">
        <v>691</v>
      </c>
      <c r="KO1" s="131" t="s">
        <v>692</v>
      </c>
      <c r="KP1" s="131" t="s">
        <v>693</v>
      </c>
      <c r="KQ1" s="131" t="s">
        <v>694</v>
      </c>
      <c r="KR1" s="131" t="s">
        <v>695</v>
      </c>
      <c r="KS1" s="131" t="s">
        <v>696</v>
      </c>
      <c r="KT1" s="131" t="s">
        <v>697</v>
      </c>
      <c r="KU1" s="131" t="s">
        <v>698</v>
      </c>
      <c r="KV1" s="131" t="s">
        <v>699</v>
      </c>
      <c r="KW1" s="131" t="s">
        <v>700</v>
      </c>
      <c r="KX1" s="131" t="s">
        <v>701</v>
      </c>
      <c r="KY1" s="131" t="s">
        <v>702</v>
      </c>
      <c r="KZ1" s="131" t="s">
        <v>703</v>
      </c>
      <c r="LA1" s="131" t="s">
        <v>704</v>
      </c>
      <c r="LB1" s="131" t="s">
        <v>705</v>
      </c>
      <c r="LC1" s="131" t="s">
        <v>706</v>
      </c>
      <c r="LD1" s="131" t="s">
        <v>707</v>
      </c>
      <c r="LE1" s="131" t="s">
        <v>708</v>
      </c>
      <c r="LF1" s="131" t="s">
        <v>1656</v>
      </c>
      <c r="LG1" s="131" t="s">
        <v>709</v>
      </c>
      <c r="LH1" s="131" t="s">
        <v>710</v>
      </c>
      <c r="LI1" s="131" t="s">
        <v>711</v>
      </c>
      <c r="LJ1" s="131" t="s">
        <v>712</v>
      </c>
      <c r="LK1" s="131" t="s">
        <v>713</v>
      </c>
      <c r="LL1" s="131" t="s">
        <v>714</v>
      </c>
      <c r="LM1" s="131" t="s">
        <v>715</v>
      </c>
      <c r="LN1" s="131" t="s">
        <v>716</v>
      </c>
      <c r="LO1" s="131" t="s">
        <v>717</v>
      </c>
      <c r="LP1" s="131" t="s">
        <v>718</v>
      </c>
      <c r="LQ1" s="131" t="s">
        <v>1657</v>
      </c>
      <c r="LR1" s="131" t="s">
        <v>719</v>
      </c>
      <c r="LS1" s="131" t="s">
        <v>720</v>
      </c>
      <c r="LT1" s="131" t="s">
        <v>721</v>
      </c>
      <c r="LU1" s="131" t="s">
        <v>722</v>
      </c>
      <c r="LV1" s="131" t="s">
        <v>723</v>
      </c>
      <c r="LW1" s="131" t="s">
        <v>724</v>
      </c>
      <c r="LX1" s="131" t="s">
        <v>725</v>
      </c>
      <c r="LY1" s="131" t="s">
        <v>726</v>
      </c>
      <c r="LZ1" s="131" t="s">
        <v>727</v>
      </c>
      <c r="MA1" s="131" t="s">
        <v>728</v>
      </c>
      <c r="MB1" s="131" t="s">
        <v>729</v>
      </c>
      <c r="MC1" s="132" t="s">
        <v>730</v>
      </c>
      <c r="MD1" s="130" t="s">
        <v>731</v>
      </c>
      <c r="ME1" s="131" t="s">
        <v>732</v>
      </c>
      <c r="MF1" s="131" t="s">
        <v>733</v>
      </c>
      <c r="MG1" s="131" t="s">
        <v>734</v>
      </c>
      <c r="MH1" s="131" t="s">
        <v>735</v>
      </c>
      <c r="MI1" s="131" t="s">
        <v>736</v>
      </c>
      <c r="MJ1" s="131" t="s">
        <v>737</v>
      </c>
      <c r="MK1" s="131" t="s">
        <v>738</v>
      </c>
      <c r="ML1" s="131" t="s">
        <v>739</v>
      </c>
      <c r="MM1" s="131" t="s">
        <v>740</v>
      </c>
      <c r="MN1" s="131" t="s">
        <v>741</v>
      </c>
      <c r="MO1" s="131" t="s">
        <v>742</v>
      </c>
      <c r="MP1" s="131" t="s">
        <v>743</v>
      </c>
      <c r="MQ1" s="131" t="s">
        <v>744</v>
      </c>
      <c r="MR1" s="131" t="s">
        <v>745</v>
      </c>
      <c r="MS1" s="131" t="s">
        <v>746</v>
      </c>
      <c r="MT1" s="131" t="s">
        <v>747</v>
      </c>
      <c r="MU1" s="131" t="s">
        <v>748</v>
      </c>
      <c r="MV1" s="131" t="s">
        <v>749</v>
      </c>
      <c r="MW1" s="131" t="s">
        <v>750</v>
      </c>
      <c r="MX1" s="131" t="s">
        <v>751</v>
      </c>
      <c r="MY1" s="131" t="s">
        <v>752</v>
      </c>
      <c r="MZ1" s="131" t="s">
        <v>753</v>
      </c>
      <c r="NA1" s="131" t="s">
        <v>754</v>
      </c>
      <c r="NB1" s="131" t="s">
        <v>755</v>
      </c>
      <c r="NC1" s="131" t="s">
        <v>756</v>
      </c>
      <c r="ND1" s="131" t="s">
        <v>757</v>
      </c>
      <c r="NE1" s="131" t="s">
        <v>758</v>
      </c>
      <c r="NF1" s="131" t="s">
        <v>759</v>
      </c>
      <c r="NG1" s="131" t="s">
        <v>760</v>
      </c>
      <c r="NH1" s="131" t="s">
        <v>761</v>
      </c>
      <c r="NI1" s="131" t="s">
        <v>762</v>
      </c>
      <c r="NJ1" s="131" t="s">
        <v>763</v>
      </c>
      <c r="NK1" s="131" t="s">
        <v>764</v>
      </c>
      <c r="NL1" s="131" t="s">
        <v>765</v>
      </c>
      <c r="NM1" s="131" t="s">
        <v>766</v>
      </c>
      <c r="NN1" s="131" t="s">
        <v>767</v>
      </c>
      <c r="NO1" s="131" t="s">
        <v>768</v>
      </c>
      <c r="NP1" s="131" t="s">
        <v>769</v>
      </c>
      <c r="NQ1" s="131" t="s">
        <v>770</v>
      </c>
      <c r="NR1" s="131" t="s">
        <v>771</v>
      </c>
      <c r="NS1" s="131" t="s">
        <v>772</v>
      </c>
      <c r="NT1" s="131" t="s">
        <v>773</v>
      </c>
      <c r="NU1" s="131" t="s">
        <v>774</v>
      </c>
      <c r="NV1" s="131" t="s">
        <v>775</v>
      </c>
      <c r="NW1" s="131" t="s">
        <v>776</v>
      </c>
      <c r="NX1" s="131" t="s">
        <v>777</v>
      </c>
      <c r="NY1" s="131" t="s">
        <v>778</v>
      </c>
      <c r="NZ1" s="131" t="s">
        <v>779</v>
      </c>
      <c r="OA1" s="131" t="s">
        <v>780</v>
      </c>
      <c r="OB1" s="131" t="s">
        <v>781</v>
      </c>
      <c r="OC1" s="131" t="s">
        <v>782</v>
      </c>
      <c r="OD1" s="131" t="s">
        <v>783</v>
      </c>
      <c r="OE1" s="131" t="s">
        <v>784</v>
      </c>
      <c r="OF1" s="131" t="s">
        <v>785</v>
      </c>
      <c r="OG1" s="131" t="s">
        <v>786</v>
      </c>
      <c r="OH1" s="131" t="s">
        <v>787</v>
      </c>
      <c r="OI1" s="131" t="s">
        <v>788</v>
      </c>
      <c r="OJ1" s="131" t="s">
        <v>789</v>
      </c>
      <c r="OK1" s="131" t="s">
        <v>790</v>
      </c>
      <c r="OL1" s="131" t="s">
        <v>791</v>
      </c>
      <c r="OM1" s="131" t="s">
        <v>792</v>
      </c>
      <c r="ON1" s="131" t="s">
        <v>793</v>
      </c>
      <c r="OO1" s="131" t="s">
        <v>794</v>
      </c>
      <c r="OP1" s="131" t="s">
        <v>795</v>
      </c>
      <c r="OQ1" s="131" t="s">
        <v>796</v>
      </c>
      <c r="OR1" s="131" t="s">
        <v>797</v>
      </c>
      <c r="OS1" s="131" t="s">
        <v>798</v>
      </c>
      <c r="OT1" s="131" t="s">
        <v>799</v>
      </c>
      <c r="OU1" s="131" t="s">
        <v>800</v>
      </c>
      <c r="OV1" s="131" t="s">
        <v>801</v>
      </c>
      <c r="OW1" s="131" t="s">
        <v>802</v>
      </c>
      <c r="OX1" s="131" t="s">
        <v>803</v>
      </c>
      <c r="OY1" s="131" t="s">
        <v>804</v>
      </c>
      <c r="OZ1" s="131" t="s">
        <v>805</v>
      </c>
      <c r="PA1" s="131" t="s">
        <v>806</v>
      </c>
      <c r="PB1" s="131" t="s">
        <v>807</v>
      </c>
      <c r="PC1" s="131" t="s">
        <v>808</v>
      </c>
      <c r="PD1" s="131" t="s">
        <v>809</v>
      </c>
      <c r="PE1" s="131" t="s">
        <v>810</v>
      </c>
      <c r="PF1" s="131" t="s">
        <v>811</v>
      </c>
      <c r="PG1" s="131" t="s">
        <v>812</v>
      </c>
      <c r="PH1" s="131" t="s">
        <v>813</v>
      </c>
      <c r="PI1" s="131" t="s">
        <v>814</v>
      </c>
      <c r="PJ1" s="131" t="s">
        <v>815</v>
      </c>
      <c r="PK1" s="131" t="s">
        <v>816</v>
      </c>
      <c r="PL1" s="131" t="s">
        <v>817</v>
      </c>
      <c r="PM1" s="131" t="s">
        <v>818</v>
      </c>
      <c r="PN1" s="131" t="s">
        <v>819</v>
      </c>
      <c r="PO1" s="131" t="s">
        <v>820</v>
      </c>
      <c r="PP1" s="131" t="s">
        <v>821</v>
      </c>
      <c r="PQ1" s="131" t="s">
        <v>822</v>
      </c>
      <c r="PR1" s="131" t="s">
        <v>823</v>
      </c>
      <c r="PS1" s="131" t="s">
        <v>824</v>
      </c>
      <c r="PT1" s="131" t="s">
        <v>825</v>
      </c>
      <c r="PU1" s="131" t="s">
        <v>826</v>
      </c>
      <c r="PV1" s="131" t="s">
        <v>1658</v>
      </c>
      <c r="PW1" s="131" t="s">
        <v>827</v>
      </c>
      <c r="PX1" s="131" t="s">
        <v>828</v>
      </c>
      <c r="PY1" s="131" t="s">
        <v>829</v>
      </c>
      <c r="PZ1" s="131" t="s">
        <v>830</v>
      </c>
      <c r="QA1" s="131" t="s">
        <v>831</v>
      </c>
      <c r="QB1" s="131" t="s">
        <v>832</v>
      </c>
      <c r="QC1" s="131" t="s">
        <v>833</v>
      </c>
      <c r="QD1" s="131" t="s">
        <v>834</v>
      </c>
      <c r="QE1" s="131" t="s">
        <v>835</v>
      </c>
      <c r="QF1" s="131" t="s">
        <v>836</v>
      </c>
      <c r="QG1" s="131" t="s">
        <v>1659</v>
      </c>
      <c r="QH1" s="131" t="s">
        <v>837</v>
      </c>
      <c r="QI1" s="131" t="s">
        <v>838</v>
      </c>
      <c r="QJ1" s="131" t="s">
        <v>839</v>
      </c>
      <c r="QK1" s="131" t="s">
        <v>840</v>
      </c>
      <c r="QL1" s="131" t="s">
        <v>841</v>
      </c>
      <c r="QM1" s="131" t="s">
        <v>842</v>
      </c>
      <c r="QN1" s="131" t="s">
        <v>843</v>
      </c>
      <c r="QO1" s="131" t="s">
        <v>844</v>
      </c>
      <c r="QP1" s="131" t="s">
        <v>845</v>
      </c>
      <c r="QQ1" s="131" t="s">
        <v>846</v>
      </c>
      <c r="QR1" s="131" t="s">
        <v>847</v>
      </c>
      <c r="QS1" s="132" t="s">
        <v>848</v>
      </c>
      <c r="QT1" s="130" t="s">
        <v>849</v>
      </c>
      <c r="QU1" s="131" t="s">
        <v>850</v>
      </c>
      <c r="QV1" s="131" t="s">
        <v>851</v>
      </c>
      <c r="QW1" s="131" t="s">
        <v>852</v>
      </c>
      <c r="QX1" s="131" t="s">
        <v>853</v>
      </c>
      <c r="QY1" s="131" t="s">
        <v>854</v>
      </c>
      <c r="QZ1" s="131" t="s">
        <v>855</v>
      </c>
      <c r="RA1" s="131" t="s">
        <v>856</v>
      </c>
      <c r="RB1" s="131" t="s">
        <v>857</v>
      </c>
      <c r="RC1" s="131" t="s">
        <v>858</v>
      </c>
      <c r="RD1" s="131" t="s">
        <v>859</v>
      </c>
      <c r="RE1" s="131" t="s">
        <v>860</v>
      </c>
      <c r="RF1" s="131" t="s">
        <v>861</v>
      </c>
      <c r="RG1" s="131" t="s">
        <v>862</v>
      </c>
      <c r="RH1" s="131" t="s">
        <v>863</v>
      </c>
      <c r="RI1" s="131" t="s">
        <v>864</v>
      </c>
      <c r="RJ1" s="131" t="s">
        <v>865</v>
      </c>
      <c r="RK1" s="131" t="s">
        <v>866</v>
      </c>
      <c r="RL1" s="131" t="s">
        <v>867</v>
      </c>
      <c r="RM1" s="131" t="s">
        <v>868</v>
      </c>
      <c r="RN1" s="131" t="s">
        <v>869</v>
      </c>
      <c r="RO1" s="131" t="s">
        <v>870</v>
      </c>
      <c r="RP1" s="131" t="s">
        <v>871</v>
      </c>
      <c r="RQ1" s="131" t="s">
        <v>872</v>
      </c>
      <c r="RR1" s="131" t="s">
        <v>873</v>
      </c>
      <c r="RS1" s="131" t="s">
        <v>874</v>
      </c>
      <c r="RT1" s="131" t="s">
        <v>875</v>
      </c>
      <c r="RU1" s="131" t="s">
        <v>876</v>
      </c>
      <c r="RV1" s="131" t="s">
        <v>877</v>
      </c>
      <c r="RW1" s="131" t="s">
        <v>878</v>
      </c>
      <c r="RX1" s="131" t="s">
        <v>879</v>
      </c>
      <c r="RY1" s="131" t="s">
        <v>880</v>
      </c>
      <c r="RZ1" s="131" t="s">
        <v>881</v>
      </c>
      <c r="SA1" s="131" t="s">
        <v>882</v>
      </c>
      <c r="SB1" s="131" t="s">
        <v>883</v>
      </c>
      <c r="SC1" s="131" t="s">
        <v>884</v>
      </c>
      <c r="SD1" s="131" t="s">
        <v>885</v>
      </c>
      <c r="SE1" s="131" t="s">
        <v>886</v>
      </c>
      <c r="SF1" s="131" t="s">
        <v>887</v>
      </c>
      <c r="SG1" s="131" t="s">
        <v>888</v>
      </c>
      <c r="SH1" s="131" t="s">
        <v>889</v>
      </c>
      <c r="SI1" s="131" t="s">
        <v>890</v>
      </c>
      <c r="SJ1" s="131" t="s">
        <v>891</v>
      </c>
      <c r="SK1" s="131" t="s">
        <v>892</v>
      </c>
      <c r="SL1" s="131" t="s">
        <v>893</v>
      </c>
      <c r="SM1" s="131" t="s">
        <v>894</v>
      </c>
      <c r="SN1" s="131" t="s">
        <v>895</v>
      </c>
      <c r="SO1" s="131" t="s">
        <v>896</v>
      </c>
      <c r="SP1" s="131" t="s">
        <v>897</v>
      </c>
      <c r="SQ1" s="131" t="s">
        <v>898</v>
      </c>
      <c r="SR1" s="131" t="s">
        <v>899</v>
      </c>
      <c r="SS1" s="131" t="s">
        <v>900</v>
      </c>
      <c r="ST1" s="131" t="s">
        <v>901</v>
      </c>
      <c r="SU1" s="131" t="s">
        <v>902</v>
      </c>
      <c r="SV1" s="131" t="s">
        <v>903</v>
      </c>
      <c r="SW1" s="131" t="s">
        <v>904</v>
      </c>
      <c r="SX1" s="131" t="s">
        <v>905</v>
      </c>
      <c r="SY1" s="131" t="s">
        <v>906</v>
      </c>
      <c r="SZ1" s="131" t="s">
        <v>907</v>
      </c>
      <c r="TA1" s="131" t="s">
        <v>908</v>
      </c>
      <c r="TB1" s="131" t="s">
        <v>909</v>
      </c>
      <c r="TC1" s="131" t="s">
        <v>910</v>
      </c>
      <c r="TD1" s="131" t="s">
        <v>911</v>
      </c>
      <c r="TE1" s="131" t="s">
        <v>912</v>
      </c>
      <c r="TF1" s="131" t="s">
        <v>913</v>
      </c>
      <c r="TG1" s="131" t="s">
        <v>914</v>
      </c>
      <c r="TH1" s="131" t="s">
        <v>915</v>
      </c>
      <c r="TI1" s="131" t="s">
        <v>916</v>
      </c>
      <c r="TJ1" s="131" t="s">
        <v>917</v>
      </c>
      <c r="TK1" s="131" t="s">
        <v>918</v>
      </c>
      <c r="TL1" s="131" t="s">
        <v>919</v>
      </c>
      <c r="TM1" s="131" t="s">
        <v>920</v>
      </c>
      <c r="TN1" s="131" t="s">
        <v>921</v>
      </c>
      <c r="TO1" s="131" t="s">
        <v>922</v>
      </c>
      <c r="TP1" s="131" t="s">
        <v>923</v>
      </c>
      <c r="TQ1" s="131" t="s">
        <v>924</v>
      </c>
      <c r="TR1" s="131" t="s">
        <v>925</v>
      </c>
      <c r="TS1" s="131" t="s">
        <v>926</v>
      </c>
      <c r="TT1" s="131" t="s">
        <v>927</v>
      </c>
      <c r="TU1" s="131" t="s">
        <v>928</v>
      </c>
      <c r="TV1" s="131" t="s">
        <v>929</v>
      </c>
      <c r="TW1" s="131" t="s">
        <v>930</v>
      </c>
      <c r="TX1" s="131" t="s">
        <v>931</v>
      </c>
      <c r="TY1" s="131" t="s">
        <v>932</v>
      </c>
      <c r="TZ1" s="131" t="s">
        <v>933</v>
      </c>
      <c r="UA1" s="131" t="s">
        <v>934</v>
      </c>
      <c r="UB1" s="131" t="s">
        <v>935</v>
      </c>
      <c r="UC1" s="131" t="s">
        <v>936</v>
      </c>
      <c r="UD1" s="131" t="s">
        <v>937</v>
      </c>
      <c r="UE1" s="131" t="s">
        <v>938</v>
      </c>
      <c r="UF1" s="131" t="s">
        <v>939</v>
      </c>
      <c r="UG1" s="131" t="s">
        <v>940</v>
      </c>
      <c r="UH1" s="131" t="s">
        <v>941</v>
      </c>
      <c r="UI1" s="131" t="s">
        <v>942</v>
      </c>
      <c r="UJ1" s="131" t="s">
        <v>943</v>
      </c>
      <c r="UK1" s="131" t="s">
        <v>944</v>
      </c>
      <c r="UL1" s="131" t="s">
        <v>1660</v>
      </c>
      <c r="UM1" s="131" t="s">
        <v>945</v>
      </c>
      <c r="UN1" s="131" t="s">
        <v>946</v>
      </c>
      <c r="UO1" s="131" t="s">
        <v>947</v>
      </c>
      <c r="UP1" s="131" t="s">
        <v>948</v>
      </c>
      <c r="UQ1" s="131" t="s">
        <v>949</v>
      </c>
      <c r="UR1" s="131" t="s">
        <v>950</v>
      </c>
      <c r="US1" s="131" t="s">
        <v>951</v>
      </c>
      <c r="UT1" s="131" t="s">
        <v>952</v>
      </c>
      <c r="UU1" s="131" t="s">
        <v>953</v>
      </c>
      <c r="UV1" s="131" t="s">
        <v>954</v>
      </c>
      <c r="UW1" s="131" t="s">
        <v>1661</v>
      </c>
      <c r="UX1" s="131" t="s">
        <v>955</v>
      </c>
      <c r="UY1" s="131" t="s">
        <v>956</v>
      </c>
      <c r="UZ1" s="131" t="s">
        <v>957</v>
      </c>
      <c r="VA1" s="131" t="s">
        <v>958</v>
      </c>
      <c r="VB1" s="131" t="s">
        <v>959</v>
      </c>
      <c r="VC1" s="131" t="s">
        <v>960</v>
      </c>
      <c r="VD1" s="131" t="s">
        <v>961</v>
      </c>
      <c r="VE1" s="131" t="s">
        <v>962</v>
      </c>
      <c r="VF1" s="131" t="s">
        <v>963</v>
      </c>
      <c r="VG1" s="131" t="s">
        <v>964</v>
      </c>
      <c r="VH1" s="131" t="s">
        <v>965</v>
      </c>
      <c r="VI1" s="131" t="s">
        <v>966</v>
      </c>
      <c r="VJ1" s="133" t="s">
        <v>967</v>
      </c>
      <c r="VK1" s="134" t="s">
        <v>968</v>
      </c>
      <c r="VL1" s="134" t="s">
        <v>969</v>
      </c>
      <c r="VM1" s="134" t="s">
        <v>970</v>
      </c>
      <c r="VN1" s="134" t="s">
        <v>971</v>
      </c>
      <c r="VO1" s="134" t="s">
        <v>972</v>
      </c>
      <c r="VP1" s="134" t="s">
        <v>973</v>
      </c>
      <c r="VQ1" s="134" t="s">
        <v>974</v>
      </c>
      <c r="VR1" s="134" t="s">
        <v>975</v>
      </c>
      <c r="VS1" s="134" t="s">
        <v>976</v>
      </c>
      <c r="VT1" s="134" t="s">
        <v>977</v>
      </c>
      <c r="VU1" s="134" t="s">
        <v>978</v>
      </c>
      <c r="VV1" s="134" t="s">
        <v>979</v>
      </c>
      <c r="VW1" s="134" t="s">
        <v>980</v>
      </c>
      <c r="VX1" s="134" t="s">
        <v>981</v>
      </c>
      <c r="VY1" s="134" t="s">
        <v>982</v>
      </c>
      <c r="VZ1" s="134" t="s">
        <v>983</v>
      </c>
      <c r="WA1" s="134" t="s">
        <v>984</v>
      </c>
      <c r="WB1" s="134" t="s">
        <v>985</v>
      </c>
      <c r="WC1" s="134" t="s">
        <v>986</v>
      </c>
      <c r="WD1" s="134" t="s">
        <v>987</v>
      </c>
      <c r="WE1" s="134" t="s">
        <v>988</v>
      </c>
      <c r="WF1" s="134" t="s">
        <v>989</v>
      </c>
      <c r="WG1" s="134" t="s">
        <v>990</v>
      </c>
      <c r="WH1" s="134" t="s">
        <v>991</v>
      </c>
      <c r="WI1" s="134" t="s">
        <v>992</v>
      </c>
      <c r="WJ1" s="134" t="s">
        <v>993</v>
      </c>
      <c r="WK1" s="134" t="s">
        <v>994</v>
      </c>
      <c r="WL1" s="134" t="s">
        <v>995</v>
      </c>
      <c r="WM1" s="134" t="s">
        <v>996</v>
      </c>
      <c r="WN1" s="134" t="s">
        <v>997</v>
      </c>
      <c r="WO1" s="134" t="s">
        <v>998</v>
      </c>
      <c r="WP1" s="134" t="s">
        <v>999</v>
      </c>
      <c r="WQ1" s="134" t="s">
        <v>1000</v>
      </c>
      <c r="WR1" s="134" t="s">
        <v>1001</v>
      </c>
      <c r="WS1" s="134" t="s">
        <v>1002</v>
      </c>
      <c r="WT1" s="134" t="s">
        <v>1003</v>
      </c>
      <c r="WU1" s="134" t="s">
        <v>1004</v>
      </c>
      <c r="WV1" s="134" t="s">
        <v>1005</v>
      </c>
      <c r="WW1" s="134" t="s">
        <v>1006</v>
      </c>
      <c r="WX1" s="134" t="s">
        <v>1007</v>
      </c>
      <c r="WY1" s="134" t="s">
        <v>1008</v>
      </c>
      <c r="WZ1" s="134" t="s">
        <v>1009</v>
      </c>
      <c r="XA1" s="134" t="s">
        <v>1010</v>
      </c>
      <c r="XB1" s="134" t="s">
        <v>1011</v>
      </c>
      <c r="XC1" s="134" t="s">
        <v>1012</v>
      </c>
      <c r="XD1" s="134" t="s">
        <v>1013</v>
      </c>
      <c r="XE1" s="134" t="s">
        <v>1014</v>
      </c>
      <c r="XF1" s="134" t="s">
        <v>1015</v>
      </c>
      <c r="XG1" s="134" t="s">
        <v>1016</v>
      </c>
      <c r="XH1" s="134" t="s">
        <v>1017</v>
      </c>
      <c r="XI1" s="134" t="s">
        <v>1018</v>
      </c>
      <c r="XJ1" s="134" t="s">
        <v>1019</v>
      </c>
      <c r="XK1" s="134" t="s">
        <v>1020</v>
      </c>
      <c r="XL1" s="134" t="s">
        <v>1021</v>
      </c>
      <c r="XM1" s="134" t="s">
        <v>1022</v>
      </c>
      <c r="XN1" s="134" t="s">
        <v>1023</v>
      </c>
      <c r="XO1" s="134" t="s">
        <v>1024</v>
      </c>
      <c r="XP1" s="134" t="s">
        <v>1025</v>
      </c>
      <c r="XQ1" s="134" t="s">
        <v>1026</v>
      </c>
      <c r="XR1" s="134" t="s">
        <v>1027</v>
      </c>
      <c r="XS1" s="134" t="s">
        <v>1028</v>
      </c>
      <c r="XT1" s="134" t="s">
        <v>1029</v>
      </c>
      <c r="XU1" s="134" t="s">
        <v>1030</v>
      </c>
      <c r="XV1" s="134" t="s">
        <v>1031</v>
      </c>
      <c r="XW1" s="134" t="s">
        <v>1032</v>
      </c>
      <c r="XX1" s="134" t="s">
        <v>1662</v>
      </c>
      <c r="XY1" s="134" t="s">
        <v>1033</v>
      </c>
      <c r="XZ1" s="134" t="s">
        <v>1034</v>
      </c>
      <c r="YA1" s="134" t="s">
        <v>1663</v>
      </c>
      <c r="YB1" s="134" t="s">
        <v>1035</v>
      </c>
      <c r="YC1" s="134" t="s">
        <v>1664</v>
      </c>
      <c r="YD1" s="134" t="s">
        <v>1036</v>
      </c>
      <c r="YE1" s="134" t="s">
        <v>1037</v>
      </c>
      <c r="YF1" s="134" t="s">
        <v>1038</v>
      </c>
      <c r="YG1" s="134" t="s">
        <v>1039</v>
      </c>
      <c r="YH1" s="134" t="s">
        <v>1665</v>
      </c>
      <c r="YI1" s="134" t="s">
        <v>1040</v>
      </c>
      <c r="YJ1" s="134" t="s">
        <v>1666</v>
      </c>
      <c r="YK1" s="134" t="s">
        <v>1041</v>
      </c>
      <c r="YL1" s="134" t="s">
        <v>1042</v>
      </c>
      <c r="YM1" s="134" t="s">
        <v>1043</v>
      </c>
      <c r="YN1" s="134" t="s">
        <v>1044</v>
      </c>
      <c r="YO1" s="134" t="s">
        <v>1045</v>
      </c>
      <c r="YP1" s="134" t="s">
        <v>1046</v>
      </c>
      <c r="YQ1" s="134" t="s">
        <v>1047</v>
      </c>
      <c r="YR1" s="134" t="s">
        <v>1048</v>
      </c>
      <c r="YS1" s="134" t="s">
        <v>1049</v>
      </c>
      <c r="YT1" s="134" t="s">
        <v>1050</v>
      </c>
      <c r="YU1" s="134" t="s">
        <v>1051</v>
      </c>
      <c r="YV1" s="134" t="s">
        <v>1052</v>
      </c>
      <c r="YW1" s="134" t="s">
        <v>1053</v>
      </c>
      <c r="YX1" s="134" t="s">
        <v>1054</v>
      </c>
      <c r="YY1" s="134" t="s">
        <v>1055</v>
      </c>
      <c r="YZ1" s="134" t="s">
        <v>1056</v>
      </c>
      <c r="ZA1" s="134" t="s">
        <v>1057</v>
      </c>
      <c r="ZB1" s="134" t="s">
        <v>1058</v>
      </c>
      <c r="ZC1" s="134" t="s">
        <v>1059</v>
      </c>
      <c r="ZD1" s="134" t="s">
        <v>1060</v>
      </c>
      <c r="ZE1" s="134" t="s">
        <v>1061</v>
      </c>
      <c r="ZF1" s="134" t="s">
        <v>1062</v>
      </c>
      <c r="ZG1" s="134" t="s">
        <v>1063</v>
      </c>
      <c r="ZH1" s="134" t="s">
        <v>1064</v>
      </c>
      <c r="ZI1" s="134" t="s">
        <v>1065</v>
      </c>
      <c r="ZJ1" s="134" t="s">
        <v>1066</v>
      </c>
      <c r="ZK1" s="134" t="s">
        <v>1067</v>
      </c>
      <c r="ZL1" s="134" t="s">
        <v>1068</v>
      </c>
      <c r="ZM1" s="134" t="s">
        <v>1069</v>
      </c>
      <c r="ZN1" s="134" t="s">
        <v>1070</v>
      </c>
      <c r="ZO1" s="134" t="s">
        <v>1071</v>
      </c>
      <c r="ZP1" s="134" t="s">
        <v>1072</v>
      </c>
      <c r="ZQ1" s="134" t="s">
        <v>1073</v>
      </c>
      <c r="ZR1" s="134" t="s">
        <v>1074</v>
      </c>
      <c r="ZS1" s="134" t="s">
        <v>1075</v>
      </c>
      <c r="ZT1" s="134" t="s">
        <v>1076</v>
      </c>
      <c r="ZU1" s="134" t="s">
        <v>1077</v>
      </c>
      <c r="ZV1" s="134" t="s">
        <v>1078</v>
      </c>
      <c r="ZW1" s="134" t="s">
        <v>1079</v>
      </c>
      <c r="ZX1" s="134" t="s">
        <v>1080</v>
      </c>
      <c r="ZY1" s="134" t="s">
        <v>1081</v>
      </c>
      <c r="ZZ1" s="134" t="s">
        <v>1082</v>
      </c>
      <c r="AAA1" s="134" t="s">
        <v>1083</v>
      </c>
      <c r="AAB1" s="134" t="s">
        <v>1084</v>
      </c>
      <c r="AAC1" s="134" t="s">
        <v>1085</v>
      </c>
      <c r="AAD1" s="134" t="s">
        <v>1086</v>
      </c>
      <c r="AAE1" s="134" t="s">
        <v>1087</v>
      </c>
      <c r="AAF1" s="134" t="s">
        <v>1088</v>
      </c>
      <c r="AAG1" s="134" t="s">
        <v>1089</v>
      </c>
      <c r="AAH1" s="134" t="s">
        <v>1090</v>
      </c>
      <c r="AAI1" s="134" t="s">
        <v>1091</v>
      </c>
      <c r="AAJ1" s="134" t="s">
        <v>1092</v>
      </c>
      <c r="AAK1" s="134" t="s">
        <v>1093</v>
      </c>
      <c r="AAL1" s="134" t="s">
        <v>1094</v>
      </c>
      <c r="AAM1" s="134" t="s">
        <v>1095</v>
      </c>
      <c r="AAN1" s="133" t="s">
        <v>1096</v>
      </c>
      <c r="AAO1" s="134" t="s">
        <v>1097</v>
      </c>
      <c r="AAP1" s="134" t="s">
        <v>1098</v>
      </c>
      <c r="AAQ1" s="134" t="s">
        <v>1099</v>
      </c>
      <c r="AAR1" s="134" t="s">
        <v>1100</v>
      </c>
      <c r="AAS1" s="134" t="s">
        <v>1101</v>
      </c>
      <c r="AAT1" s="134" t="s">
        <v>1102</v>
      </c>
      <c r="AAU1" s="134" t="s">
        <v>1103</v>
      </c>
      <c r="AAV1" s="134" t="s">
        <v>1104</v>
      </c>
      <c r="AAW1" s="134" t="s">
        <v>1105</v>
      </c>
      <c r="AAX1" s="134" t="s">
        <v>1106</v>
      </c>
      <c r="AAY1" s="134" t="s">
        <v>1107</v>
      </c>
      <c r="AAZ1" s="134" t="s">
        <v>1108</v>
      </c>
      <c r="ABA1" s="134" t="s">
        <v>1109</v>
      </c>
      <c r="ABB1" s="134" t="s">
        <v>1110</v>
      </c>
      <c r="ABC1" s="134" t="s">
        <v>1111</v>
      </c>
      <c r="ABD1" s="134" t="s">
        <v>1112</v>
      </c>
      <c r="ABE1" s="134" t="s">
        <v>1113</v>
      </c>
      <c r="ABF1" s="134" t="s">
        <v>1114</v>
      </c>
      <c r="ABG1" s="134" t="s">
        <v>1115</v>
      </c>
      <c r="ABH1" s="134" t="s">
        <v>1116</v>
      </c>
      <c r="ABI1" s="134" t="s">
        <v>1117</v>
      </c>
      <c r="ABJ1" s="134" t="s">
        <v>1118</v>
      </c>
      <c r="ABK1" s="134" t="s">
        <v>1119</v>
      </c>
      <c r="ABL1" s="134" t="s">
        <v>1120</v>
      </c>
      <c r="ABM1" s="134" t="s">
        <v>1121</v>
      </c>
      <c r="ABN1" s="134" t="s">
        <v>1122</v>
      </c>
      <c r="ABO1" s="134" t="s">
        <v>1123</v>
      </c>
      <c r="ABP1" s="134" t="s">
        <v>1124</v>
      </c>
      <c r="ABQ1" s="134" t="s">
        <v>1125</v>
      </c>
      <c r="ABR1" s="134" t="s">
        <v>1126</v>
      </c>
      <c r="ABS1" s="134" t="s">
        <v>1127</v>
      </c>
      <c r="ABT1" s="134" t="s">
        <v>1128</v>
      </c>
      <c r="ABU1" s="134" t="s">
        <v>1129</v>
      </c>
      <c r="ABV1" s="134" t="s">
        <v>1130</v>
      </c>
      <c r="ABW1" s="134" t="s">
        <v>1131</v>
      </c>
      <c r="ABX1" s="134" t="s">
        <v>1132</v>
      </c>
      <c r="ABY1" s="134" t="s">
        <v>1133</v>
      </c>
      <c r="ABZ1" s="134" t="s">
        <v>1134</v>
      </c>
      <c r="ACA1" s="134" t="s">
        <v>1135</v>
      </c>
      <c r="ACB1" s="134" t="s">
        <v>1136</v>
      </c>
      <c r="ACC1" s="134" t="s">
        <v>1137</v>
      </c>
      <c r="ACD1" s="134" t="s">
        <v>1138</v>
      </c>
      <c r="ACE1" s="134" t="s">
        <v>1139</v>
      </c>
      <c r="ACF1" s="134" t="s">
        <v>1140</v>
      </c>
      <c r="ACG1" s="134" t="s">
        <v>1141</v>
      </c>
      <c r="ACH1" s="134" t="s">
        <v>1142</v>
      </c>
      <c r="ACI1" s="134" t="s">
        <v>1143</v>
      </c>
      <c r="ACJ1" s="134" t="s">
        <v>1144</v>
      </c>
      <c r="ACK1" s="134" t="s">
        <v>1145</v>
      </c>
      <c r="ACL1" s="134" t="s">
        <v>1146</v>
      </c>
      <c r="ACM1" s="134" t="s">
        <v>1147</v>
      </c>
      <c r="ACN1" s="134" t="s">
        <v>1148</v>
      </c>
      <c r="ACO1" s="134" t="s">
        <v>1149</v>
      </c>
      <c r="ACP1" s="134" t="s">
        <v>1150</v>
      </c>
      <c r="ACQ1" s="134" t="s">
        <v>1151</v>
      </c>
      <c r="ACR1" s="134" t="s">
        <v>1152</v>
      </c>
      <c r="ACS1" s="134" t="s">
        <v>1153</v>
      </c>
      <c r="ACT1" s="134" t="s">
        <v>1154</v>
      </c>
      <c r="ACU1" s="134" t="s">
        <v>1155</v>
      </c>
      <c r="ACV1" s="134" t="s">
        <v>1156</v>
      </c>
      <c r="ACW1" s="134" t="s">
        <v>1157</v>
      </c>
      <c r="ACX1" s="134" t="s">
        <v>1158</v>
      </c>
      <c r="ACY1" s="134" t="s">
        <v>1159</v>
      </c>
      <c r="ACZ1" s="134" t="s">
        <v>1160</v>
      </c>
      <c r="ADA1" s="134" t="s">
        <v>1161</v>
      </c>
      <c r="ADB1" s="134" t="s">
        <v>1667</v>
      </c>
      <c r="ADC1" s="134" t="s">
        <v>1162</v>
      </c>
      <c r="ADD1" s="134" t="s">
        <v>1163</v>
      </c>
      <c r="ADE1" s="134" t="s">
        <v>1668</v>
      </c>
      <c r="ADF1" s="134" t="s">
        <v>1164</v>
      </c>
      <c r="ADG1" s="134" t="s">
        <v>1669</v>
      </c>
      <c r="ADH1" s="134" t="s">
        <v>1165</v>
      </c>
      <c r="ADI1" s="134" t="s">
        <v>1166</v>
      </c>
      <c r="ADJ1" s="134" t="s">
        <v>1167</v>
      </c>
      <c r="ADK1" s="134" t="s">
        <v>1168</v>
      </c>
      <c r="ADL1" s="134" t="s">
        <v>1670</v>
      </c>
      <c r="ADM1" s="134" t="s">
        <v>1169</v>
      </c>
      <c r="ADN1" s="134" t="s">
        <v>1671</v>
      </c>
      <c r="ADO1" s="134" t="s">
        <v>1170</v>
      </c>
      <c r="ADP1" s="134" t="s">
        <v>1171</v>
      </c>
      <c r="ADQ1" s="134" t="s">
        <v>1172</v>
      </c>
      <c r="ADR1" s="134" t="s">
        <v>1173</v>
      </c>
      <c r="ADS1" s="134" t="s">
        <v>1174</v>
      </c>
      <c r="ADT1" s="134" t="s">
        <v>1175</v>
      </c>
      <c r="ADU1" s="134" t="s">
        <v>1176</v>
      </c>
      <c r="ADV1" s="134" t="s">
        <v>1177</v>
      </c>
      <c r="ADW1" s="134" t="s">
        <v>1178</v>
      </c>
      <c r="ADX1" s="134" t="s">
        <v>1179</v>
      </c>
      <c r="ADY1" s="134" t="s">
        <v>1180</v>
      </c>
      <c r="ADZ1" s="134" t="s">
        <v>1181</v>
      </c>
      <c r="AEA1" s="134" t="s">
        <v>1182</v>
      </c>
      <c r="AEB1" s="134" t="s">
        <v>1183</v>
      </c>
      <c r="AEC1" s="134" t="s">
        <v>1184</v>
      </c>
      <c r="AED1" s="134" t="s">
        <v>1185</v>
      </c>
      <c r="AEE1" s="134" t="s">
        <v>1186</v>
      </c>
      <c r="AEF1" s="134" t="s">
        <v>1187</v>
      </c>
      <c r="AEG1" s="134" t="s">
        <v>1188</v>
      </c>
      <c r="AEH1" s="134" t="s">
        <v>1189</v>
      </c>
      <c r="AEI1" s="134" t="s">
        <v>1190</v>
      </c>
      <c r="AEJ1" s="134" t="s">
        <v>1191</v>
      </c>
      <c r="AEK1" s="134" t="s">
        <v>1192</v>
      </c>
      <c r="AEL1" s="134" t="s">
        <v>1193</v>
      </c>
      <c r="AEM1" s="134" t="s">
        <v>1194</v>
      </c>
      <c r="AEN1" s="134" t="s">
        <v>1195</v>
      </c>
      <c r="AEO1" s="134" t="s">
        <v>1196</v>
      </c>
      <c r="AEP1" s="134" t="s">
        <v>1197</v>
      </c>
      <c r="AEQ1" s="134" t="s">
        <v>1198</v>
      </c>
      <c r="AER1" s="134" t="s">
        <v>1199</v>
      </c>
      <c r="AES1" s="134" t="s">
        <v>1200</v>
      </c>
      <c r="AET1" s="134" t="s">
        <v>1201</v>
      </c>
      <c r="AEU1" s="134" t="s">
        <v>1202</v>
      </c>
      <c r="AEV1" s="134" t="s">
        <v>1203</v>
      </c>
      <c r="AEW1" s="134" t="s">
        <v>1204</v>
      </c>
      <c r="AEX1" s="134" t="s">
        <v>1205</v>
      </c>
      <c r="AEY1" s="134" t="s">
        <v>1206</v>
      </c>
      <c r="AEZ1" s="134" t="s">
        <v>1207</v>
      </c>
      <c r="AFA1" s="134" t="s">
        <v>1208</v>
      </c>
      <c r="AFB1" s="134" t="s">
        <v>1209</v>
      </c>
      <c r="AFC1" s="134" t="s">
        <v>1210</v>
      </c>
      <c r="AFD1" s="134" t="s">
        <v>1211</v>
      </c>
      <c r="AFE1" s="134" t="s">
        <v>1212</v>
      </c>
      <c r="AFF1" s="134" t="s">
        <v>1213</v>
      </c>
      <c r="AFG1" s="134" t="s">
        <v>1214</v>
      </c>
      <c r="AFH1" s="134" t="s">
        <v>1215</v>
      </c>
      <c r="AFI1" s="134" t="s">
        <v>1216</v>
      </c>
      <c r="AFJ1" s="134" t="s">
        <v>1217</v>
      </c>
      <c r="AFK1" s="134" t="s">
        <v>1218</v>
      </c>
      <c r="AFL1" s="134" t="s">
        <v>1219</v>
      </c>
      <c r="AFM1" s="134" t="s">
        <v>1220</v>
      </c>
      <c r="AFN1" s="134" t="s">
        <v>1221</v>
      </c>
      <c r="AFO1" s="134" t="s">
        <v>1222</v>
      </c>
      <c r="AFP1" s="134" t="s">
        <v>1223</v>
      </c>
      <c r="AFQ1" s="134" t="s">
        <v>1224</v>
      </c>
      <c r="AFR1" s="133" t="s">
        <v>1225</v>
      </c>
      <c r="AFS1" s="134" t="s">
        <v>1226</v>
      </c>
      <c r="AFT1" s="134" t="s">
        <v>1227</v>
      </c>
      <c r="AFU1" s="134" t="s">
        <v>1228</v>
      </c>
      <c r="AFV1" s="134" t="s">
        <v>1229</v>
      </c>
      <c r="AFW1" s="134" t="s">
        <v>1230</v>
      </c>
      <c r="AFX1" s="134" t="s">
        <v>1231</v>
      </c>
      <c r="AFY1" s="134" t="s">
        <v>1232</v>
      </c>
      <c r="AFZ1" s="134" t="s">
        <v>1233</v>
      </c>
      <c r="AGA1" s="134" t="s">
        <v>1234</v>
      </c>
      <c r="AGB1" s="134" t="s">
        <v>1235</v>
      </c>
      <c r="AGC1" s="134" t="s">
        <v>1236</v>
      </c>
      <c r="AGD1" s="134" t="s">
        <v>1237</v>
      </c>
      <c r="AGE1" s="134" t="s">
        <v>1238</v>
      </c>
      <c r="AGF1" s="134" t="s">
        <v>1239</v>
      </c>
      <c r="AGG1" s="134" t="s">
        <v>1240</v>
      </c>
      <c r="AGH1" s="134" t="s">
        <v>1241</v>
      </c>
      <c r="AGI1" s="134" t="s">
        <v>1242</v>
      </c>
      <c r="AGJ1" s="134" t="s">
        <v>1243</v>
      </c>
      <c r="AGK1" s="134" t="s">
        <v>1244</v>
      </c>
      <c r="AGL1" s="134" t="s">
        <v>1245</v>
      </c>
      <c r="AGM1" s="134" t="s">
        <v>1246</v>
      </c>
      <c r="AGN1" s="134" t="s">
        <v>1247</v>
      </c>
      <c r="AGO1" s="134" t="s">
        <v>1248</v>
      </c>
      <c r="AGP1" s="134" t="s">
        <v>1249</v>
      </c>
      <c r="AGQ1" s="134" t="s">
        <v>1250</v>
      </c>
      <c r="AGR1" s="134" t="s">
        <v>1251</v>
      </c>
      <c r="AGS1" s="134" t="s">
        <v>1252</v>
      </c>
      <c r="AGT1" s="134" t="s">
        <v>1253</v>
      </c>
      <c r="AGU1" s="134" t="s">
        <v>1254</v>
      </c>
      <c r="AGV1" s="134" t="s">
        <v>1255</v>
      </c>
      <c r="AGW1" s="134" t="s">
        <v>1256</v>
      </c>
      <c r="AGX1" s="134" t="s">
        <v>1257</v>
      </c>
      <c r="AGY1" s="134" t="s">
        <v>1258</v>
      </c>
      <c r="AGZ1" s="134" t="s">
        <v>1259</v>
      </c>
      <c r="AHA1" s="134" t="s">
        <v>1260</v>
      </c>
      <c r="AHB1" s="134" t="s">
        <v>1261</v>
      </c>
      <c r="AHC1" s="134" t="s">
        <v>1262</v>
      </c>
      <c r="AHD1" s="134" t="s">
        <v>1263</v>
      </c>
      <c r="AHE1" s="134" t="s">
        <v>1264</v>
      </c>
      <c r="AHF1" s="134" t="s">
        <v>1265</v>
      </c>
      <c r="AHG1" s="134" t="s">
        <v>1266</v>
      </c>
      <c r="AHH1" s="134" t="s">
        <v>1267</v>
      </c>
      <c r="AHI1" s="134" t="s">
        <v>1268</v>
      </c>
      <c r="AHJ1" s="134" t="s">
        <v>1269</v>
      </c>
      <c r="AHK1" s="134" t="s">
        <v>1270</v>
      </c>
      <c r="AHL1" s="134" t="s">
        <v>1271</v>
      </c>
      <c r="AHM1" s="134" t="s">
        <v>1272</v>
      </c>
      <c r="AHN1" s="134" t="s">
        <v>1273</v>
      </c>
      <c r="AHO1" s="134" t="s">
        <v>1274</v>
      </c>
      <c r="AHP1" s="134" t="s">
        <v>1275</v>
      </c>
      <c r="AHQ1" s="134" t="s">
        <v>1276</v>
      </c>
      <c r="AHR1" s="134" t="s">
        <v>1277</v>
      </c>
      <c r="AHS1" s="134" t="s">
        <v>1278</v>
      </c>
      <c r="AHT1" s="134" t="s">
        <v>1279</v>
      </c>
      <c r="AHU1" s="134" t="s">
        <v>1280</v>
      </c>
      <c r="AHV1" s="134" t="s">
        <v>1281</v>
      </c>
      <c r="AHW1" s="134" t="s">
        <v>1282</v>
      </c>
      <c r="AHX1" s="134" t="s">
        <v>1283</v>
      </c>
      <c r="AHY1" s="134" t="s">
        <v>1284</v>
      </c>
      <c r="AHZ1" s="134" t="s">
        <v>1285</v>
      </c>
      <c r="AIA1" s="134" t="s">
        <v>1286</v>
      </c>
      <c r="AIB1" s="134" t="s">
        <v>1287</v>
      </c>
      <c r="AIC1" s="134" t="s">
        <v>1288</v>
      </c>
      <c r="AID1" s="134" t="s">
        <v>1289</v>
      </c>
      <c r="AIE1" s="134" t="s">
        <v>1290</v>
      </c>
      <c r="AIF1" s="134" t="s">
        <v>1672</v>
      </c>
      <c r="AIG1" s="134" t="s">
        <v>1291</v>
      </c>
      <c r="AIH1" s="134" t="s">
        <v>1292</v>
      </c>
      <c r="AII1" s="134" t="s">
        <v>1673</v>
      </c>
      <c r="AIJ1" s="134" t="s">
        <v>1293</v>
      </c>
      <c r="AIK1" s="134" t="s">
        <v>1674</v>
      </c>
      <c r="AIL1" s="134" t="s">
        <v>1294</v>
      </c>
      <c r="AIM1" s="134" t="s">
        <v>1295</v>
      </c>
      <c r="AIN1" s="134" t="s">
        <v>1296</v>
      </c>
      <c r="AIO1" s="134" t="s">
        <v>1297</v>
      </c>
      <c r="AIP1" s="134" t="s">
        <v>1675</v>
      </c>
      <c r="AIQ1" s="134" t="s">
        <v>1298</v>
      </c>
      <c r="AIR1" s="134" t="s">
        <v>1676</v>
      </c>
      <c r="AIS1" s="134" t="s">
        <v>1299</v>
      </c>
      <c r="AIT1" s="134" t="s">
        <v>1300</v>
      </c>
      <c r="AIU1" s="134" t="s">
        <v>1301</v>
      </c>
      <c r="AIV1" s="134" t="s">
        <v>1302</v>
      </c>
      <c r="AIW1" s="134" t="s">
        <v>1303</v>
      </c>
      <c r="AIX1" s="134" t="s">
        <v>1304</v>
      </c>
      <c r="AIY1" s="134" t="s">
        <v>1305</v>
      </c>
      <c r="AIZ1" s="134" t="s">
        <v>1306</v>
      </c>
      <c r="AJA1" s="134" t="s">
        <v>1307</v>
      </c>
      <c r="AJB1" s="134" t="s">
        <v>1308</v>
      </c>
      <c r="AJC1" s="134" t="s">
        <v>1309</v>
      </c>
      <c r="AJD1" s="134" t="s">
        <v>1310</v>
      </c>
      <c r="AJE1" s="134" t="s">
        <v>1311</v>
      </c>
      <c r="AJF1" s="134" t="s">
        <v>1312</v>
      </c>
      <c r="AJG1" s="134" t="s">
        <v>1313</v>
      </c>
      <c r="AJH1" s="134" t="s">
        <v>1314</v>
      </c>
      <c r="AJI1" s="134" t="s">
        <v>1315</v>
      </c>
      <c r="AJJ1" s="134" t="s">
        <v>1316</v>
      </c>
      <c r="AJK1" s="134" t="s">
        <v>1317</v>
      </c>
      <c r="AJL1" s="134" t="s">
        <v>1318</v>
      </c>
      <c r="AJM1" s="134" t="s">
        <v>1319</v>
      </c>
      <c r="AJN1" s="134" t="s">
        <v>1320</v>
      </c>
      <c r="AJO1" s="134" t="s">
        <v>1321</v>
      </c>
      <c r="AJP1" s="134" t="s">
        <v>1322</v>
      </c>
      <c r="AJQ1" s="134" t="s">
        <v>1323</v>
      </c>
      <c r="AJR1" s="134" t="s">
        <v>1324</v>
      </c>
      <c r="AJS1" s="134" t="s">
        <v>1325</v>
      </c>
      <c r="AJT1" s="134" t="s">
        <v>1326</v>
      </c>
      <c r="AJU1" s="134" t="s">
        <v>1327</v>
      </c>
      <c r="AJV1" s="134" t="s">
        <v>1328</v>
      </c>
      <c r="AJW1" s="134" t="s">
        <v>1329</v>
      </c>
      <c r="AJX1" s="134" t="s">
        <v>1330</v>
      </c>
      <c r="AJY1" s="134" t="s">
        <v>1331</v>
      </c>
      <c r="AJZ1" s="134" t="s">
        <v>1332</v>
      </c>
      <c r="AKA1" s="134" t="s">
        <v>1333</v>
      </c>
      <c r="AKB1" s="134" t="s">
        <v>1334</v>
      </c>
      <c r="AKC1" s="134" t="s">
        <v>1335</v>
      </c>
      <c r="AKD1" s="134" t="s">
        <v>1336</v>
      </c>
      <c r="AKE1" s="134" t="s">
        <v>1337</v>
      </c>
      <c r="AKF1" s="134" t="s">
        <v>1338</v>
      </c>
      <c r="AKG1" s="134" t="s">
        <v>1339</v>
      </c>
      <c r="AKH1" s="134" t="s">
        <v>1340</v>
      </c>
      <c r="AKI1" s="134" t="s">
        <v>1341</v>
      </c>
      <c r="AKJ1" s="134" t="s">
        <v>1342</v>
      </c>
      <c r="AKK1" s="134" t="s">
        <v>1343</v>
      </c>
      <c r="AKL1" s="134" t="s">
        <v>1344</v>
      </c>
      <c r="AKM1" s="134" t="s">
        <v>1345</v>
      </c>
      <c r="AKN1" s="134" t="s">
        <v>1346</v>
      </c>
      <c r="AKO1" s="134" t="s">
        <v>1347</v>
      </c>
      <c r="AKP1" s="134" t="s">
        <v>1348</v>
      </c>
      <c r="AKQ1" s="134" t="s">
        <v>1349</v>
      </c>
      <c r="AKR1" s="134" t="s">
        <v>1350</v>
      </c>
      <c r="AKS1" s="134" t="s">
        <v>1351</v>
      </c>
      <c r="AKT1" s="134" t="s">
        <v>1352</v>
      </c>
      <c r="AKU1" s="134" t="s">
        <v>1353</v>
      </c>
      <c r="AKV1" s="133" t="s">
        <v>1354</v>
      </c>
      <c r="AKW1" s="134" t="s">
        <v>1355</v>
      </c>
      <c r="AKX1" s="134" t="s">
        <v>1356</v>
      </c>
      <c r="AKY1" s="134" t="s">
        <v>1357</v>
      </c>
      <c r="AKZ1" s="134" t="s">
        <v>1358</v>
      </c>
      <c r="ALA1" s="134" t="s">
        <v>1359</v>
      </c>
      <c r="ALB1" s="134" t="s">
        <v>1360</v>
      </c>
      <c r="ALC1" s="134" t="s">
        <v>1361</v>
      </c>
      <c r="ALD1" s="134" t="s">
        <v>1362</v>
      </c>
      <c r="ALE1" s="134" t="s">
        <v>1363</v>
      </c>
      <c r="ALF1" s="134" t="s">
        <v>1364</v>
      </c>
      <c r="ALG1" s="134" t="s">
        <v>1365</v>
      </c>
      <c r="ALH1" s="134" t="s">
        <v>1366</v>
      </c>
      <c r="ALI1" s="134" t="s">
        <v>1367</v>
      </c>
      <c r="ALJ1" s="134" t="s">
        <v>1368</v>
      </c>
      <c r="ALK1" s="134" t="s">
        <v>1369</v>
      </c>
      <c r="ALL1" s="134" t="s">
        <v>1370</v>
      </c>
      <c r="ALM1" s="134" t="s">
        <v>1371</v>
      </c>
      <c r="ALN1" s="134" t="s">
        <v>1372</v>
      </c>
      <c r="ALO1" s="134" t="s">
        <v>1373</v>
      </c>
      <c r="ALP1" s="134" t="s">
        <v>1374</v>
      </c>
      <c r="ALQ1" s="134" t="s">
        <v>1375</v>
      </c>
      <c r="ALR1" s="134" t="s">
        <v>1376</v>
      </c>
      <c r="ALS1" s="134" t="s">
        <v>1377</v>
      </c>
      <c r="ALT1" s="134" t="s">
        <v>1378</v>
      </c>
      <c r="ALU1" s="134" t="s">
        <v>1379</v>
      </c>
      <c r="ALV1" s="134" t="s">
        <v>1380</v>
      </c>
      <c r="ALW1" s="134" t="s">
        <v>1381</v>
      </c>
      <c r="ALX1" s="134" t="s">
        <v>1382</v>
      </c>
      <c r="ALY1" s="134" t="s">
        <v>1383</v>
      </c>
      <c r="ALZ1" s="134" t="s">
        <v>1384</v>
      </c>
      <c r="AMA1" s="134" t="s">
        <v>1385</v>
      </c>
      <c r="AMB1" s="134" t="s">
        <v>1386</v>
      </c>
      <c r="AMC1" s="134" t="s">
        <v>1387</v>
      </c>
      <c r="AMD1" s="134" t="s">
        <v>1388</v>
      </c>
      <c r="AME1" s="134" t="s">
        <v>1389</v>
      </c>
      <c r="AMF1" s="134" t="s">
        <v>1390</v>
      </c>
      <c r="AMG1" s="134" t="s">
        <v>1391</v>
      </c>
      <c r="AMH1" s="134" t="s">
        <v>1392</v>
      </c>
      <c r="AMI1" s="134" t="s">
        <v>1393</v>
      </c>
      <c r="AMJ1" s="134" t="s">
        <v>1394</v>
      </c>
      <c r="AMK1" s="134" t="s">
        <v>1395</v>
      </c>
      <c r="AML1" s="134" t="s">
        <v>1396</v>
      </c>
      <c r="AMM1" s="134" t="s">
        <v>1397</v>
      </c>
      <c r="AMN1" s="134" t="s">
        <v>1398</v>
      </c>
      <c r="AMO1" s="134" t="s">
        <v>1399</v>
      </c>
      <c r="AMP1" s="134" t="s">
        <v>1400</v>
      </c>
      <c r="AMQ1" s="134" t="s">
        <v>1401</v>
      </c>
      <c r="AMR1" s="134" t="s">
        <v>1402</v>
      </c>
      <c r="AMS1" s="134" t="s">
        <v>1403</v>
      </c>
      <c r="AMT1" s="134" t="s">
        <v>1404</v>
      </c>
      <c r="AMU1" s="134" t="s">
        <v>1405</v>
      </c>
      <c r="AMV1" s="134" t="s">
        <v>1406</v>
      </c>
      <c r="AMW1" s="134" t="s">
        <v>1407</v>
      </c>
      <c r="AMX1" s="134" t="s">
        <v>1408</v>
      </c>
      <c r="AMY1" s="134" t="s">
        <v>1409</v>
      </c>
      <c r="AMZ1" s="134" t="s">
        <v>1410</v>
      </c>
      <c r="ANA1" s="134" t="s">
        <v>1411</v>
      </c>
      <c r="ANB1" s="134" t="s">
        <v>1412</v>
      </c>
      <c r="ANC1" s="134" t="s">
        <v>1413</v>
      </c>
      <c r="AND1" s="134" t="s">
        <v>1414</v>
      </c>
      <c r="ANE1" s="134" t="s">
        <v>1415</v>
      </c>
      <c r="ANF1" s="134" t="s">
        <v>1416</v>
      </c>
      <c r="ANG1" s="134" t="s">
        <v>1417</v>
      </c>
      <c r="ANH1" s="134" t="s">
        <v>1418</v>
      </c>
      <c r="ANI1" s="134" t="s">
        <v>1419</v>
      </c>
      <c r="ANJ1" s="134" t="s">
        <v>1677</v>
      </c>
      <c r="ANK1" s="134" t="s">
        <v>1420</v>
      </c>
      <c r="ANL1" s="134" t="s">
        <v>1421</v>
      </c>
      <c r="ANM1" s="134" t="s">
        <v>1678</v>
      </c>
      <c r="ANN1" s="134" t="s">
        <v>1422</v>
      </c>
      <c r="ANO1" s="134" t="s">
        <v>1681</v>
      </c>
      <c r="ANP1" s="134" t="s">
        <v>1423</v>
      </c>
      <c r="ANQ1" s="134" t="s">
        <v>1424</v>
      </c>
      <c r="ANR1" s="134" t="s">
        <v>1425</v>
      </c>
      <c r="ANS1" s="134" t="s">
        <v>1426</v>
      </c>
      <c r="ANT1" s="134" t="s">
        <v>1679</v>
      </c>
      <c r="ANU1" s="134" t="s">
        <v>1427</v>
      </c>
      <c r="ANV1" s="134" t="s">
        <v>1680</v>
      </c>
      <c r="ANW1" s="134" t="s">
        <v>1428</v>
      </c>
      <c r="ANX1" s="134" t="s">
        <v>1429</v>
      </c>
      <c r="ANY1" s="134" t="s">
        <v>1430</v>
      </c>
      <c r="ANZ1" s="134" t="s">
        <v>1431</v>
      </c>
      <c r="AOA1" s="134" t="s">
        <v>1432</v>
      </c>
      <c r="AOB1" s="134" t="s">
        <v>1433</v>
      </c>
      <c r="AOC1" s="134" t="s">
        <v>1434</v>
      </c>
      <c r="AOD1" s="134" t="s">
        <v>1435</v>
      </c>
      <c r="AOE1" s="134" t="s">
        <v>1436</v>
      </c>
      <c r="AOF1" s="134" t="s">
        <v>1437</v>
      </c>
      <c r="AOG1" s="134" t="s">
        <v>1438</v>
      </c>
      <c r="AOH1" s="134" t="s">
        <v>1439</v>
      </c>
      <c r="AOI1" s="134" t="s">
        <v>1440</v>
      </c>
      <c r="AOJ1" s="134" t="s">
        <v>1441</v>
      </c>
      <c r="AOK1" s="134" t="s">
        <v>1442</v>
      </c>
      <c r="AOL1" s="134" t="s">
        <v>1443</v>
      </c>
      <c r="AOM1" s="134" t="s">
        <v>1444</v>
      </c>
      <c r="AON1" s="134" t="s">
        <v>1445</v>
      </c>
      <c r="AOO1" s="134" t="s">
        <v>1446</v>
      </c>
      <c r="AOP1" s="134" t="s">
        <v>1447</v>
      </c>
      <c r="AOQ1" s="134" t="s">
        <v>1448</v>
      </c>
      <c r="AOR1" s="134" t="s">
        <v>1449</v>
      </c>
      <c r="AOS1" s="134" t="s">
        <v>1450</v>
      </c>
      <c r="AOT1" s="134" t="s">
        <v>1451</v>
      </c>
      <c r="AOU1" s="134" t="s">
        <v>1452</v>
      </c>
      <c r="AOV1" s="134" t="s">
        <v>1453</v>
      </c>
      <c r="AOW1" s="134" t="s">
        <v>1454</v>
      </c>
      <c r="AOX1" s="134" t="s">
        <v>1455</v>
      </c>
      <c r="AOY1" s="134" t="s">
        <v>1456</v>
      </c>
      <c r="AOZ1" s="134" t="s">
        <v>1457</v>
      </c>
      <c r="APA1" s="134" t="s">
        <v>1458</v>
      </c>
      <c r="APB1" s="134" t="s">
        <v>1459</v>
      </c>
      <c r="APC1" s="134" t="s">
        <v>1460</v>
      </c>
      <c r="APD1" s="134" t="s">
        <v>1461</v>
      </c>
      <c r="APE1" s="134" t="s">
        <v>1462</v>
      </c>
      <c r="APF1" s="134" t="s">
        <v>1463</v>
      </c>
      <c r="APG1" s="134" t="s">
        <v>1464</v>
      </c>
      <c r="APH1" s="134" t="s">
        <v>1465</v>
      </c>
      <c r="API1" s="134" t="s">
        <v>1466</v>
      </c>
      <c r="APJ1" s="134" t="s">
        <v>1467</v>
      </c>
      <c r="APK1" s="134" t="s">
        <v>1468</v>
      </c>
      <c r="APL1" s="134" t="s">
        <v>1469</v>
      </c>
      <c r="APM1" s="134" t="s">
        <v>1470</v>
      </c>
      <c r="APN1" s="134" t="s">
        <v>1471</v>
      </c>
      <c r="APO1" s="134" t="s">
        <v>1472</v>
      </c>
      <c r="APP1" s="134" t="s">
        <v>1473</v>
      </c>
      <c r="APQ1" s="134" t="s">
        <v>1474</v>
      </c>
      <c r="APR1" s="134" t="s">
        <v>1475</v>
      </c>
      <c r="APS1" s="134" t="s">
        <v>1476</v>
      </c>
      <c r="APT1" s="134" t="s">
        <v>1477</v>
      </c>
      <c r="APU1" s="134" t="s">
        <v>1478</v>
      </c>
      <c r="APV1" s="134" t="s">
        <v>1479</v>
      </c>
      <c r="APW1" s="134" t="s">
        <v>1480</v>
      </c>
      <c r="APX1" s="134" t="s">
        <v>1481</v>
      </c>
      <c r="APY1" s="134" t="s">
        <v>1482</v>
      </c>
      <c r="APZ1" s="134" t="s">
        <v>1483</v>
      </c>
      <c r="AQA1" s="134" t="s">
        <v>1484</v>
      </c>
      <c r="AQB1" s="134" t="s">
        <v>1485</v>
      </c>
      <c r="AQC1" s="134" t="s">
        <v>1486</v>
      </c>
      <c r="AQD1" s="134" t="s">
        <v>1487</v>
      </c>
      <c r="AQE1" s="134" t="s">
        <v>1488</v>
      </c>
      <c r="AQF1" s="134" t="s">
        <v>1489</v>
      </c>
      <c r="AQG1" s="134" t="s">
        <v>1490</v>
      </c>
      <c r="AQH1" s="134" t="s">
        <v>1491</v>
      </c>
      <c r="AQI1" s="134" t="s">
        <v>1492</v>
      </c>
      <c r="AQJ1" s="134" t="s">
        <v>1493</v>
      </c>
      <c r="AQK1" s="134" t="s">
        <v>1494</v>
      </c>
      <c r="AQL1" s="134" t="s">
        <v>1495</v>
      </c>
      <c r="AQM1" s="134" t="s">
        <v>1496</v>
      </c>
      <c r="AQN1" s="134" t="s">
        <v>1497</v>
      </c>
      <c r="AQO1" s="134" t="s">
        <v>1498</v>
      </c>
      <c r="AQP1" s="134" t="s">
        <v>1499</v>
      </c>
      <c r="AQQ1" s="134" t="s">
        <v>1500</v>
      </c>
      <c r="AQR1" s="134" t="s">
        <v>1501</v>
      </c>
      <c r="AQS1" s="134" t="s">
        <v>1502</v>
      </c>
      <c r="AQT1" s="134" t="s">
        <v>1503</v>
      </c>
      <c r="AQU1" s="134" t="s">
        <v>1504</v>
      </c>
      <c r="AQV1" s="134" t="s">
        <v>1505</v>
      </c>
      <c r="AQW1" s="134" t="s">
        <v>1506</v>
      </c>
      <c r="AQX1" s="134" t="s">
        <v>1507</v>
      </c>
      <c r="AQY1" s="134" t="s">
        <v>1508</v>
      </c>
      <c r="AQZ1" s="134" t="s">
        <v>1509</v>
      </c>
      <c r="ARA1" s="134" t="s">
        <v>1510</v>
      </c>
      <c r="ARB1" s="134" t="s">
        <v>1511</v>
      </c>
      <c r="ARC1" s="134" t="s">
        <v>1512</v>
      </c>
      <c r="ARD1" s="134" t="s">
        <v>1513</v>
      </c>
      <c r="ARE1" s="134" t="s">
        <v>1514</v>
      </c>
      <c r="ARF1" s="134" t="s">
        <v>1515</v>
      </c>
      <c r="ARG1" s="134" t="s">
        <v>1516</v>
      </c>
      <c r="ARH1" s="134" t="s">
        <v>1517</v>
      </c>
      <c r="ARI1" s="134" t="s">
        <v>1518</v>
      </c>
      <c r="ARJ1" s="134" t="s">
        <v>1519</v>
      </c>
      <c r="ARK1" s="134" t="s">
        <v>1520</v>
      </c>
      <c r="ARL1" s="134" t="s">
        <v>1521</v>
      </c>
      <c r="ARM1" s="134" t="s">
        <v>1522</v>
      </c>
      <c r="ARN1" s="134" t="s">
        <v>1523</v>
      </c>
      <c r="ARO1" s="134" t="s">
        <v>1524</v>
      </c>
      <c r="ARP1" s="134" t="s">
        <v>1525</v>
      </c>
      <c r="ARQ1" s="134" t="s">
        <v>1526</v>
      </c>
      <c r="ARR1" s="134" t="s">
        <v>1527</v>
      </c>
      <c r="ARS1" s="134" t="s">
        <v>1528</v>
      </c>
      <c r="ART1" s="134" t="s">
        <v>1529</v>
      </c>
      <c r="ARU1" s="134" t="s">
        <v>1530</v>
      </c>
      <c r="ARV1" s="134" t="s">
        <v>1531</v>
      </c>
      <c r="ARW1" s="134" t="s">
        <v>1532</v>
      </c>
      <c r="ARX1" s="134" t="s">
        <v>1533</v>
      </c>
      <c r="ARY1" s="134" t="s">
        <v>1534</v>
      </c>
      <c r="ARZ1" s="134" t="s">
        <v>1535</v>
      </c>
      <c r="ASA1" s="134" t="s">
        <v>1536</v>
      </c>
      <c r="ASB1" s="134" t="s">
        <v>1537</v>
      </c>
      <c r="ASC1" s="134" t="s">
        <v>1538</v>
      </c>
      <c r="ASD1" s="134" t="s">
        <v>1539</v>
      </c>
      <c r="ASE1" s="134" t="s">
        <v>1540</v>
      </c>
      <c r="ASF1" s="134" t="s">
        <v>1541</v>
      </c>
      <c r="ASG1" s="134" t="s">
        <v>1542</v>
      </c>
      <c r="ASH1" s="134" t="s">
        <v>1543</v>
      </c>
      <c r="ASI1" s="134" t="s">
        <v>1544</v>
      </c>
      <c r="ASJ1" s="134" t="s">
        <v>1545</v>
      </c>
      <c r="ASK1" s="134" t="s">
        <v>1546</v>
      </c>
      <c r="ASL1" s="134" t="s">
        <v>1547</v>
      </c>
      <c r="ASM1" s="134" t="s">
        <v>1548</v>
      </c>
      <c r="ASN1" s="134" t="s">
        <v>1549</v>
      </c>
      <c r="ASO1" s="134" t="s">
        <v>1550</v>
      </c>
      <c r="ASP1" s="134" t="s">
        <v>1551</v>
      </c>
      <c r="ASQ1" s="134" t="s">
        <v>1552</v>
      </c>
      <c r="ASR1" s="134" t="s">
        <v>1553</v>
      </c>
      <c r="ASS1" s="134" t="s">
        <v>1554</v>
      </c>
      <c r="AST1" s="134" t="s">
        <v>1555</v>
      </c>
      <c r="ASU1" s="134" t="s">
        <v>1556</v>
      </c>
      <c r="ASV1" s="134" t="s">
        <v>1557</v>
      </c>
      <c r="ASW1" s="134" t="s">
        <v>1558</v>
      </c>
      <c r="ASX1" s="134" t="s">
        <v>1559</v>
      </c>
      <c r="ASY1" s="134" t="s">
        <v>1560</v>
      </c>
      <c r="ASZ1" s="134" t="s">
        <v>1561</v>
      </c>
      <c r="ATA1" s="134" t="s">
        <v>1562</v>
      </c>
      <c r="ATB1" s="134" t="s">
        <v>1563</v>
      </c>
      <c r="ATC1" s="134" t="s">
        <v>1564</v>
      </c>
      <c r="ATD1" s="134" t="s">
        <v>1565</v>
      </c>
      <c r="ATE1" s="134" t="s">
        <v>1566</v>
      </c>
      <c r="ATF1" s="134" t="s">
        <v>1567</v>
      </c>
      <c r="ATG1" s="134" t="s">
        <v>1568</v>
      </c>
      <c r="ATH1" s="134" t="s">
        <v>1569</v>
      </c>
      <c r="ATI1" s="134" t="s">
        <v>1570</v>
      </c>
      <c r="ATJ1" s="134" t="s">
        <v>1571</v>
      </c>
      <c r="ATK1" s="134" t="s">
        <v>1572</v>
      </c>
      <c r="ATL1" s="134" t="s">
        <v>1573</v>
      </c>
      <c r="ATM1" s="134" t="s">
        <v>1574</v>
      </c>
      <c r="ATN1" s="134" t="s">
        <v>1575</v>
      </c>
      <c r="ATO1" s="134" t="s">
        <v>1576</v>
      </c>
      <c r="ATP1" s="134" t="s">
        <v>1577</v>
      </c>
      <c r="ATQ1" s="134" t="s">
        <v>1578</v>
      </c>
      <c r="ATR1" s="134" t="s">
        <v>1579</v>
      </c>
      <c r="ATS1" s="134" t="s">
        <v>1580</v>
      </c>
      <c r="ATT1" s="134" t="s">
        <v>1581</v>
      </c>
      <c r="ATU1" s="134" t="s">
        <v>1582</v>
      </c>
      <c r="ATV1" s="134" t="s">
        <v>1583</v>
      </c>
      <c r="ATW1" s="134" t="s">
        <v>1584</v>
      </c>
      <c r="ATX1" s="134" t="s">
        <v>1585</v>
      </c>
      <c r="ATY1" s="134" t="s">
        <v>1586</v>
      </c>
      <c r="ATZ1" s="134" t="s">
        <v>1587</v>
      </c>
      <c r="AUA1" s="134" t="s">
        <v>1588</v>
      </c>
      <c r="AUB1" s="134" t="s">
        <v>1589</v>
      </c>
      <c r="AUC1" s="134" t="s">
        <v>1590</v>
      </c>
      <c r="AUD1" s="134" t="s">
        <v>1591</v>
      </c>
      <c r="AUE1" s="134" t="s">
        <v>1592</v>
      </c>
      <c r="AUF1" s="134" t="s">
        <v>1593</v>
      </c>
      <c r="AUG1" s="134" t="s">
        <v>1594</v>
      </c>
      <c r="AUH1" s="134" t="s">
        <v>1595</v>
      </c>
      <c r="AUI1" s="134" t="s">
        <v>1596</v>
      </c>
      <c r="AUJ1" s="134" t="s">
        <v>1597</v>
      </c>
      <c r="AUK1" s="134" t="s">
        <v>1598</v>
      </c>
      <c r="AUL1" s="134" t="s">
        <v>1599</v>
      </c>
      <c r="AUM1" s="134" t="s">
        <v>1600</v>
      </c>
      <c r="AUN1" s="134" t="s">
        <v>1601</v>
      </c>
      <c r="AUO1" s="134" t="s">
        <v>1602</v>
      </c>
      <c r="AUP1" s="134" t="s">
        <v>1603</v>
      </c>
      <c r="AUQ1" s="134" t="s">
        <v>1604</v>
      </c>
      <c r="AUR1" s="134" t="s">
        <v>1605</v>
      </c>
      <c r="AUS1" s="134" t="s">
        <v>1606</v>
      </c>
      <c r="AUT1" s="134" t="s">
        <v>1607</v>
      </c>
      <c r="AUU1" s="134" t="s">
        <v>1608</v>
      </c>
      <c r="AUV1" s="134" t="s">
        <v>1609</v>
      </c>
      <c r="AUW1" s="134" t="s">
        <v>1610</v>
      </c>
      <c r="AUX1" s="134" t="s">
        <v>1611</v>
      </c>
      <c r="AUY1" s="134" t="s">
        <v>1612</v>
      </c>
      <c r="AUZ1" s="134" t="s">
        <v>1613</v>
      </c>
      <c r="AVA1" s="134" t="s">
        <v>1614</v>
      </c>
      <c r="AVB1" s="134" t="s">
        <v>1615</v>
      </c>
      <c r="AVC1" s="134" t="s">
        <v>1616</v>
      </c>
      <c r="AVD1" s="134" t="s">
        <v>1617</v>
      </c>
      <c r="AVE1" s="134" t="s">
        <v>1618</v>
      </c>
      <c r="AVF1" s="134" t="s">
        <v>1619</v>
      </c>
      <c r="AVG1" s="134" t="s">
        <v>1620</v>
      </c>
      <c r="AVH1" s="134" t="s">
        <v>1621</v>
      </c>
      <c r="AVI1" s="134" t="s">
        <v>1622</v>
      </c>
      <c r="AVJ1" s="134" t="s">
        <v>1623</v>
      </c>
      <c r="AVK1" s="134" t="s">
        <v>1624</v>
      </c>
      <c r="AVL1" s="134" t="s">
        <v>1625</v>
      </c>
      <c r="AVM1" s="134" t="s">
        <v>1626</v>
      </c>
      <c r="AVN1" s="134" t="s">
        <v>1627</v>
      </c>
      <c r="AVO1" s="134" t="s">
        <v>1628</v>
      </c>
      <c r="AVP1" s="134" t="s">
        <v>1629</v>
      </c>
      <c r="AVQ1" s="134" t="s">
        <v>1630</v>
      </c>
      <c r="AVR1" s="134" t="s">
        <v>1631</v>
      </c>
      <c r="AVS1" s="134" t="s">
        <v>1632</v>
      </c>
      <c r="AVT1" s="134" t="s">
        <v>1633</v>
      </c>
      <c r="AVU1" s="134" t="s">
        <v>1634</v>
      </c>
      <c r="AVV1" s="134" t="s">
        <v>1635</v>
      </c>
      <c r="AVW1" s="134" t="s">
        <v>1636</v>
      </c>
      <c r="AVX1" s="134" t="s">
        <v>1637</v>
      </c>
      <c r="AVY1" s="134" t="s">
        <v>1638</v>
      </c>
      <c r="AVZ1" s="134" t="s">
        <v>1639</v>
      </c>
      <c r="AWA1" s="134" t="s">
        <v>1640</v>
      </c>
      <c r="AWB1" s="134" t="s">
        <v>1641</v>
      </c>
      <c r="AWC1" s="134" t="s">
        <v>1642</v>
      </c>
      <c r="AWD1" s="134" t="s">
        <v>1643</v>
      </c>
      <c r="AWE1" s="134" t="s">
        <v>1644</v>
      </c>
      <c r="AWF1" s="134" t="s">
        <v>1645</v>
      </c>
      <c r="AWG1" s="134" t="s">
        <v>1646</v>
      </c>
      <c r="AWH1" s="134" t="s">
        <v>1647</v>
      </c>
    </row>
    <row r="2" spans="1:1282" ht="15.5" x14ac:dyDescent="0.35">
      <c r="A2">
        <f>'RESULTADOS '!B3</f>
        <v>1</v>
      </c>
      <c r="B2" s="41" t="str">
        <f>'RESULTADOS '!C3</f>
        <v>AGRESOT SUAREZ DIEGO ALEJANDRO</v>
      </c>
      <c r="C2">
        <f>'RESULTADOS '!D3</f>
        <v>371.36548901056881</v>
      </c>
      <c r="D2">
        <f>'RESULTADOS '!F3</f>
        <v>75.609756097560975</v>
      </c>
      <c r="E2">
        <f>'RESULTADOS '!G3</f>
        <v>74</v>
      </c>
      <c r="F2">
        <f>'RESULTADOS '!H3</f>
        <v>72</v>
      </c>
      <c r="G2">
        <f>'RESULTADOS '!I3</f>
        <v>84.482758620689651</v>
      </c>
      <c r="H2">
        <f>'RESULTADOS '!N3</f>
        <v>47.272727272727273</v>
      </c>
      <c r="I2" s="21">
        <f t="shared" ref="I2:N2" si="0">ROUND(C2,0)</f>
        <v>371</v>
      </c>
      <c r="J2" s="21">
        <f t="shared" si="0"/>
        <v>76</v>
      </c>
      <c r="K2" s="21">
        <f t="shared" si="0"/>
        <v>74</v>
      </c>
      <c r="L2" s="21">
        <f t="shared" si="0"/>
        <v>72</v>
      </c>
      <c r="M2" s="21">
        <f t="shared" si="0"/>
        <v>84</v>
      </c>
      <c r="N2" s="21">
        <f t="shared" si="0"/>
        <v>47</v>
      </c>
      <c r="O2" s="21">
        <f>J2*3</f>
        <v>228</v>
      </c>
      <c r="P2" s="21">
        <f>K2*3</f>
        <v>222</v>
      </c>
      <c r="Q2" s="21">
        <f>L2*3</f>
        <v>216</v>
      </c>
      <c r="R2" s="21">
        <f>M2*3</f>
        <v>252</v>
      </c>
      <c r="S2" s="21">
        <f>SUM(N2:R2)</f>
        <v>965</v>
      </c>
      <c r="T2" s="23">
        <f>S2/13</f>
        <v>74.230769230769226</v>
      </c>
      <c r="U2" s="22">
        <f>ROUND(T2,2)</f>
        <v>74.23</v>
      </c>
      <c r="V2" t="str">
        <f>(IF(J2&lt;=35,"NIVEL 1",IF(J2&lt;=50,"NIVEL 2",IF(J2&lt;=70,"NIVEL 3","NIVEL 4"))))</f>
        <v>NIVEL 4</v>
      </c>
      <c r="W2" t="str">
        <f>(IF(K2&lt;=35,"NIVEL 1",IF(K2&lt;=50,"NIVEL 2",IF(K2&lt;=65,"NIVEL 3","NIVEL 4"))))</f>
        <v>NIVEL 4</v>
      </c>
      <c r="X2" t="str">
        <f>(IF(L2&lt;=40,"NIVEL 1",IF(L2&lt;=55,"NIVEL 2",IF(L2&lt;=70,"NIVEL 3","NIVEL 4"))))</f>
        <v>NIVEL 4</v>
      </c>
      <c r="Y2" t="str">
        <f>(IF(M2&lt;=40,"NIVEL 1",IF(M2&lt;=55,"NIVEL 2",IF(M2&lt;=70,"NIVEL 3","NIVEL 4"))))</f>
        <v>NIVEL 4</v>
      </c>
      <c r="Z2" t="str">
        <f>(IF(N2&lt;=36,"NIVEL PRE A1",IF(N2&lt;=57,"NIVEL A1",IF(N2&lt;=70,"NIVEL A2","NIVEL B1"))))</f>
        <v>NIVEL A1</v>
      </c>
      <c r="AA2">
        <f>ROUND(COUNTIF(V2:V31,"*NIVEL 4*")*100/COUNTA(V2:V31),0)</f>
        <v>3</v>
      </c>
      <c r="AB2">
        <f>ROUND(COUNTIF(W2:W31,"*NIVEL 4*")*100/COUNTA(W2:W31),0)</f>
        <v>3</v>
      </c>
      <c r="AC2">
        <f>ROUND(COUNTIF(X2:X31,"*NIVEL 4*")*100/COUNTA(X2:X31),0)</f>
        <v>3</v>
      </c>
      <c r="AD2">
        <f>ROUND(COUNTIF(Y2:Y31,"*NIVEL 4*")*100/COUNTA(Y2:Y31),0)</f>
        <v>3</v>
      </c>
      <c r="AE2">
        <f>ROUND(COUNTIF(Z2:Z31,"*NIVEL B1*")*100/COUNTA(Z2:Z31),0)</f>
        <v>0</v>
      </c>
      <c r="AF2">
        <f>ROUND(COUNTIF(V2:V31,"*NIVEL 3*")*100/COUNTA(V2:V31),0)</f>
        <v>23</v>
      </c>
      <c r="AG2">
        <f>ROUND(COUNTIF(W2:W31,"*NIVEL 3*")*100/COUNTA(W2:W31),0)</f>
        <v>0</v>
      </c>
      <c r="AH2">
        <f>ROUND(COUNTIF(X2:X31,"*NIVEL 3*")*100/COUNTA(X2:X31),0)</f>
        <v>0</v>
      </c>
      <c r="AI2">
        <f>ROUND(COUNTIF(Y2:Y31,"*NIVEL 3*")*100/COUNTA(Y2:Y31),0)</f>
        <v>0</v>
      </c>
      <c r="AJ2">
        <f>ROUND(COUNTIF(Z2:Z31,"*NIVEL A2*")*100/COUNTA(Z2:Z31),0)</f>
        <v>0</v>
      </c>
      <c r="AK2">
        <f>ROUND(COUNTIF(V2:V31,"*NIVEL 2*")*100/COUNTA(V2:V31),0)</f>
        <v>40</v>
      </c>
      <c r="AL2">
        <f>ROUND(COUNTIF(W2:W31,"*NIVEL 2*")*100/COUNTA(W2:W31),0)</f>
        <v>37</v>
      </c>
      <c r="AM2">
        <f>ROUND(COUNTIF(X2:X31,"*NIVEL 2*")*100/COUNTA(X2:X31),0)</f>
        <v>20</v>
      </c>
      <c r="AN2">
        <f>ROUND(COUNTIF(Y2:Y31,"*NIVEL 2*")*100/COUNTA(Y2:Y31),0)</f>
        <v>23</v>
      </c>
      <c r="AO2">
        <f>ROUND(COUNTIF(Z2:Z31,"*NIVEL A1*")*100/COUNTA(Z2:Z31),0)</f>
        <v>33</v>
      </c>
      <c r="AP2">
        <f>ROUND(COUNTIF(V2:V31,"*NIVEL 1*")*100/COUNTA(V2:V31),0)</f>
        <v>33</v>
      </c>
      <c r="AQ2">
        <f>ROUND(COUNTIF(W2:W31,"*NIVEL 1*")*100/COUNTA(W2:W31),0)</f>
        <v>60</v>
      </c>
      <c r="AR2">
        <f>ROUND(COUNTIF(X2:X31,"*NIVEL 1*")*100/COUNTA(X2:X31),0)</f>
        <v>77</v>
      </c>
      <c r="AS2">
        <f>ROUND(COUNTIF(Y2:Y31,"*NIVEL 1*")*100/COUNTA(Y2:Y31),0)</f>
        <v>73</v>
      </c>
      <c r="AT2">
        <f>ROUND(COUNTIF(Z2:Z31,"*NIVEL PRE A1*")*100/COUNTA(Z2:Z31),0)</f>
        <v>67</v>
      </c>
      <c r="AU2" s="21">
        <f>ROUND(SESION1!BT37,0)</f>
        <v>51</v>
      </c>
      <c r="AV2" s="21">
        <f>ROUND(SESION1!BT38,0)</f>
        <v>61</v>
      </c>
      <c r="AW2" s="21">
        <f>ROUND(SESION1!BT39,0)</f>
        <v>70</v>
      </c>
      <c r="AX2" s="21">
        <f>ROUND(SESION1!AC37,0)</f>
        <v>58</v>
      </c>
      <c r="AY2" s="21">
        <f>ROUND(SESION1!AC38,0)</f>
        <v>68</v>
      </c>
      <c r="AZ2" s="21">
        <f>ROUND(SESION1!AC39,0)</f>
        <v>70</v>
      </c>
      <c r="BA2" s="21">
        <f>ROUND(SESION1!CU37,0)</f>
        <v>66</v>
      </c>
      <c r="BB2" s="21">
        <f>ROUND(SESION1!CU38,0)</f>
        <v>68</v>
      </c>
      <c r="BC2" s="21">
        <f>ROUND(SESION1!CU39,0)</f>
        <v>71</v>
      </c>
      <c r="BD2" s="21">
        <f>ROUND(SESION1!CU40,0)</f>
        <v>60</v>
      </c>
      <c r="BE2" s="21">
        <f>ROUND(SESION1!CU42,0)</f>
        <v>52</v>
      </c>
      <c r="BF2" s="21">
        <f>ROUND(SESION1!CU42,0)</f>
        <v>52</v>
      </c>
      <c r="BG2" s="21" t="s">
        <v>239</v>
      </c>
      <c r="BH2" s="21">
        <f>ROUND(SESION1!DZ38,0)</f>
        <v>73</v>
      </c>
      <c r="BI2" s="21">
        <f>ROUND(SESION1!DZ39,0)</f>
        <v>77</v>
      </c>
      <c r="BJ2" s="21">
        <f>ROUND(SESION1!DZ40,0)</f>
        <v>56</v>
      </c>
      <c r="BK2" s="21">
        <f>ROUND(SESION1!DZ41,0)</f>
        <v>66</v>
      </c>
      <c r="BL2" s="21">
        <f>ROUND(SESION1!DZ42,0)</f>
        <v>73</v>
      </c>
      <c r="BM2" s="21">
        <f>ROUND(SESION1!DZ43,0)</f>
        <v>61</v>
      </c>
      <c r="BN2" s="21">
        <f>ROUND(SESION1!DZ44,0)</f>
        <v>63</v>
      </c>
      <c r="BO2" s="21">
        <f>ROUND(SESION1!DZ45,0)</f>
        <v>60</v>
      </c>
      <c r="BP2" s="21" t="s">
        <v>239</v>
      </c>
      <c r="BQ2" s="21">
        <f>ROUND(SESION1!EA38,0)</f>
        <v>33</v>
      </c>
      <c r="BR2" s="21">
        <f>ROUND(SESION1!EA39,0)</f>
        <v>53</v>
      </c>
      <c r="BS2" s="21">
        <f>ROUND(SESION1!EA40,0)</f>
        <v>65</v>
      </c>
      <c r="BT2" s="21">
        <f>ROUND(SESION1!EA41,0)</f>
        <v>73</v>
      </c>
      <c r="BU2" s="21">
        <f>ROUND(SESION1!EA42,0)</f>
        <v>63</v>
      </c>
      <c r="BV2" s="21">
        <f>ROUND(SESION1!EA43,0)</f>
        <v>60</v>
      </c>
      <c r="BW2" s="21">
        <f>ROUND(SESION1!EA44,0)</f>
        <v>60</v>
      </c>
      <c r="BX2" s="21">
        <f>ROUND(SESION1!EA45,0)</f>
        <v>77</v>
      </c>
      <c r="BY2" s="21" t="s">
        <v>239</v>
      </c>
      <c r="BZ2" s="21">
        <f>ROUND(SESION1!EB38,0)</f>
        <v>70</v>
      </c>
      <c r="CA2" s="21">
        <f>ROUND(SESION1!EB39,0)</f>
        <v>58</v>
      </c>
      <c r="CB2" s="21">
        <f>ROUND(SESION1!EB40,0)</f>
        <v>65</v>
      </c>
      <c r="CC2" s="21">
        <f>ROUND(SESION1!EB41,0)</f>
        <v>62</v>
      </c>
      <c r="CD2" s="21">
        <f>ROUND(SESION1!EB42,0)</f>
        <v>73</v>
      </c>
      <c r="CE2" s="21">
        <f>ROUND(SESION1!EB43,0)</f>
        <v>80</v>
      </c>
      <c r="CF2" s="21">
        <f>ROUND(SESION1!EB44,0)</f>
        <v>64</v>
      </c>
      <c r="CG2" s="21">
        <f>ROUND(SESION1!EB45,0)</f>
        <v>53</v>
      </c>
      <c r="CH2" s="21">
        <f>ROUND(SESION1!EC37,0)</f>
        <v>53</v>
      </c>
      <c r="CI2" s="21" t="s">
        <v>239</v>
      </c>
      <c r="CJ2" s="21" t="s">
        <v>239</v>
      </c>
      <c r="CK2" s="21" t="s">
        <v>239</v>
      </c>
      <c r="CL2" s="21">
        <f>ROUND(SESION1!EC41,0)</f>
        <v>60</v>
      </c>
      <c r="CM2" s="21" t="s">
        <v>239</v>
      </c>
      <c r="CN2" s="21" t="s">
        <v>239</v>
      </c>
      <c r="CO2" s="21" t="s">
        <v>239</v>
      </c>
      <c r="CP2" s="21" t="s">
        <v>239</v>
      </c>
      <c r="CQ2" s="21">
        <f>ROUND(SESION2!ES37,0)</f>
        <v>59</v>
      </c>
      <c r="CR2" s="21">
        <f>ROUND(SESION2!ES38,0)</f>
        <v>52</v>
      </c>
      <c r="CS2" s="21">
        <f>ROUND(SESION2!ES39,0)</f>
        <v>74</v>
      </c>
      <c r="CT2" s="21">
        <f>ROUND(SESION2!ES40,0)</f>
        <v>63</v>
      </c>
      <c r="CU2" s="21">
        <f>ROUND(SESION2!ES41,0)</f>
        <v>56</v>
      </c>
      <c r="CV2" s="21">
        <f>ROUND(SESION2!ES42,0)</f>
        <v>74</v>
      </c>
      <c r="CW2" s="21">
        <f>ROUND(SESION2!ES43,0)</f>
        <v>76</v>
      </c>
      <c r="CX2">
        <f>in!EC33</f>
        <v>7</v>
      </c>
      <c r="CY2">
        <f>in!ED33</f>
        <v>17</v>
      </c>
      <c r="CZ2">
        <f>in!EE33</f>
        <v>20</v>
      </c>
      <c r="DA2">
        <f>in!EF33</f>
        <v>40</v>
      </c>
      <c r="DB2">
        <f>in!EG33</f>
        <v>10</v>
      </c>
      <c r="DC2">
        <f>in!EH33</f>
        <v>37</v>
      </c>
      <c r="DD2">
        <f>in!EI33</f>
        <v>53</v>
      </c>
      <c r="DE2">
        <f>in!EJ33</f>
        <v>3</v>
      </c>
      <c r="DF2">
        <f>in!EK33</f>
        <v>13</v>
      </c>
      <c r="DG2">
        <f>in!EL33</f>
        <v>27</v>
      </c>
      <c r="DH2">
        <f>in!EM33</f>
        <v>13</v>
      </c>
      <c r="DI2">
        <f>in!EN33</f>
        <v>0</v>
      </c>
      <c r="DJ2">
        <f>in!EO33</f>
        <v>33</v>
      </c>
      <c r="DK2">
        <f>in!EP33</f>
        <v>10</v>
      </c>
      <c r="DL2">
        <f>in!EQ33</f>
        <v>23</v>
      </c>
      <c r="DM2">
        <f>in!ER33</f>
        <v>33</v>
      </c>
      <c r="DN2">
        <f>in!ES33</f>
        <v>60</v>
      </c>
      <c r="DO2">
        <f>in!ET33</f>
        <v>17</v>
      </c>
      <c r="DP2">
        <f>in!EU33</f>
        <v>7</v>
      </c>
      <c r="DQ2">
        <f>in!EV33</f>
        <v>50</v>
      </c>
      <c r="DR2">
        <f>in!EW33</f>
        <v>10</v>
      </c>
      <c r="DS2">
        <f>in!EX33</f>
        <v>3</v>
      </c>
      <c r="DT2">
        <f>in!EY33</f>
        <v>23</v>
      </c>
      <c r="DU2">
        <f>in!EZ33</f>
        <v>7</v>
      </c>
      <c r="DV2">
        <f>in!FA33</f>
        <v>37</v>
      </c>
      <c r="DW2">
        <f>in!FB33</f>
        <v>47</v>
      </c>
      <c r="DX2">
        <f>in!FC33</f>
        <v>33</v>
      </c>
      <c r="DY2">
        <f>in!FD33</f>
        <v>37</v>
      </c>
      <c r="DZ2">
        <f>in!FE33</f>
        <v>13</v>
      </c>
      <c r="EA2">
        <f>in!FF33</f>
        <v>23</v>
      </c>
      <c r="EB2">
        <f>in!FG33</f>
        <v>13</v>
      </c>
      <c r="EC2">
        <f>in!FH33</f>
        <v>27</v>
      </c>
      <c r="ED2">
        <f>in!FI33</f>
        <v>10</v>
      </c>
      <c r="EE2">
        <f>in!FJ33</f>
        <v>23</v>
      </c>
      <c r="EF2">
        <f>in!FK33</f>
        <v>77</v>
      </c>
      <c r="EG2">
        <f>in!FL33</f>
        <v>10</v>
      </c>
      <c r="EH2">
        <f>in!FM33</f>
        <v>47</v>
      </c>
      <c r="EI2">
        <f>in!FN33</f>
        <v>27</v>
      </c>
      <c r="EJ2">
        <f>in!FO33</f>
        <v>17</v>
      </c>
      <c r="EK2">
        <f>in!FP33</f>
        <v>10</v>
      </c>
      <c r="EL2">
        <f>in!FQ33</f>
        <v>33</v>
      </c>
      <c r="EM2">
        <f>in!FR33</f>
        <v>17</v>
      </c>
      <c r="EN2">
        <f>in!FS33</f>
        <v>23</v>
      </c>
      <c r="EO2">
        <f>in!FT33</f>
        <v>7</v>
      </c>
      <c r="EP2">
        <f>in!FU33</f>
        <v>13</v>
      </c>
      <c r="EQ2">
        <f>in!FV33</f>
        <v>70</v>
      </c>
      <c r="ER2">
        <f>in!FW33</f>
        <v>37</v>
      </c>
      <c r="ES2">
        <f>in!FX33</f>
        <v>3</v>
      </c>
      <c r="ET2">
        <f>in!FY33</f>
        <v>23</v>
      </c>
      <c r="EU2">
        <f>in!FZ33</f>
        <v>20</v>
      </c>
      <c r="EV2">
        <f>in!GA33</f>
        <v>30</v>
      </c>
      <c r="EW2">
        <f>in!GB33</f>
        <v>3</v>
      </c>
      <c r="EX2">
        <f>in!GC33</f>
        <v>27</v>
      </c>
      <c r="EY2">
        <f>in!GD33</f>
        <v>3</v>
      </c>
      <c r="EZ2">
        <f>in!GE33</f>
        <v>17</v>
      </c>
      <c r="FA2">
        <f>in!GF33</f>
        <v>30</v>
      </c>
      <c r="FB2">
        <f>in!GG33</f>
        <v>33</v>
      </c>
      <c r="FC2">
        <f>in!GH33</f>
        <v>47</v>
      </c>
      <c r="FD2">
        <f>in!GI33</f>
        <v>43</v>
      </c>
      <c r="FE2">
        <f>in!GJ33</f>
        <v>67</v>
      </c>
      <c r="FF2">
        <f>in!GK33</f>
        <v>30</v>
      </c>
      <c r="FG2">
        <f>in!GL33</f>
        <v>27</v>
      </c>
      <c r="FH2">
        <f>in!GM33</f>
        <v>30</v>
      </c>
      <c r="FI2">
        <f>in!GN33</f>
        <v>10</v>
      </c>
      <c r="FJ2">
        <f>in!GO33</f>
        <v>30</v>
      </c>
      <c r="FK2">
        <f>in!GP33</f>
        <v>7</v>
      </c>
      <c r="FL2">
        <f>in!GQ33</f>
        <v>3</v>
      </c>
      <c r="FM2">
        <f>in!GR33</f>
        <v>33</v>
      </c>
      <c r="FN2">
        <f>in!GS33</f>
        <v>60</v>
      </c>
      <c r="FO2">
        <f>in!GT33</f>
        <v>50</v>
      </c>
      <c r="FP2">
        <f>in!GU33</f>
        <v>13</v>
      </c>
      <c r="FQ2">
        <f>in!GV33</f>
        <v>30</v>
      </c>
      <c r="FR2">
        <f>in!GW33</f>
        <v>20</v>
      </c>
      <c r="FS2">
        <f>in!GX33</f>
        <v>20</v>
      </c>
      <c r="FT2">
        <f>in!GY33</f>
        <v>33</v>
      </c>
      <c r="FU2">
        <f>in!GZ33</f>
        <v>33</v>
      </c>
      <c r="FV2">
        <f>in!HA33</f>
        <v>60</v>
      </c>
      <c r="FW2">
        <f>in!HB33</f>
        <v>13</v>
      </c>
      <c r="FX2">
        <f>in!HC33</f>
        <v>30</v>
      </c>
      <c r="FY2">
        <f>in!HD33</f>
        <v>43</v>
      </c>
      <c r="FZ2">
        <f>in!HE33</f>
        <v>33</v>
      </c>
      <c r="GA2">
        <f>in!HF33</f>
        <v>43</v>
      </c>
      <c r="GB2">
        <f>in!HG33</f>
        <v>30</v>
      </c>
      <c r="GC2">
        <f>in!HH33</f>
        <v>17</v>
      </c>
      <c r="GD2">
        <f>in!HI33</f>
        <v>10</v>
      </c>
      <c r="GE2">
        <f>in!HJ33</f>
        <v>20</v>
      </c>
      <c r="GF2">
        <f>in!HK33</f>
        <v>17</v>
      </c>
      <c r="GG2">
        <f>in!HL33</f>
        <v>33</v>
      </c>
      <c r="GH2">
        <f>in!HM33</f>
        <v>7</v>
      </c>
      <c r="GI2">
        <f>in!HN33</f>
        <v>13</v>
      </c>
      <c r="GJ2">
        <f>in!HO33</f>
        <v>23</v>
      </c>
      <c r="GK2">
        <f>in!HP33</f>
        <v>7</v>
      </c>
      <c r="GL2">
        <f>in!HQ33</f>
        <v>27</v>
      </c>
      <c r="GM2">
        <f>in!HR33</f>
        <v>40</v>
      </c>
      <c r="GN2">
        <f>in!HS33</f>
        <v>33</v>
      </c>
      <c r="GO2">
        <f>in!HT33</f>
        <v>20</v>
      </c>
      <c r="GP2">
        <f>in!HU33</f>
        <v>20</v>
      </c>
      <c r="GQ2">
        <f>in!HV33</f>
        <v>50</v>
      </c>
      <c r="GR2">
        <f>in!HW33</f>
        <v>23</v>
      </c>
      <c r="GS2">
        <f>in!HX33</f>
        <v>20</v>
      </c>
      <c r="GT2">
        <f>in!HY33</f>
        <v>23</v>
      </c>
      <c r="GU2">
        <f>in!HZ33</f>
        <v>53</v>
      </c>
      <c r="GV2">
        <f>in!IA33</f>
        <v>30</v>
      </c>
      <c r="GW2">
        <f>in!IB33</f>
        <v>23</v>
      </c>
      <c r="GX2">
        <f>in!IC33</f>
        <v>27</v>
      </c>
      <c r="GY2">
        <f>in!ID33</f>
        <v>30</v>
      </c>
      <c r="GZ2">
        <f>in!IE33</f>
        <v>37</v>
      </c>
      <c r="HA2">
        <f>in!IF33</f>
        <v>3</v>
      </c>
      <c r="HB2">
        <f>in!IG33</f>
        <v>23</v>
      </c>
      <c r="HC2">
        <f>in!IH33</f>
        <v>20</v>
      </c>
      <c r="HD2">
        <f>in!II33</f>
        <v>20</v>
      </c>
      <c r="HE2">
        <f>in!IJ33</f>
        <v>40</v>
      </c>
      <c r="HF2">
        <f>in!IK33</f>
        <v>30</v>
      </c>
      <c r="HG2">
        <f>in!IL33</f>
        <v>0</v>
      </c>
      <c r="HH2">
        <f>in!IM33</f>
        <v>30</v>
      </c>
      <c r="HI2">
        <f>in!IN33</f>
        <v>40</v>
      </c>
      <c r="HJ2">
        <f>in!IO33</f>
        <v>27</v>
      </c>
      <c r="HK2">
        <f>in!IP33</f>
        <v>17</v>
      </c>
      <c r="HL2">
        <f>in!IQ33</f>
        <v>13</v>
      </c>
      <c r="HM2">
        <f>in!IR33</f>
        <v>7</v>
      </c>
      <c r="HN2">
        <f>in!EC34</f>
        <v>3</v>
      </c>
      <c r="HO2">
        <f>in!ED34</f>
        <v>70</v>
      </c>
      <c r="HP2">
        <f>in!EE34</f>
        <v>33</v>
      </c>
      <c r="HQ2">
        <f>in!EF34</f>
        <v>23</v>
      </c>
      <c r="HR2">
        <f>in!EG34</f>
        <v>13</v>
      </c>
      <c r="HS2">
        <f>in!EH34</f>
        <v>53</v>
      </c>
      <c r="HT2">
        <f>in!EI34</f>
        <v>3</v>
      </c>
      <c r="HU2">
        <f>in!EJ34</f>
        <v>20</v>
      </c>
      <c r="HV2">
        <f>in!EK34</f>
        <v>63</v>
      </c>
      <c r="HW2">
        <f>in!EL34</f>
        <v>37</v>
      </c>
      <c r="HX2">
        <f>in!EM34</f>
        <v>40</v>
      </c>
      <c r="HY2">
        <f>in!EN34</f>
        <v>0</v>
      </c>
      <c r="HZ2">
        <f>in!EO34</f>
        <v>7</v>
      </c>
      <c r="IA2">
        <f>in!EP34</f>
        <v>3</v>
      </c>
      <c r="IB2">
        <f>in!EQ34</f>
        <v>40</v>
      </c>
      <c r="IC2">
        <f>in!ER34</f>
        <v>10</v>
      </c>
      <c r="ID2">
        <f>in!ES34</f>
        <v>10</v>
      </c>
      <c r="IE2">
        <f>in!ET34</f>
        <v>30</v>
      </c>
      <c r="IF2">
        <f>in!EU34</f>
        <v>10</v>
      </c>
      <c r="IG2">
        <f>in!EV34</f>
        <v>0</v>
      </c>
      <c r="IH2">
        <f>in!EW34</f>
        <v>57</v>
      </c>
      <c r="II2">
        <f>in!EX34</f>
        <v>33</v>
      </c>
      <c r="IJ2">
        <f>in!EY34</f>
        <v>40</v>
      </c>
      <c r="IK2">
        <f>in!EZ34</f>
        <v>37</v>
      </c>
      <c r="IL2">
        <f>in!FA34</f>
        <v>13</v>
      </c>
      <c r="IM2">
        <f>in!FB34</f>
        <v>10</v>
      </c>
      <c r="IN2">
        <f>in!FC34</f>
        <v>23</v>
      </c>
      <c r="IO2">
        <f>in!FD34</f>
        <v>20</v>
      </c>
      <c r="IP2">
        <f>in!FE34</f>
        <v>7</v>
      </c>
      <c r="IQ2">
        <f>in!FF34</f>
        <v>17</v>
      </c>
      <c r="IR2">
        <f>in!FG34</f>
        <v>20</v>
      </c>
      <c r="IS2">
        <f>in!FH34</f>
        <v>7</v>
      </c>
      <c r="IT2">
        <f>in!FI34</f>
        <v>33</v>
      </c>
      <c r="IU2">
        <f>in!FJ34</f>
        <v>13</v>
      </c>
      <c r="IV2">
        <f>in!FK34</f>
        <v>10</v>
      </c>
      <c r="IW2">
        <f>in!FL34</f>
        <v>3</v>
      </c>
      <c r="IX2">
        <f>in!FM34</f>
        <v>33</v>
      </c>
      <c r="IY2">
        <f>in!FN34</f>
        <v>27</v>
      </c>
      <c r="IZ2">
        <f>in!FO34</f>
        <v>33</v>
      </c>
      <c r="JA2">
        <f>in!FP34</f>
        <v>3</v>
      </c>
      <c r="JB2">
        <f>in!FQ34</f>
        <v>13</v>
      </c>
      <c r="JC2">
        <f>in!FR34</f>
        <v>17</v>
      </c>
      <c r="JD2">
        <f>in!FS34</f>
        <v>20</v>
      </c>
      <c r="JE2">
        <f>in!FT34</f>
        <v>33</v>
      </c>
      <c r="JF2">
        <f>in!FU34</f>
        <v>23</v>
      </c>
      <c r="JG2">
        <f>in!FV34</f>
        <v>10</v>
      </c>
      <c r="JH2">
        <f>in!FW34</f>
        <v>30</v>
      </c>
      <c r="JI2">
        <f>in!FX34</f>
        <v>87</v>
      </c>
      <c r="JJ2">
        <f>in!FY34</f>
        <v>7</v>
      </c>
      <c r="JK2">
        <f>in!FZ34</f>
        <v>23</v>
      </c>
      <c r="JL2">
        <f>in!GA34</f>
        <v>43</v>
      </c>
      <c r="JM2">
        <f>in!GB34</f>
        <v>27</v>
      </c>
      <c r="JN2">
        <f>in!GC34</f>
        <v>3</v>
      </c>
      <c r="JO2">
        <f>in!GD34</f>
        <v>37</v>
      </c>
      <c r="JP2">
        <f>in!GE34</f>
        <v>30</v>
      </c>
      <c r="JQ2">
        <f>in!GF34</f>
        <v>43</v>
      </c>
      <c r="JR2">
        <f>in!GG34</f>
        <v>20</v>
      </c>
      <c r="JS2">
        <f>in!GH34</f>
        <v>10</v>
      </c>
      <c r="JT2">
        <f>in!GI34</f>
        <v>20</v>
      </c>
      <c r="JU2">
        <f>in!GJ34</f>
        <v>13</v>
      </c>
      <c r="JV2">
        <f>in!GK34</f>
        <v>33</v>
      </c>
      <c r="JW2">
        <f>in!GL34</f>
        <v>17</v>
      </c>
      <c r="JX2">
        <f>in!GM34</f>
        <v>27</v>
      </c>
      <c r="JY2">
        <f>in!GN34</f>
        <v>27</v>
      </c>
      <c r="JZ2">
        <f>in!GO34</f>
        <v>33</v>
      </c>
      <c r="KA2">
        <f>in!GP34</f>
        <v>17</v>
      </c>
      <c r="KB2">
        <f>in!GQ34</f>
        <v>27</v>
      </c>
      <c r="KC2">
        <f>in!GR34</f>
        <v>33</v>
      </c>
      <c r="KD2">
        <f>in!GS34</f>
        <v>23</v>
      </c>
      <c r="KE2">
        <f>in!GT34</f>
        <v>20</v>
      </c>
      <c r="KF2">
        <f>in!GU34</f>
        <v>0</v>
      </c>
      <c r="KG2">
        <f>in!GV34</f>
        <v>27</v>
      </c>
      <c r="KH2">
        <f>in!GW34</f>
        <v>27</v>
      </c>
      <c r="KI2">
        <f>in!GX34</f>
        <v>60</v>
      </c>
      <c r="KJ2">
        <f>in!GY34</f>
        <v>20</v>
      </c>
      <c r="KK2">
        <f>in!GZ34</f>
        <v>20</v>
      </c>
      <c r="KL2">
        <f>in!HA34</f>
        <v>10</v>
      </c>
      <c r="KM2">
        <f>in!HB34</f>
        <v>47</v>
      </c>
      <c r="KN2">
        <f>in!HC34</f>
        <v>40</v>
      </c>
      <c r="KO2">
        <f>in!HD34</f>
        <v>17</v>
      </c>
      <c r="KP2">
        <f>in!HE34</f>
        <v>30</v>
      </c>
      <c r="KQ2">
        <f>in!HF34</f>
        <v>27</v>
      </c>
      <c r="KR2">
        <f>in!HG34</f>
        <v>13</v>
      </c>
      <c r="KS2">
        <f>in!HH34</f>
        <v>43</v>
      </c>
      <c r="KT2">
        <f>in!HI34</f>
        <v>40</v>
      </c>
      <c r="KU2">
        <f>in!HJ34</f>
        <v>17</v>
      </c>
      <c r="KV2">
        <f>in!HK34</f>
        <v>30</v>
      </c>
      <c r="KW2">
        <f>in!HL34</f>
        <v>33</v>
      </c>
      <c r="KX2">
        <f>in!HM34</f>
        <v>30</v>
      </c>
      <c r="KY2">
        <f>in!HN34</f>
        <v>37</v>
      </c>
      <c r="KZ2">
        <f>in!HO34</f>
        <v>40</v>
      </c>
      <c r="LA2">
        <f>in!HP34</f>
        <v>60</v>
      </c>
      <c r="LB2">
        <f>in!HQ34</f>
        <v>23</v>
      </c>
      <c r="LC2">
        <f>in!HR34</f>
        <v>7</v>
      </c>
      <c r="LD2">
        <f>in!HS34</f>
        <v>33</v>
      </c>
      <c r="LE2">
        <f>in!HT34</f>
        <v>30</v>
      </c>
      <c r="LF2">
        <f>in!HU34</f>
        <v>17</v>
      </c>
      <c r="LG2">
        <f>in!HV34</f>
        <v>33</v>
      </c>
      <c r="LH2">
        <f>in!HW34</f>
        <v>37</v>
      </c>
      <c r="LI2">
        <f>in!HX34</f>
        <v>40</v>
      </c>
      <c r="LJ2">
        <f>in!HY34</f>
        <v>7</v>
      </c>
      <c r="LK2">
        <f>in!HZ34</f>
        <v>17</v>
      </c>
      <c r="LL2">
        <f>in!IA34</f>
        <v>13</v>
      </c>
      <c r="LM2">
        <f>in!IB34</f>
        <v>37</v>
      </c>
      <c r="LN2">
        <f>in!IC34</f>
        <v>40</v>
      </c>
      <c r="LO2">
        <f>in!ID34</f>
        <v>23</v>
      </c>
      <c r="LP2">
        <f>in!IE34</f>
        <v>27</v>
      </c>
      <c r="LQ2">
        <f>in!IF34</f>
        <v>83</v>
      </c>
      <c r="LR2">
        <f>in!IG34</f>
        <v>23</v>
      </c>
      <c r="LS2">
        <f>in!IH34</f>
        <v>23</v>
      </c>
      <c r="LT2">
        <f>in!II34</f>
        <v>30</v>
      </c>
      <c r="LU2">
        <f>in!IJ34</f>
        <v>30</v>
      </c>
      <c r="LV2">
        <f>in!IK34</f>
        <v>20</v>
      </c>
      <c r="LW2">
        <f>in!IL34</f>
        <v>60</v>
      </c>
      <c r="LX2">
        <f>in!IM34</f>
        <v>27</v>
      </c>
      <c r="LY2">
        <f>in!IN34</f>
        <v>47</v>
      </c>
      <c r="LZ2">
        <f>in!IO34</f>
        <v>20</v>
      </c>
      <c r="MA2">
        <f>in!IP34</f>
        <v>20</v>
      </c>
      <c r="MB2">
        <f>in!IQ34</f>
        <v>17</v>
      </c>
      <c r="MC2">
        <f>in!IR34</f>
        <v>17</v>
      </c>
      <c r="MD2">
        <f>in!EC35</f>
        <v>83</v>
      </c>
      <c r="ME2">
        <f>in!ED35</f>
        <v>13</v>
      </c>
      <c r="MF2">
        <f>in!EE35</f>
        <v>23</v>
      </c>
      <c r="MG2">
        <f>in!EF35</f>
        <v>27</v>
      </c>
      <c r="MH2">
        <f>in!EG35</f>
        <v>20</v>
      </c>
      <c r="MI2">
        <f>in!EH35</f>
        <v>7</v>
      </c>
      <c r="MJ2">
        <f>in!EI35</f>
        <v>37</v>
      </c>
      <c r="MK2">
        <f>in!EJ35</f>
        <v>47</v>
      </c>
      <c r="ML2">
        <f>in!EK35</f>
        <v>13</v>
      </c>
      <c r="MM2">
        <f>in!EL35</f>
        <v>30</v>
      </c>
      <c r="MN2">
        <f>in!EM35</f>
        <v>33</v>
      </c>
      <c r="MO2">
        <f>in!EN35</f>
        <v>40</v>
      </c>
      <c r="MP2">
        <f>in!EO35</f>
        <v>13</v>
      </c>
      <c r="MQ2">
        <f>in!EP35</f>
        <v>70</v>
      </c>
      <c r="MR2">
        <f>in!EQ35</f>
        <v>13</v>
      </c>
      <c r="MS2">
        <f>in!ER35</f>
        <v>33</v>
      </c>
      <c r="MT2">
        <f>in!ES35</f>
        <v>13</v>
      </c>
      <c r="MU2">
        <f>in!ET35</f>
        <v>17</v>
      </c>
      <c r="MV2">
        <f>in!EU35</f>
        <v>17</v>
      </c>
      <c r="MW2">
        <f>in!EV35</f>
        <v>7</v>
      </c>
      <c r="MX2">
        <f>in!EW35</f>
        <v>10</v>
      </c>
      <c r="MY2">
        <f>in!EX35</f>
        <v>47</v>
      </c>
      <c r="MZ2">
        <f>in!EY35</f>
        <v>20</v>
      </c>
      <c r="NA2">
        <f>in!EZ35</f>
        <v>27</v>
      </c>
      <c r="NB2">
        <f>in!FA35</f>
        <v>30</v>
      </c>
      <c r="NC2">
        <f>in!FB35</f>
        <v>7</v>
      </c>
      <c r="ND2">
        <f>in!FC35</f>
        <v>20</v>
      </c>
      <c r="NE2">
        <f>in!FD35</f>
        <v>37</v>
      </c>
      <c r="NF2">
        <f>in!FE35</f>
        <v>67</v>
      </c>
      <c r="NG2">
        <f>in!FF35</f>
        <v>53</v>
      </c>
      <c r="NH2">
        <f>in!FG35</f>
        <v>50</v>
      </c>
      <c r="NI2">
        <f>in!FH35</f>
        <v>27</v>
      </c>
      <c r="NJ2">
        <f>in!FI35</f>
        <v>37</v>
      </c>
      <c r="NK2">
        <f>in!FJ35</f>
        <v>30</v>
      </c>
      <c r="NL2">
        <f>in!FK35</f>
        <v>7</v>
      </c>
      <c r="NM2">
        <f>in!FL35</f>
        <v>20</v>
      </c>
      <c r="NN2">
        <f>in!FM35</f>
        <v>13</v>
      </c>
      <c r="NO2">
        <f>in!FN35</f>
        <v>37</v>
      </c>
      <c r="NP2">
        <f>in!FO35</f>
        <v>47</v>
      </c>
      <c r="NQ2">
        <f>in!FP35</f>
        <v>57</v>
      </c>
      <c r="NR2">
        <f>in!FQ35</f>
        <v>7</v>
      </c>
      <c r="NS2">
        <f>in!FR35</f>
        <v>33</v>
      </c>
      <c r="NT2">
        <f>in!FS35</f>
        <v>37</v>
      </c>
      <c r="NU2">
        <f>in!FT35</f>
        <v>47</v>
      </c>
      <c r="NV2">
        <f>in!FU35</f>
        <v>27</v>
      </c>
      <c r="NW2">
        <f>in!FV35</f>
        <v>3</v>
      </c>
      <c r="NX2">
        <f>in!FW35</f>
        <v>20</v>
      </c>
      <c r="NY2">
        <f>in!FX35</f>
        <v>3</v>
      </c>
      <c r="NZ2">
        <f>in!FY35</f>
        <v>13</v>
      </c>
      <c r="OA2">
        <f>in!FZ35</f>
        <v>37</v>
      </c>
      <c r="OB2">
        <f>in!GA35</f>
        <v>17</v>
      </c>
      <c r="OC2">
        <f>in!GB35</f>
        <v>43</v>
      </c>
      <c r="OD2">
        <f>in!GC35</f>
        <v>17</v>
      </c>
      <c r="OE2">
        <f>in!GD35</f>
        <v>37</v>
      </c>
      <c r="OF2">
        <f>in!GE35</f>
        <v>40</v>
      </c>
      <c r="OG2">
        <f>in!GF35</f>
        <v>13</v>
      </c>
      <c r="OH2">
        <f>in!GG35</f>
        <v>27</v>
      </c>
      <c r="OI2">
        <f>in!GH35</f>
        <v>7</v>
      </c>
      <c r="OJ2">
        <f>in!GI35</f>
        <v>23</v>
      </c>
      <c r="OK2">
        <f>in!GJ35</f>
        <v>7</v>
      </c>
      <c r="OL2">
        <f>in!GK35</f>
        <v>23</v>
      </c>
      <c r="OM2">
        <f>in!GL35</f>
        <v>43</v>
      </c>
      <c r="ON2">
        <f>in!GM35</f>
        <v>30</v>
      </c>
      <c r="OO2">
        <f>in!GN35</f>
        <v>43</v>
      </c>
      <c r="OP2">
        <f>in!GO35</f>
        <v>17</v>
      </c>
      <c r="OQ2">
        <f>in!GP35</f>
        <v>50</v>
      </c>
      <c r="OR2">
        <f>in!GQ35</f>
        <v>43</v>
      </c>
      <c r="OS2">
        <f>in!GR35</f>
        <v>27</v>
      </c>
      <c r="OT2">
        <f>in!GS35</f>
        <v>10</v>
      </c>
      <c r="OU2">
        <f>in!GT35</f>
        <v>27</v>
      </c>
      <c r="OV2">
        <f>in!GU35</f>
        <v>50</v>
      </c>
      <c r="OW2">
        <f>in!GV35</f>
        <v>40</v>
      </c>
      <c r="OX2">
        <f>in!GW35</f>
        <v>17</v>
      </c>
      <c r="OY2">
        <f>in!GX35</f>
        <v>13</v>
      </c>
      <c r="OZ2">
        <f>in!GY35</f>
        <v>30</v>
      </c>
      <c r="PA2">
        <f>in!GZ35</f>
        <v>27</v>
      </c>
      <c r="PB2">
        <f>in!HA35</f>
        <v>10</v>
      </c>
      <c r="PC2">
        <f>in!HB35</f>
        <v>7</v>
      </c>
      <c r="PD2">
        <f>in!HC35</f>
        <v>13</v>
      </c>
      <c r="PE2">
        <f>in!HD35</f>
        <v>30</v>
      </c>
      <c r="PF2">
        <f>in!HE35</f>
        <v>23</v>
      </c>
      <c r="PG2">
        <f>in!HF35</f>
        <v>17</v>
      </c>
      <c r="PH2">
        <f>in!HG35</f>
        <v>40</v>
      </c>
      <c r="PI2">
        <f>in!HH35</f>
        <v>30</v>
      </c>
      <c r="PJ2">
        <f>in!HI35</f>
        <v>33</v>
      </c>
      <c r="PK2">
        <f>in!HJ35</f>
        <v>47</v>
      </c>
      <c r="PL2">
        <f>in!HK35</f>
        <v>27</v>
      </c>
      <c r="PM2">
        <f>in!HL35</f>
        <v>20</v>
      </c>
      <c r="PN2">
        <f>in!HM35</f>
        <v>30</v>
      </c>
      <c r="PO2">
        <f>in!HN35</f>
        <v>23</v>
      </c>
      <c r="PP2">
        <f>in!HO35</f>
        <v>20</v>
      </c>
      <c r="PQ2">
        <f>in!HP35</f>
        <v>27</v>
      </c>
      <c r="PR2">
        <f>in!HQ35</f>
        <v>30</v>
      </c>
      <c r="PS2">
        <f>in!HR35</f>
        <v>40</v>
      </c>
      <c r="PT2">
        <f>in!HS35</f>
        <v>30</v>
      </c>
      <c r="PU2">
        <f>in!HT35</f>
        <v>33</v>
      </c>
      <c r="PV2">
        <f>in!HU35</f>
        <v>50</v>
      </c>
      <c r="PW2">
        <f>in!HV35</f>
        <v>13</v>
      </c>
      <c r="PX2">
        <f>in!HW35</f>
        <v>13</v>
      </c>
      <c r="PY2">
        <f>in!HX35</f>
        <v>27</v>
      </c>
      <c r="PZ2">
        <f>in!HY35</f>
        <v>57</v>
      </c>
      <c r="QA2">
        <f>in!HZ35</f>
        <v>7</v>
      </c>
      <c r="QB2">
        <f>in!IA35</f>
        <v>33</v>
      </c>
      <c r="QC2">
        <f>in!IB35</f>
        <v>37</v>
      </c>
      <c r="QD2">
        <f>in!IC35</f>
        <v>17</v>
      </c>
      <c r="QE2">
        <f>in!ID35</f>
        <v>27</v>
      </c>
      <c r="QF2">
        <f>in!IE35</f>
        <v>27</v>
      </c>
      <c r="QG2">
        <f>in!IF35</f>
        <v>7</v>
      </c>
      <c r="QH2">
        <f>in!IG35</f>
        <v>50</v>
      </c>
      <c r="QI2">
        <f>in!IH35</f>
        <v>50</v>
      </c>
      <c r="QJ2">
        <f>in!II35</f>
        <v>33</v>
      </c>
      <c r="QK2">
        <f>in!IJ35</f>
        <v>17</v>
      </c>
      <c r="QL2">
        <f>in!IK35</f>
        <v>30</v>
      </c>
      <c r="QM2">
        <f>in!IL35</f>
        <v>40</v>
      </c>
      <c r="QN2">
        <f>in!IM35</f>
        <v>17</v>
      </c>
      <c r="QO2">
        <f>in!IN35</f>
        <v>7</v>
      </c>
      <c r="QP2">
        <f>in!IO35</f>
        <v>33</v>
      </c>
      <c r="QQ2">
        <f>in!IP35</f>
        <v>53</v>
      </c>
      <c r="QR2">
        <f>in!IQ35</f>
        <v>27</v>
      </c>
      <c r="QS2">
        <f>in!IR35</f>
        <v>60</v>
      </c>
      <c r="QT2">
        <f>in!EC36</f>
        <v>7</v>
      </c>
      <c r="QU2">
        <f>in!ED36</f>
        <v>0</v>
      </c>
      <c r="QV2">
        <f>in!EE36</f>
        <v>23</v>
      </c>
      <c r="QW2">
        <f>in!EF36</f>
        <v>10</v>
      </c>
      <c r="QX2">
        <f>in!EG36</f>
        <v>57</v>
      </c>
      <c r="QY2">
        <f>in!EH36</f>
        <v>3</v>
      </c>
      <c r="QZ2">
        <f>in!EI36</f>
        <v>7</v>
      </c>
      <c r="RA2">
        <f>in!EJ36</f>
        <v>30</v>
      </c>
      <c r="RB2">
        <f>in!EK36</f>
        <v>10</v>
      </c>
      <c r="RC2">
        <f>in!EL36</f>
        <v>7</v>
      </c>
      <c r="RD2">
        <f>in!EM36</f>
        <v>13</v>
      </c>
      <c r="RE2">
        <f>in!EN36</f>
        <v>60</v>
      </c>
      <c r="RF2">
        <f>in!EO36</f>
        <v>47</v>
      </c>
      <c r="RG2">
        <f>in!EP36</f>
        <v>17</v>
      </c>
      <c r="RH2">
        <f>in!EQ36</f>
        <v>23</v>
      </c>
      <c r="RI2">
        <f>in!ER36</f>
        <v>23</v>
      </c>
      <c r="RJ2">
        <f>in!ES36</f>
        <v>17</v>
      </c>
      <c r="RK2">
        <f>in!ET36</f>
        <v>37</v>
      </c>
      <c r="RL2">
        <f>in!EU36</f>
        <v>67</v>
      </c>
      <c r="RM2">
        <f>in!EV36</f>
        <v>43</v>
      </c>
      <c r="RN2">
        <f>in!EW36</f>
        <v>23</v>
      </c>
      <c r="RO2">
        <f>in!EX36</f>
        <v>17</v>
      </c>
      <c r="RP2">
        <f>in!EY36</f>
        <v>17</v>
      </c>
      <c r="RQ2">
        <f>in!EZ36</f>
        <v>30</v>
      </c>
      <c r="RR2">
        <f>in!FA36</f>
        <v>20</v>
      </c>
      <c r="RS2">
        <f>in!FB36</f>
        <v>37</v>
      </c>
      <c r="RT2">
        <f>in!FC36</f>
        <v>23</v>
      </c>
      <c r="RU2">
        <f>in!FD36</f>
        <v>7</v>
      </c>
      <c r="RV2">
        <f>in!FE36</f>
        <v>13</v>
      </c>
      <c r="RW2">
        <f>in!FF36</f>
        <v>7</v>
      </c>
      <c r="RX2">
        <f>in!FG36</f>
        <v>17</v>
      </c>
      <c r="RY2">
        <f>in!FH36</f>
        <v>40</v>
      </c>
      <c r="RZ2">
        <f>in!FI36</f>
        <v>20</v>
      </c>
      <c r="SA2">
        <f>in!FJ36</f>
        <v>33</v>
      </c>
      <c r="SB2">
        <f>in!FK36</f>
        <v>7</v>
      </c>
      <c r="SC2">
        <f>in!FL36</f>
        <v>67</v>
      </c>
      <c r="SD2">
        <f>in!FM36</f>
        <v>7</v>
      </c>
      <c r="SE2">
        <f>in!FN36</f>
        <v>10</v>
      </c>
      <c r="SF2">
        <f>in!FO36</f>
        <v>3</v>
      </c>
      <c r="SG2">
        <f>in!FP36</f>
        <v>30</v>
      </c>
      <c r="SH2">
        <f>in!FQ36</f>
        <v>47</v>
      </c>
      <c r="SI2">
        <f>in!FR36</f>
        <v>33</v>
      </c>
      <c r="SJ2">
        <f>in!FS36</f>
        <v>20</v>
      </c>
      <c r="SK2">
        <f>in!FT36</f>
        <v>13</v>
      </c>
      <c r="SL2">
        <f>in!FU36</f>
        <v>33</v>
      </c>
      <c r="SM2">
        <f>in!FV36</f>
        <v>17</v>
      </c>
      <c r="SN2">
        <f>in!FW36</f>
        <v>13</v>
      </c>
      <c r="SO2">
        <f>in!FX36</f>
        <v>7</v>
      </c>
      <c r="SP2">
        <f>in!FY36</f>
        <v>57</v>
      </c>
      <c r="SQ2">
        <f>in!FZ36</f>
        <v>20</v>
      </c>
      <c r="SR2">
        <f>in!GA36</f>
        <v>10</v>
      </c>
      <c r="SS2">
        <f>in!GB36</f>
        <v>27</v>
      </c>
      <c r="ST2">
        <f>in!GC36</f>
        <v>53</v>
      </c>
      <c r="SU2">
        <f>in!GD36</f>
        <v>23</v>
      </c>
      <c r="SV2">
        <f>in!GE36</f>
        <v>13</v>
      </c>
      <c r="SW2">
        <f>in!GF36</f>
        <v>13</v>
      </c>
      <c r="SX2">
        <f>in!GG36</f>
        <v>20</v>
      </c>
      <c r="SY2">
        <f>in!GH36</f>
        <v>37</v>
      </c>
      <c r="SZ2">
        <f>in!GI36</f>
        <v>13</v>
      </c>
      <c r="TA2">
        <f>in!GJ36</f>
        <v>13</v>
      </c>
      <c r="TB2">
        <f>in!GK36</f>
        <v>13</v>
      </c>
      <c r="TC2">
        <f>in!GL36</f>
        <v>13</v>
      </c>
      <c r="TD2">
        <f>in!GM36</f>
        <v>13</v>
      </c>
      <c r="TE2">
        <f>in!GN36</f>
        <v>20</v>
      </c>
      <c r="TF2">
        <f>in!GO36</f>
        <v>20</v>
      </c>
      <c r="TG2">
        <f>in!GP36</f>
        <v>27</v>
      </c>
      <c r="TH2">
        <f>in!GQ36</f>
        <v>27</v>
      </c>
      <c r="TI2">
        <f>in!GR36</f>
        <v>7</v>
      </c>
      <c r="TJ2">
        <f>in!GS36</f>
        <v>7</v>
      </c>
      <c r="TK2">
        <f>in!GT36</f>
        <v>3</v>
      </c>
      <c r="TL2">
        <f>in!GU36</f>
        <v>37</v>
      </c>
      <c r="TM2">
        <f>in!GV36</f>
        <v>3</v>
      </c>
      <c r="TN2">
        <f>in!GW36</f>
        <v>37</v>
      </c>
      <c r="TO2">
        <f>in!GX36</f>
        <v>7</v>
      </c>
      <c r="TP2">
        <f>in!GY36</f>
        <v>17</v>
      </c>
      <c r="TQ2">
        <f>in!GZ36</f>
        <v>20</v>
      </c>
      <c r="TR2">
        <f>in!HA36</f>
        <v>20</v>
      </c>
      <c r="TS2">
        <f>in!HB36</f>
        <v>33</v>
      </c>
      <c r="TT2">
        <f>in!HC36</f>
        <v>17</v>
      </c>
      <c r="TU2">
        <f>in!HD36</f>
        <v>10</v>
      </c>
      <c r="TV2">
        <f>in!HE36</f>
        <v>13</v>
      </c>
      <c r="TW2">
        <f>in!HF36</f>
        <v>13</v>
      </c>
      <c r="TX2">
        <f>in!HG36</f>
        <v>17</v>
      </c>
      <c r="TY2">
        <f>in!HH36</f>
        <v>10</v>
      </c>
      <c r="TZ2">
        <f>in!HI36</f>
        <v>17</v>
      </c>
      <c r="UA2">
        <f>in!HJ36</f>
        <v>17</v>
      </c>
      <c r="UB2">
        <f>in!HK36</f>
        <v>27</v>
      </c>
      <c r="UC2">
        <f>in!HL36</f>
        <v>13</v>
      </c>
      <c r="UD2">
        <f>in!HM36</f>
        <v>33</v>
      </c>
      <c r="UE2">
        <f>in!HN36</f>
        <v>27</v>
      </c>
      <c r="UF2">
        <f>in!HO36</f>
        <v>17</v>
      </c>
      <c r="UG2">
        <f>in!HP36</f>
        <v>7</v>
      </c>
      <c r="UH2">
        <f>in!HQ36</f>
        <v>20</v>
      </c>
      <c r="UI2">
        <f>in!HR36</f>
        <v>13</v>
      </c>
      <c r="UJ2">
        <f>in!HS36</f>
        <v>3</v>
      </c>
      <c r="UK2">
        <f>in!HT36</f>
        <v>17</v>
      </c>
      <c r="UL2">
        <f>in!HU36</f>
        <v>10</v>
      </c>
      <c r="UM2">
        <f>in!HV36</f>
        <v>3</v>
      </c>
      <c r="UN2">
        <f>in!HW36</f>
        <v>27</v>
      </c>
      <c r="UO2">
        <f>in!HX36</f>
        <v>13</v>
      </c>
      <c r="UP2">
        <f>in!HY36</f>
        <v>13</v>
      </c>
      <c r="UQ2">
        <f>in!HZ36</f>
        <v>23</v>
      </c>
      <c r="UR2">
        <f>in!IA36</f>
        <v>20</v>
      </c>
      <c r="US2">
        <f>in!IB36</f>
        <v>3</v>
      </c>
      <c r="UT2">
        <f>in!IC36</f>
        <v>17</v>
      </c>
      <c r="UU2">
        <f>in!ID36</f>
        <v>20</v>
      </c>
      <c r="UV2">
        <f>in!IE36</f>
        <v>10</v>
      </c>
      <c r="UW2">
        <f>in!IF36</f>
        <v>7</v>
      </c>
      <c r="UX2">
        <f>in!IG36</f>
        <v>3</v>
      </c>
      <c r="UY2">
        <f>in!IH36</f>
        <v>7</v>
      </c>
      <c r="UZ2">
        <f>in!II36</f>
        <v>17</v>
      </c>
      <c r="VA2">
        <f>in!IJ36</f>
        <v>13</v>
      </c>
      <c r="VB2">
        <f>in!IK36</f>
        <v>20</v>
      </c>
      <c r="VC2">
        <f>in!IL36</f>
        <v>0</v>
      </c>
      <c r="VD2">
        <f>in!IM36</f>
        <v>27</v>
      </c>
      <c r="VE2">
        <f>in!IN36</f>
        <v>7</v>
      </c>
      <c r="VF2">
        <f>in!IO36</f>
        <v>17</v>
      </c>
      <c r="VG2">
        <f>in!IP36</f>
        <v>10</v>
      </c>
      <c r="VH2">
        <f>in!IQ36</f>
        <v>40</v>
      </c>
      <c r="VI2">
        <f>in!IR36</f>
        <v>17</v>
      </c>
      <c r="VJ2">
        <f>'in2'!EQ33</f>
        <v>53</v>
      </c>
      <c r="VK2">
        <f>'in2'!ER33</f>
        <v>13</v>
      </c>
      <c r="VL2">
        <f>'in2'!ES33</f>
        <v>30</v>
      </c>
      <c r="VM2">
        <f>'in2'!ET33</f>
        <v>20</v>
      </c>
      <c r="VN2">
        <f>'in2'!EU33</f>
        <v>27</v>
      </c>
      <c r="VO2">
        <f>'in2'!EV33</f>
        <v>30</v>
      </c>
      <c r="VP2">
        <f>'in2'!EW33</f>
        <v>30</v>
      </c>
      <c r="VQ2">
        <f>'in2'!EX33</f>
        <v>27</v>
      </c>
      <c r="VR2">
        <f>'in2'!EY33</f>
        <v>20</v>
      </c>
      <c r="VS2">
        <f>'in2'!EZ33</f>
        <v>7</v>
      </c>
      <c r="VT2">
        <f>'in2'!FA33</f>
        <v>17</v>
      </c>
      <c r="VU2">
        <f>'in2'!FB33</f>
        <v>17</v>
      </c>
      <c r="VV2">
        <f>'in2'!FC33</f>
        <v>17</v>
      </c>
      <c r="VW2">
        <f>'in2'!FD33</f>
        <v>10</v>
      </c>
      <c r="VX2">
        <f>'in2'!FE33</f>
        <v>17</v>
      </c>
      <c r="VY2">
        <f>'in2'!FF33</f>
        <v>37</v>
      </c>
      <c r="VZ2">
        <f>'in2'!FG33</f>
        <v>10</v>
      </c>
      <c r="WA2">
        <f>'in2'!FH33</f>
        <v>23</v>
      </c>
      <c r="WB2">
        <f>'in2'!FI33</f>
        <v>67</v>
      </c>
      <c r="WC2">
        <f>'in2'!FJ33</f>
        <v>67</v>
      </c>
      <c r="WD2">
        <f>'in2'!FK33</f>
        <v>10</v>
      </c>
      <c r="WE2">
        <f>'in2'!FL33</f>
        <v>13</v>
      </c>
      <c r="WF2">
        <f>'in2'!FM33</f>
        <v>23</v>
      </c>
      <c r="WG2">
        <f>'in2'!FN33</f>
        <v>30</v>
      </c>
      <c r="WH2">
        <f>'in2'!FO33</f>
        <v>33</v>
      </c>
      <c r="WI2">
        <f>'in2'!FP33</f>
        <v>33</v>
      </c>
      <c r="WJ2">
        <f>'in2'!FQ33</f>
        <v>63</v>
      </c>
      <c r="WK2">
        <f>'in2'!FR33</f>
        <v>7</v>
      </c>
      <c r="WL2">
        <f>'in2'!FS33</f>
        <v>7</v>
      </c>
      <c r="WM2">
        <f>'in2'!FT33</f>
        <v>37</v>
      </c>
      <c r="WN2">
        <f>'in2'!FU33</f>
        <v>3</v>
      </c>
      <c r="WO2">
        <f>'in2'!FV33</f>
        <v>3</v>
      </c>
      <c r="WP2">
        <f>'in2'!FW33</f>
        <v>37</v>
      </c>
      <c r="WQ2">
        <f>'in2'!FX33</f>
        <v>13</v>
      </c>
      <c r="WR2">
        <f>'in2'!FY33</f>
        <v>20</v>
      </c>
      <c r="WS2">
        <f>'in2'!FZ33</f>
        <v>27</v>
      </c>
      <c r="WT2">
        <f>'in2'!GA33</f>
        <v>17</v>
      </c>
      <c r="WU2">
        <f>'in2'!GB33</f>
        <v>10</v>
      </c>
      <c r="WV2">
        <f>'in2'!GC33</f>
        <v>50</v>
      </c>
      <c r="WW2">
        <f>'in2'!GD33</f>
        <v>33</v>
      </c>
      <c r="WX2">
        <f>'in2'!GE33</f>
        <v>57</v>
      </c>
      <c r="WY2">
        <f>'in2'!GF33</f>
        <v>13</v>
      </c>
      <c r="WZ2">
        <f>'in2'!GG33</f>
        <v>17</v>
      </c>
      <c r="XA2">
        <f>'in2'!GH33</f>
        <v>30</v>
      </c>
      <c r="XB2">
        <f>'in2'!GI33</f>
        <v>37</v>
      </c>
      <c r="XC2">
        <f>'in2'!GJ33</f>
        <v>43</v>
      </c>
      <c r="XD2">
        <f>'in2'!GK33</f>
        <v>23</v>
      </c>
      <c r="XE2">
        <f>'in2'!GL33</f>
        <v>27</v>
      </c>
      <c r="XF2">
        <f>'in2'!GM33</f>
        <v>30</v>
      </c>
      <c r="XG2">
        <f>'in2'!GN33</f>
        <v>50</v>
      </c>
      <c r="XH2">
        <f>'in2'!GO33</f>
        <v>23</v>
      </c>
      <c r="XI2">
        <f>'in2'!GP33</f>
        <v>10</v>
      </c>
      <c r="XJ2">
        <f>'in2'!GQ33</f>
        <v>33</v>
      </c>
      <c r="XK2">
        <f>'in2'!GR33</f>
        <v>27</v>
      </c>
      <c r="XL2">
        <f>'in2'!GS33</f>
        <v>7</v>
      </c>
      <c r="XM2">
        <f>'in2'!GT33</f>
        <v>33</v>
      </c>
      <c r="XN2">
        <f>'in2'!GU33</f>
        <v>27</v>
      </c>
      <c r="XO2">
        <f>'in2'!GV33</f>
        <v>13</v>
      </c>
      <c r="XP2">
        <f>'in2'!GW33</f>
        <v>23</v>
      </c>
      <c r="XQ2">
        <f>'in2'!GX33</f>
        <v>13</v>
      </c>
      <c r="XR2">
        <f>'in2'!GY33</f>
        <v>33</v>
      </c>
      <c r="XS2">
        <f>'in2'!GZ33</f>
        <v>17</v>
      </c>
      <c r="XT2">
        <f>'in2'!HA33</f>
        <v>20</v>
      </c>
      <c r="XU2">
        <f>'in2'!HB33</f>
        <v>43</v>
      </c>
      <c r="XV2">
        <f>'in2'!HC33</f>
        <v>50</v>
      </c>
      <c r="XW2">
        <f>'in2'!HD33</f>
        <v>43</v>
      </c>
      <c r="XX2">
        <f>'in2'!HE33</f>
        <v>17</v>
      </c>
      <c r="XY2">
        <f>'in2'!HF33</f>
        <v>40</v>
      </c>
      <c r="XZ2">
        <f>'in2'!HG33</f>
        <v>20</v>
      </c>
      <c r="YA2">
        <f>'in2'!HH33</f>
        <v>33</v>
      </c>
      <c r="YB2">
        <f>'in2'!HI33</f>
        <v>7</v>
      </c>
      <c r="YC2">
        <f>'in2'!HJ33</f>
        <v>23</v>
      </c>
      <c r="YD2">
        <f>'in2'!HK33</f>
        <v>30</v>
      </c>
      <c r="YE2">
        <f>'in2'!HL33</f>
        <v>33</v>
      </c>
      <c r="YF2">
        <f>'in2'!HM33</f>
        <v>17</v>
      </c>
      <c r="YG2">
        <f>'in2'!HN33</f>
        <v>33</v>
      </c>
      <c r="YH2">
        <f>'in2'!HO33</f>
        <v>30</v>
      </c>
      <c r="YI2">
        <f>'in2'!HP33</f>
        <v>20</v>
      </c>
      <c r="YJ2">
        <f>'in2'!HQ33</f>
        <v>27</v>
      </c>
      <c r="YK2">
        <f>'in2'!HR33</f>
        <v>7</v>
      </c>
      <c r="YL2">
        <f>'in2'!HS33</f>
        <v>73</v>
      </c>
      <c r="YM2">
        <f>'in2'!HT33</f>
        <v>3</v>
      </c>
      <c r="YN2">
        <f>'in2'!HU33</f>
        <v>3</v>
      </c>
      <c r="YO2">
        <f>'in2'!HV33</f>
        <v>10</v>
      </c>
      <c r="YP2">
        <f>'in2'!HW33</f>
        <v>7</v>
      </c>
      <c r="YQ2">
        <f>'in2'!HX33</f>
        <v>40</v>
      </c>
      <c r="YR2">
        <f>'in2'!HY33</f>
        <v>13</v>
      </c>
      <c r="YS2">
        <f>'in2'!HZ33</f>
        <v>23</v>
      </c>
      <c r="YT2">
        <f>'in2'!IA33</f>
        <v>7</v>
      </c>
      <c r="YU2">
        <f>'in2'!IB33</f>
        <v>53</v>
      </c>
      <c r="YV2">
        <f>'in2'!IC33</f>
        <v>37</v>
      </c>
      <c r="YW2">
        <f>'in2'!ID33</f>
        <v>13</v>
      </c>
      <c r="YX2">
        <f>'in2'!IE33</f>
        <v>13</v>
      </c>
      <c r="YY2">
        <f>'in2'!IF33</f>
        <v>43</v>
      </c>
      <c r="YZ2">
        <f>'in2'!IG33</f>
        <v>37</v>
      </c>
      <c r="ZA2">
        <f>'in2'!IH33</f>
        <v>47</v>
      </c>
      <c r="ZB2">
        <f>'in2'!II33</f>
        <v>13</v>
      </c>
      <c r="ZC2">
        <f>'in2'!IJ33</f>
        <v>40</v>
      </c>
      <c r="ZD2">
        <f>'in2'!IK33</f>
        <v>40</v>
      </c>
      <c r="ZE2">
        <f>'in2'!IL33</f>
        <v>13</v>
      </c>
      <c r="ZF2">
        <f>'in2'!IM33</f>
        <v>27</v>
      </c>
      <c r="ZG2">
        <f>'in2'!IN33</f>
        <v>57</v>
      </c>
      <c r="ZH2">
        <f>'in2'!IO33</f>
        <v>47</v>
      </c>
      <c r="ZI2">
        <f>'in2'!IP33</f>
        <v>43</v>
      </c>
      <c r="ZJ2">
        <f>'in2'!IQ33</f>
        <v>27</v>
      </c>
      <c r="ZK2">
        <f>'in2'!IR33</f>
        <v>47</v>
      </c>
      <c r="ZL2">
        <f>'in2'!IS33</f>
        <v>30</v>
      </c>
      <c r="ZM2">
        <f>'in2'!IT33</f>
        <v>47</v>
      </c>
      <c r="ZN2">
        <f>'in2'!IU33</f>
        <v>40</v>
      </c>
      <c r="ZO2">
        <f>'in2'!IV33</f>
        <v>13</v>
      </c>
      <c r="ZP2">
        <f>'in2'!IW33</f>
        <v>13</v>
      </c>
      <c r="ZQ2">
        <f>'in2'!IX33</f>
        <v>53</v>
      </c>
      <c r="ZR2">
        <f>'in2'!IY33</f>
        <v>13</v>
      </c>
      <c r="ZS2">
        <f>'in2'!IZ33</f>
        <v>63</v>
      </c>
      <c r="ZT2">
        <f>'in2'!JA33</f>
        <v>70</v>
      </c>
      <c r="ZU2">
        <f>'in2'!JB33</f>
        <v>67</v>
      </c>
      <c r="ZV2">
        <f>'in2'!JC33</f>
        <v>23</v>
      </c>
      <c r="ZW2">
        <f>'in2'!JD33</f>
        <v>23</v>
      </c>
      <c r="ZX2">
        <f>'in2'!JE33</f>
        <v>17</v>
      </c>
      <c r="ZY2">
        <f>'in2'!JF33</f>
        <v>20</v>
      </c>
      <c r="ZZ2">
        <f>'in2'!JG33</f>
        <v>33</v>
      </c>
      <c r="AAA2">
        <f>'in2'!JH33</f>
        <v>13</v>
      </c>
      <c r="AAB2">
        <f>'in2'!JI33</f>
        <v>33</v>
      </c>
      <c r="AAC2">
        <f>'in2'!JJ33</f>
        <v>23</v>
      </c>
      <c r="AAD2">
        <f>'in2'!JK33</f>
        <v>30</v>
      </c>
      <c r="AAE2">
        <f>'in2'!JL33</f>
        <v>27</v>
      </c>
      <c r="AAF2">
        <f>'in2'!JM33</f>
        <v>17</v>
      </c>
      <c r="AAG2">
        <f>'in2'!JN33</f>
        <v>13</v>
      </c>
      <c r="AAH2">
        <f>'in2'!JO33</f>
        <v>17</v>
      </c>
      <c r="AAI2">
        <f>'in2'!JP33</f>
        <v>13</v>
      </c>
      <c r="AAJ2">
        <f>'in2'!JQ33</f>
        <v>23</v>
      </c>
      <c r="AAK2">
        <f>'in2'!JR33</f>
        <v>17</v>
      </c>
      <c r="AAL2">
        <f>'in2'!JS33</f>
        <v>17</v>
      </c>
      <c r="AAM2">
        <f>'in2'!JT33</f>
        <v>10</v>
      </c>
      <c r="AAN2">
        <f>'in2'!EQ34</f>
        <v>17</v>
      </c>
      <c r="AAO2">
        <f>'in2'!ER34</f>
        <v>50</v>
      </c>
      <c r="AAP2">
        <f>'in2'!ES34</f>
        <v>27</v>
      </c>
      <c r="AAQ2">
        <f>'in2'!ET34</f>
        <v>13</v>
      </c>
      <c r="AAR2">
        <f>'in2'!EU34</f>
        <v>13</v>
      </c>
      <c r="AAS2">
        <f>'in2'!EV34</f>
        <v>27</v>
      </c>
      <c r="AAT2">
        <f>'in2'!EW34</f>
        <v>17</v>
      </c>
      <c r="AAU2">
        <f>'in2'!EX34</f>
        <v>27</v>
      </c>
      <c r="AAV2">
        <f>'in2'!EY34</f>
        <v>27</v>
      </c>
      <c r="AAW2">
        <f>'in2'!EZ34</f>
        <v>50</v>
      </c>
      <c r="AAX2">
        <f>'in2'!FA34</f>
        <v>17</v>
      </c>
      <c r="AAY2">
        <f>'in2'!FB34</f>
        <v>23</v>
      </c>
      <c r="AAZ2">
        <f>'in2'!FC34</f>
        <v>37</v>
      </c>
      <c r="ABA2">
        <f>'in2'!FD34</f>
        <v>67</v>
      </c>
      <c r="ABB2">
        <f>'in2'!FE34</f>
        <v>23</v>
      </c>
      <c r="ABC2">
        <f>'in2'!FF34</f>
        <v>40</v>
      </c>
      <c r="ABD2">
        <f>'in2'!FG34</f>
        <v>27</v>
      </c>
      <c r="ABE2">
        <f>'in2'!FH34</f>
        <v>53</v>
      </c>
      <c r="ABF2">
        <f>'in2'!FI34</f>
        <v>23</v>
      </c>
      <c r="ABG2">
        <f>'in2'!FJ34</f>
        <v>13</v>
      </c>
      <c r="ABH2">
        <f>'in2'!FK34</f>
        <v>7</v>
      </c>
      <c r="ABI2">
        <f>'in2'!FL34</f>
        <v>17</v>
      </c>
      <c r="ABJ2">
        <f>'in2'!FM34</f>
        <v>43</v>
      </c>
      <c r="ABK2">
        <f>'in2'!FN34</f>
        <v>23</v>
      </c>
      <c r="ABL2">
        <f>'in2'!FO34</f>
        <v>17</v>
      </c>
      <c r="ABM2">
        <f>'in2'!FP34</f>
        <v>37</v>
      </c>
      <c r="ABN2">
        <f>'in2'!FQ34</f>
        <v>13</v>
      </c>
      <c r="ABO2">
        <f>'in2'!FR34</f>
        <v>47</v>
      </c>
      <c r="ABP2">
        <f>'in2'!FS34</f>
        <v>10</v>
      </c>
      <c r="ABQ2">
        <f>'in2'!FT34</f>
        <v>23</v>
      </c>
      <c r="ABR2">
        <f>'in2'!FU34</f>
        <v>27</v>
      </c>
      <c r="ABS2">
        <f>'in2'!FV34</f>
        <v>27</v>
      </c>
      <c r="ABT2">
        <f>'in2'!FW34</f>
        <v>30</v>
      </c>
      <c r="ABU2">
        <f>'in2'!FX34</f>
        <v>27</v>
      </c>
      <c r="ABV2">
        <f>'in2'!FY34</f>
        <v>53</v>
      </c>
      <c r="ABW2">
        <f>'in2'!FZ34</f>
        <v>10</v>
      </c>
      <c r="ABX2">
        <f>'in2'!GA34</f>
        <v>20</v>
      </c>
      <c r="ABY2">
        <f>'in2'!GB34</f>
        <v>0</v>
      </c>
      <c r="ABZ2">
        <f>'in2'!GC34</f>
        <v>3</v>
      </c>
      <c r="ACA2">
        <f>'in2'!GD34</f>
        <v>33</v>
      </c>
      <c r="ACB2">
        <f>'in2'!GE34</f>
        <v>7</v>
      </c>
      <c r="ACC2">
        <f>'in2'!GF34</f>
        <v>37</v>
      </c>
      <c r="ACD2">
        <f>'in2'!GG34</f>
        <v>33</v>
      </c>
      <c r="ACE2">
        <f>'in2'!GH34</f>
        <v>47</v>
      </c>
      <c r="ACF2">
        <f>'in2'!GI34</f>
        <v>20</v>
      </c>
      <c r="ACG2">
        <f>'in2'!GJ34</f>
        <v>27</v>
      </c>
      <c r="ACH2">
        <f>'in2'!GK34</f>
        <v>37</v>
      </c>
      <c r="ACI2">
        <f>'in2'!GL34</f>
        <v>27</v>
      </c>
      <c r="ACJ2">
        <f>'in2'!GM34</f>
        <v>20</v>
      </c>
      <c r="ACK2">
        <f>'in2'!GN34</f>
        <v>30</v>
      </c>
      <c r="ACL2">
        <f>'in2'!GO34</f>
        <v>27</v>
      </c>
      <c r="ACM2">
        <f>'in2'!GP34</f>
        <v>37</v>
      </c>
      <c r="ACN2">
        <f>'in2'!GQ34</f>
        <v>37</v>
      </c>
      <c r="ACO2">
        <f>'in2'!GR34</f>
        <v>37</v>
      </c>
      <c r="ACP2">
        <f>'in2'!GS34</f>
        <v>57</v>
      </c>
      <c r="ACQ2">
        <f>'in2'!GT34</f>
        <v>27</v>
      </c>
      <c r="ACR2">
        <f>'in2'!GU34</f>
        <v>53</v>
      </c>
      <c r="ACS2">
        <f>'in2'!GV34</f>
        <v>47</v>
      </c>
      <c r="ACT2">
        <f>'in2'!GW34</f>
        <v>33</v>
      </c>
      <c r="ACU2">
        <f>'in2'!GX34</f>
        <v>30</v>
      </c>
      <c r="ACV2">
        <f>'in2'!GY34</f>
        <v>43</v>
      </c>
      <c r="ACW2">
        <f>'in2'!GZ34</f>
        <v>27</v>
      </c>
      <c r="ACX2">
        <f>'in2'!HA34</f>
        <v>47</v>
      </c>
      <c r="ACY2">
        <f>'in2'!HB34</f>
        <v>20</v>
      </c>
      <c r="ACZ2">
        <f>'in2'!HC34</f>
        <v>30</v>
      </c>
      <c r="ADA2">
        <f>'in2'!HD34</f>
        <v>23</v>
      </c>
      <c r="ADB2">
        <f>'in2'!HE34</f>
        <v>27</v>
      </c>
      <c r="ADC2">
        <f>'in2'!HF34</f>
        <v>23</v>
      </c>
      <c r="ADD2">
        <f>'in2'!HG34</f>
        <v>50</v>
      </c>
      <c r="ADE2">
        <f>'in2'!HH34</f>
        <v>60</v>
      </c>
      <c r="ADF2">
        <f>'in2'!HI34</f>
        <v>33</v>
      </c>
      <c r="ADG2">
        <f>'in2'!HJ34</f>
        <v>40</v>
      </c>
      <c r="ADH2">
        <f>'in2'!HK34</f>
        <v>37</v>
      </c>
      <c r="ADI2">
        <f>'in2'!HL34</f>
        <v>27</v>
      </c>
      <c r="ADJ2">
        <f>'in2'!HM34</f>
        <v>50</v>
      </c>
      <c r="ADK2">
        <f>'in2'!HN34</f>
        <v>30</v>
      </c>
      <c r="ADL2">
        <f>'in2'!HO34</f>
        <v>20</v>
      </c>
      <c r="ADM2">
        <f>'in2'!HP34</f>
        <v>20</v>
      </c>
      <c r="ADN2">
        <f>'in2'!HQ34</f>
        <v>33</v>
      </c>
      <c r="ADO2">
        <f>'in2'!HR34</f>
        <v>47</v>
      </c>
      <c r="ADP2">
        <f>'in2'!HS34</f>
        <v>10</v>
      </c>
      <c r="ADQ2">
        <f>'in2'!HT34</f>
        <v>0</v>
      </c>
      <c r="ADR2">
        <f>'in2'!HU34</f>
        <v>20</v>
      </c>
      <c r="ADS2">
        <f>'in2'!HV34</f>
        <v>3</v>
      </c>
      <c r="ADT2">
        <f>'in2'!HW34</f>
        <v>83</v>
      </c>
      <c r="ADU2">
        <f>'in2'!HX34</f>
        <v>30</v>
      </c>
      <c r="ADV2">
        <f>'in2'!HY34</f>
        <v>27</v>
      </c>
      <c r="ADW2">
        <f>'in2'!HZ34</f>
        <v>70</v>
      </c>
      <c r="ADX2">
        <f>'in2'!IA34</f>
        <v>87</v>
      </c>
      <c r="ADY2">
        <f>'in2'!IB34</f>
        <v>17</v>
      </c>
      <c r="ADZ2">
        <f>'in2'!IC34</f>
        <v>27</v>
      </c>
      <c r="AEA2">
        <f>'in2'!ID34</f>
        <v>37</v>
      </c>
      <c r="AEB2">
        <f>'in2'!IE34</f>
        <v>83</v>
      </c>
      <c r="AEC2">
        <f>'in2'!IF34</f>
        <v>30</v>
      </c>
      <c r="AED2">
        <f>'in2'!IG34</f>
        <v>30</v>
      </c>
      <c r="AEE2">
        <f>'in2'!IH34</f>
        <v>40</v>
      </c>
      <c r="AEF2">
        <f>'in2'!II34</f>
        <v>60</v>
      </c>
      <c r="AEG2">
        <f>'in2'!IJ34</f>
        <v>27</v>
      </c>
      <c r="AEH2">
        <f>'in2'!IK34</f>
        <v>40</v>
      </c>
      <c r="AEI2">
        <f>'in2'!IL34</f>
        <v>43</v>
      </c>
      <c r="AEJ2">
        <f>'in2'!IM34</f>
        <v>40</v>
      </c>
      <c r="AEK2">
        <f>'in2'!IN34</f>
        <v>23</v>
      </c>
      <c r="AEL2">
        <f>'in2'!IO34</f>
        <v>40</v>
      </c>
      <c r="AEM2">
        <f>'in2'!IP34</f>
        <v>40</v>
      </c>
      <c r="AEN2">
        <f>'in2'!IQ34</f>
        <v>23</v>
      </c>
      <c r="AEO2">
        <f>'in2'!IR34</f>
        <v>30</v>
      </c>
      <c r="AEP2">
        <f>'in2'!IS34</f>
        <v>30</v>
      </c>
      <c r="AEQ2">
        <f>'in2'!IT34</f>
        <v>50</v>
      </c>
      <c r="AER2">
        <f>'in2'!IU34</f>
        <v>30</v>
      </c>
      <c r="AES2">
        <f>'in2'!IV34</f>
        <v>43</v>
      </c>
      <c r="AET2">
        <f>'in2'!IW34</f>
        <v>37</v>
      </c>
      <c r="AEU2">
        <f>'in2'!IX34</f>
        <v>23</v>
      </c>
      <c r="AEV2">
        <f>'in2'!IY34</f>
        <v>20</v>
      </c>
      <c r="AEW2">
        <f>'in2'!IZ34</f>
        <v>17</v>
      </c>
      <c r="AEX2">
        <f>'in2'!JA34</f>
        <v>17</v>
      </c>
      <c r="AEY2">
        <f>'in2'!JB34</f>
        <v>17</v>
      </c>
      <c r="AEZ2">
        <f>'in2'!JC34</f>
        <v>60</v>
      </c>
      <c r="AFA2">
        <f>'in2'!JD34</f>
        <v>70</v>
      </c>
      <c r="AFB2">
        <f>'in2'!JE34</f>
        <v>17</v>
      </c>
      <c r="AFC2">
        <f>'in2'!JF34</f>
        <v>33</v>
      </c>
      <c r="AFD2">
        <f>'in2'!JG34</f>
        <v>30</v>
      </c>
      <c r="AFE2">
        <f>'in2'!JH34</f>
        <v>27</v>
      </c>
      <c r="AFF2">
        <f>'in2'!JI34</f>
        <v>30</v>
      </c>
      <c r="AFG2">
        <f>'in2'!JJ34</f>
        <v>20</v>
      </c>
      <c r="AFH2">
        <f>'in2'!JK34</f>
        <v>23</v>
      </c>
      <c r="AFI2">
        <f>'in2'!JL34</f>
        <v>23</v>
      </c>
      <c r="AFJ2">
        <f>'in2'!JM34</f>
        <v>30</v>
      </c>
      <c r="AFK2">
        <f>'in2'!JN34</f>
        <v>43</v>
      </c>
      <c r="AFL2">
        <f>'in2'!JO34</f>
        <v>47</v>
      </c>
      <c r="AFM2">
        <f>'in2'!JP34</f>
        <v>50</v>
      </c>
      <c r="AFN2">
        <f>'in2'!JQ34</f>
        <v>37</v>
      </c>
      <c r="AFO2">
        <f>'in2'!JR34</f>
        <v>30</v>
      </c>
      <c r="AFP2">
        <f>'in2'!JS34</f>
        <v>43</v>
      </c>
      <c r="AFQ2">
        <f>'in2'!JT34</f>
        <v>27</v>
      </c>
      <c r="AFR2">
        <f>'in2'!EQ35</f>
        <v>10</v>
      </c>
      <c r="AFS2">
        <f>'in2'!ER35</f>
        <v>13</v>
      </c>
      <c r="AFT2">
        <f>'in2'!ES35</f>
        <v>20</v>
      </c>
      <c r="AFU2">
        <f>'in2'!ET35</f>
        <v>43</v>
      </c>
      <c r="AFV2">
        <f>'in2'!EU35</f>
        <v>43</v>
      </c>
      <c r="AFW2">
        <f>'in2'!EV35</f>
        <v>20</v>
      </c>
      <c r="AFX2">
        <f>'in2'!EW35</f>
        <v>30</v>
      </c>
      <c r="AFY2">
        <f>'in2'!EX35</f>
        <v>43</v>
      </c>
      <c r="AFZ2">
        <f>'in2'!EY35</f>
        <v>40</v>
      </c>
      <c r="AGA2">
        <f>'in2'!EZ35</f>
        <v>30</v>
      </c>
      <c r="AGB2">
        <f>'in2'!FA35</f>
        <v>13</v>
      </c>
      <c r="AGC2">
        <f>'in2'!FB35</f>
        <v>10</v>
      </c>
      <c r="AGD2">
        <f>'in2'!FC35</f>
        <v>13</v>
      </c>
      <c r="AGE2">
        <f>'in2'!FD35</f>
        <v>13</v>
      </c>
      <c r="AGF2">
        <f>'in2'!FE35</f>
        <v>43</v>
      </c>
      <c r="AGG2">
        <f>'in2'!FF35</f>
        <v>20</v>
      </c>
      <c r="AGH2">
        <f>'in2'!FG35</f>
        <v>23</v>
      </c>
      <c r="AGI2">
        <f>'in2'!FH35</f>
        <v>10</v>
      </c>
      <c r="AGJ2">
        <f>'in2'!FI35</f>
        <v>10</v>
      </c>
      <c r="AGK2">
        <f>'in2'!FJ35</f>
        <v>13</v>
      </c>
      <c r="AGL2">
        <f>'in2'!FK35</f>
        <v>73</v>
      </c>
      <c r="AGM2">
        <f>'in2'!FL35</f>
        <v>30</v>
      </c>
      <c r="AGN2">
        <f>'in2'!FM35</f>
        <v>23</v>
      </c>
      <c r="AGO2">
        <f>'in2'!FN35</f>
        <v>37</v>
      </c>
      <c r="AGP2">
        <f>'in2'!FO35</f>
        <v>37</v>
      </c>
      <c r="AGQ2">
        <f>'in2'!FP35</f>
        <v>27</v>
      </c>
      <c r="AGR2">
        <f>'in2'!FQ35</f>
        <v>20</v>
      </c>
      <c r="AGS2">
        <f>'in2'!FR35</f>
        <v>30</v>
      </c>
      <c r="AGT2">
        <f>'in2'!FS35</f>
        <v>73</v>
      </c>
      <c r="AGU2">
        <f>'in2'!FT35</f>
        <v>7</v>
      </c>
      <c r="AGV2">
        <f>'in2'!FU35</f>
        <v>33</v>
      </c>
      <c r="AGW2">
        <f>'in2'!FV35</f>
        <v>50</v>
      </c>
      <c r="AGX2">
        <f>'in2'!FW35</f>
        <v>20</v>
      </c>
      <c r="AGY2">
        <f>'in2'!FX35</f>
        <v>23</v>
      </c>
      <c r="AGZ2">
        <f>'in2'!FY35</f>
        <v>7</v>
      </c>
      <c r="AHA2">
        <f>'in2'!FZ35</f>
        <v>43</v>
      </c>
      <c r="AHB2">
        <f>'in2'!GA35</f>
        <v>27</v>
      </c>
      <c r="AHC2">
        <f>'in2'!GB35</f>
        <v>60</v>
      </c>
      <c r="AHD2">
        <f>'in2'!GC35</f>
        <v>47</v>
      </c>
      <c r="AHE2">
        <f>'in2'!GD35</f>
        <v>20</v>
      </c>
      <c r="AHF2">
        <f>'in2'!GE35</f>
        <v>23</v>
      </c>
      <c r="AHG2">
        <f>'in2'!GF35</f>
        <v>20</v>
      </c>
      <c r="AHH2">
        <f>'in2'!GG35</f>
        <v>27</v>
      </c>
      <c r="AHI2">
        <f>'in2'!GH35</f>
        <v>13</v>
      </c>
      <c r="AHJ2">
        <f>'in2'!GI35</f>
        <v>20</v>
      </c>
      <c r="AHK2">
        <f>'in2'!GJ35</f>
        <v>17</v>
      </c>
      <c r="AHL2">
        <f>'in2'!GK35</f>
        <v>37</v>
      </c>
      <c r="AHM2">
        <f>'in2'!GL35</f>
        <v>23</v>
      </c>
      <c r="AHN2">
        <f>'in2'!GM35</f>
        <v>27</v>
      </c>
      <c r="AHO2">
        <f>'in2'!GN35</f>
        <v>7</v>
      </c>
      <c r="AHP2">
        <f>'in2'!GO35</f>
        <v>30</v>
      </c>
      <c r="AHQ2">
        <f>'in2'!GP35</f>
        <v>27</v>
      </c>
      <c r="AHR2">
        <f>'in2'!GQ35</f>
        <v>23</v>
      </c>
      <c r="AHS2">
        <f>'in2'!GR35</f>
        <v>30</v>
      </c>
      <c r="AHT2">
        <f>'in2'!GS35</f>
        <v>23</v>
      </c>
      <c r="AHU2">
        <f>'in2'!GT35</f>
        <v>27</v>
      </c>
      <c r="AHV2">
        <f>'in2'!GU35</f>
        <v>17</v>
      </c>
      <c r="AHW2">
        <f>'in2'!GV35</f>
        <v>27</v>
      </c>
      <c r="AHX2">
        <f>'in2'!GW35</f>
        <v>30</v>
      </c>
      <c r="AHY2">
        <f>'in2'!GX35</f>
        <v>47</v>
      </c>
      <c r="AHZ2">
        <f>'in2'!GY35</f>
        <v>13</v>
      </c>
      <c r="AIA2">
        <f>'in2'!GZ35</f>
        <v>40</v>
      </c>
      <c r="AIB2">
        <f>'in2'!HA35</f>
        <v>23</v>
      </c>
      <c r="AIC2">
        <f>'in2'!HB35</f>
        <v>20</v>
      </c>
      <c r="AID2">
        <f>'in2'!HC35</f>
        <v>20</v>
      </c>
      <c r="AIE2">
        <f>'in2'!HD35</f>
        <v>0</v>
      </c>
      <c r="AIF2">
        <f>'in2'!HE35</f>
        <v>43</v>
      </c>
      <c r="AIG2">
        <f>'in2'!HF35</f>
        <v>30</v>
      </c>
      <c r="AIH2">
        <f>'in2'!HG35</f>
        <v>20</v>
      </c>
      <c r="AII2">
        <f>'in2'!HH35</f>
        <v>7</v>
      </c>
      <c r="AIJ2">
        <f>'in2'!HI35</f>
        <v>20</v>
      </c>
      <c r="AIK2">
        <f>'in2'!HJ35</f>
        <v>17</v>
      </c>
      <c r="AIL2">
        <f>'in2'!HK35</f>
        <v>33</v>
      </c>
      <c r="AIM2">
        <f>'in2'!HL35</f>
        <v>3</v>
      </c>
      <c r="AIN2">
        <f>'in2'!HM35</f>
        <v>13</v>
      </c>
      <c r="AIO2">
        <f>'in2'!HN35</f>
        <v>30</v>
      </c>
      <c r="AIP2">
        <f>'in2'!HO35</f>
        <v>33</v>
      </c>
      <c r="AIQ2">
        <f>'in2'!HP35</f>
        <v>33</v>
      </c>
      <c r="AIR2">
        <f>'in2'!HQ35</f>
        <v>33</v>
      </c>
      <c r="AIS2">
        <f>'in2'!HR35</f>
        <v>17</v>
      </c>
      <c r="AIT2">
        <f>'in2'!HS35</f>
        <v>3</v>
      </c>
      <c r="AIU2">
        <f>'in2'!HT35</f>
        <v>50</v>
      </c>
      <c r="AIV2">
        <f>'in2'!HU35</f>
        <v>13</v>
      </c>
      <c r="AIW2">
        <f>'in2'!HV35</f>
        <v>3</v>
      </c>
      <c r="AIX2">
        <f>'in2'!HW35</f>
        <v>10</v>
      </c>
      <c r="AIY2">
        <f>'in2'!HX35</f>
        <v>30</v>
      </c>
      <c r="AIZ2">
        <f>'in2'!HY35</f>
        <v>60</v>
      </c>
      <c r="AJA2">
        <f>'in2'!HZ35</f>
        <v>7</v>
      </c>
      <c r="AJB2">
        <f>'in2'!IA35</f>
        <v>7</v>
      </c>
      <c r="AJC2">
        <f>'in2'!IB35</f>
        <v>30</v>
      </c>
      <c r="AJD2">
        <f>'in2'!IC35</f>
        <v>37</v>
      </c>
      <c r="AJE2">
        <f>'in2'!ID35</f>
        <v>50</v>
      </c>
      <c r="AJF2">
        <f>'in2'!IE35</f>
        <v>3</v>
      </c>
      <c r="AJG2">
        <f>'in2'!IF35</f>
        <v>27</v>
      </c>
      <c r="AJH2">
        <f>'in2'!IG35</f>
        <v>30</v>
      </c>
      <c r="AJI2">
        <f>'in2'!IH35</f>
        <v>13</v>
      </c>
      <c r="AJJ2">
        <f>'in2'!II35</f>
        <v>27</v>
      </c>
      <c r="AJK2">
        <f>'in2'!IJ35</f>
        <v>33</v>
      </c>
      <c r="AJL2">
        <f>'in2'!IK35</f>
        <v>20</v>
      </c>
      <c r="AJM2">
        <f>'in2'!IL35</f>
        <v>43</v>
      </c>
      <c r="AJN2">
        <f>'in2'!IM35</f>
        <v>33</v>
      </c>
      <c r="AJO2">
        <f>'in2'!IN35</f>
        <v>20</v>
      </c>
      <c r="AJP2">
        <f>'in2'!IO35</f>
        <v>13</v>
      </c>
      <c r="AJQ2">
        <f>'in2'!IP35</f>
        <v>17</v>
      </c>
      <c r="AJR2">
        <f>'in2'!IQ35</f>
        <v>50</v>
      </c>
      <c r="AJS2">
        <f>'in2'!IR35</f>
        <v>23</v>
      </c>
      <c r="AJT2">
        <f>'in2'!IS35</f>
        <v>40</v>
      </c>
      <c r="AJU2">
        <f>'in2'!IT35</f>
        <v>3</v>
      </c>
      <c r="AJV2">
        <f>'in2'!IU35</f>
        <v>30</v>
      </c>
      <c r="AJW2">
        <f>'in2'!IV35</f>
        <v>43</v>
      </c>
      <c r="AJX2">
        <f>'in2'!IW35</f>
        <v>50</v>
      </c>
      <c r="AJY2">
        <f>'in2'!IX35</f>
        <v>23</v>
      </c>
      <c r="AJZ2">
        <f>'in2'!IY35</f>
        <v>67</v>
      </c>
      <c r="AKA2">
        <f>'in2'!IZ35</f>
        <v>20</v>
      </c>
      <c r="AKB2">
        <f>'in2'!JA35</f>
        <v>13</v>
      </c>
      <c r="AKC2">
        <f>'in2'!JB35</f>
        <v>17</v>
      </c>
      <c r="AKD2">
        <f>'in2'!JC35</f>
        <v>17</v>
      </c>
      <c r="AKE2">
        <f>'in2'!JD35</f>
        <v>7</v>
      </c>
      <c r="AKF2">
        <f>'in2'!JE35</f>
        <v>67</v>
      </c>
      <c r="AKG2">
        <f>'in2'!JF35</f>
        <v>20</v>
      </c>
      <c r="AKH2">
        <f>'in2'!JG35</f>
        <v>27</v>
      </c>
      <c r="AKI2">
        <f>'in2'!JH35</f>
        <v>33</v>
      </c>
      <c r="AKJ2">
        <f>'in2'!JI35</f>
        <v>30</v>
      </c>
      <c r="AKK2">
        <f>'in2'!JJ35</f>
        <v>20</v>
      </c>
      <c r="AKL2">
        <f>'in2'!JK35</f>
        <v>27</v>
      </c>
      <c r="AKM2">
        <f>'in2'!JL35</f>
        <v>27</v>
      </c>
      <c r="AKN2">
        <f>'in2'!JM35</f>
        <v>23</v>
      </c>
      <c r="AKO2">
        <f>'in2'!JN35</f>
        <v>33</v>
      </c>
      <c r="AKP2">
        <f>'in2'!JO35</f>
        <v>20</v>
      </c>
      <c r="AKQ2">
        <f>'in2'!JP35</f>
        <v>30</v>
      </c>
      <c r="AKR2">
        <f>'in2'!JQ35</f>
        <v>30</v>
      </c>
      <c r="AKS2">
        <f>'in2'!JR35</f>
        <v>37</v>
      </c>
      <c r="AKT2">
        <f>'in2'!JS35</f>
        <v>17</v>
      </c>
      <c r="AKU2">
        <f>'in2'!JT35</f>
        <v>33</v>
      </c>
      <c r="AKV2">
        <f>'in2'!EQ36</f>
        <v>20</v>
      </c>
      <c r="AKW2">
        <f>'in2'!ER36</f>
        <v>23</v>
      </c>
      <c r="AKX2">
        <f>'in2'!ES36</f>
        <v>23</v>
      </c>
      <c r="AKY2">
        <f>'in2'!ET36</f>
        <v>23</v>
      </c>
      <c r="AKZ2">
        <f>'in2'!EU36</f>
        <v>17</v>
      </c>
      <c r="ALA2">
        <f>'in2'!EV36</f>
        <v>23</v>
      </c>
      <c r="ALB2">
        <f>'in2'!EW36</f>
        <v>23</v>
      </c>
      <c r="ALC2">
        <f>'in2'!EX36</f>
        <v>3</v>
      </c>
      <c r="ALD2">
        <f>'in2'!EY36</f>
        <v>13</v>
      </c>
      <c r="ALE2">
        <f>'in2'!EZ36</f>
        <v>13</v>
      </c>
      <c r="ALF2">
        <f>'in2'!FA36</f>
        <v>50</v>
      </c>
      <c r="ALG2">
        <f>'in2'!FB36</f>
        <v>50</v>
      </c>
      <c r="ALH2">
        <f>'in2'!FC36</f>
        <v>33</v>
      </c>
      <c r="ALI2">
        <f>'in2'!FD36</f>
        <v>10</v>
      </c>
      <c r="ALJ2">
        <f>'in2'!FE36</f>
        <v>17</v>
      </c>
      <c r="ALK2">
        <f>'in2'!FF36</f>
        <v>3</v>
      </c>
      <c r="ALL2">
        <f>'in2'!FG36</f>
        <v>40</v>
      </c>
      <c r="ALM2">
        <f>'in2'!FH36</f>
        <v>13</v>
      </c>
      <c r="ALN2">
        <f>'in2'!FI36</f>
        <v>0</v>
      </c>
      <c r="ALO2">
        <f>'in2'!FJ36</f>
        <v>7</v>
      </c>
      <c r="ALP2">
        <f>'in2'!FK36</f>
        <v>10</v>
      </c>
      <c r="ALQ2">
        <f>'in2'!FL36</f>
        <v>40</v>
      </c>
      <c r="ALR2">
        <f>'in2'!FM36</f>
        <v>10</v>
      </c>
      <c r="ALS2">
        <f>'in2'!FN36</f>
        <v>10</v>
      </c>
      <c r="ALT2">
        <f>'in2'!FO36</f>
        <v>13</v>
      </c>
      <c r="ALU2">
        <f>'in2'!FP36</f>
        <v>3</v>
      </c>
      <c r="ALV2">
        <f>'in2'!FQ36</f>
        <v>3</v>
      </c>
      <c r="ALW2">
        <f>'in2'!FR36</f>
        <v>17</v>
      </c>
      <c r="ALX2">
        <f>'in2'!FS36</f>
        <v>10</v>
      </c>
      <c r="ALY2">
        <f>'in2'!FT36</f>
        <v>33</v>
      </c>
      <c r="ALZ2">
        <f>'in2'!FU36</f>
        <v>37</v>
      </c>
      <c r="AMA2">
        <f>'in2'!FV36</f>
        <v>20</v>
      </c>
      <c r="AMB2">
        <f>'in2'!FW36</f>
        <v>13</v>
      </c>
      <c r="AMC2">
        <f>'in2'!FX36</f>
        <v>37</v>
      </c>
      <c r="AMD2">
        <f>'in2'!FY36</f>
        <v>20</v>
      </c>
      <c r="AME2">
        <f>'in2'!FZ36</f>
        <v>20</v>
      </c>
      <c r="AMF2">
        <f>'in2'!GA36</f>
        <v>33</v>
      </c>
      <c r="AMG2">
        <f>'in2'!GB36</f>
        <v>30</v>
      </c>
      <c r="AMH2">
        <f>'in2'!GC36</f>
        <v>0</v>
      </c>
      <c r="AMI2">
        <f>'in2'!GD36</f>
        <v>13</v>
      </c>
      <c r="AMJ2">
        <f>'in2'!GE36</f>
        <v>13</v>
      </c>
      <c r="AMK2">
        <f>'in2'!GF36</f>
        <v>30</v>
      </c>
      <c r="AML2">
        <f>'in2'!GG36</f>
        <v>23</v>
      </c>
      <c r="AMM2">
        <f>'in2'!GH36</f>
        <v>10</v>
      </c>
      <c r="AMN2">
        <f>'in2'!GI36</f>
        <v>23</v>
      </c>
      <c r="AMO2">
        <f>'in2'!GJ36</f>
        <v>13</v>
      </c>
      <c r="AMP2">
        <f>'in2'!GK36</f>
        <v>3</v>
      </c>
      <c r="AMQ2">
        <f>'in2'!GL36</f>
        <v>20</v>
      </c>
      <c r="AMR2">
        <f>'in2'!GM36</f>
        <v>23</v>
      </c>
      <c r="AMS2">
        <f>'in2'!GN36</f>
        <v>13</v>
      </c>
      <c r="AMT2">
        <f>'in2'!GO36</f>
        <v>20</v>
      </c>
      <c r="AMU2">
        <f>'in2'!GP36</f>
        <v>27</v>
      </c>
      <c r="AMV2">
        <f>'in2'!GQ36</f>
        <v>7</v>
      </c>
      <c r="AMW2">
        <f>'in2'!GR36</f>
        <v>7</v>
      </c>
      <c r="AMX2">
        <f>'in2'!GS36</f>
        <v>13</v>
      </c>
      <c r="AMY2">
        <f>'in2'!GT36</f>
        <v>13</v>
      </c>
      <c r="AMZ2">
        <f>'in2'!GU36</f>
        <v>3</v>
      </c>
      <c r="ANA2">
        <f>'in2'!GV36</f>
        <v>13</v>
      </c>
      <c r="ANB2">
        <f>'in2'!GW36</f>
        <v>13</v>
      </c>
      <c r="ANC2">
        <f>'in2'!GX36</f>
        <v>10</v>
      </c>
      <c r="AND2">
        <f>'in2'!GY36</f>
        <v>10</v>
      </c>
      <c r="ANE2">
        <f>'in2'!GZ36</f>
        <v>17</v>
      </c>
      <c r="ANF2">
        <f>'in2'!HA36</f>
        <v>10</v>
      </c>
      <c r="ANG2">
        <f>'in2'!HB36</f>
        <v>17</v>
      </c>
      <c r="ANH2">
        <f>'in2'!HC36</f>
        <v>0</v>
      </c>
      <c r="ANI2">
        <f>'in2'!HD36</f>
        <v>33</v>
      </c>
      <c r="ANJ2">
        <f>'in2'!HE36</f>
        <v>13</v>
      </c>
      <c r="ANK2">
        <f>'in2'!HF36</f>
        <v>7</v>
      </c>
      <c r="ANL2">
        <f>'in2'!HG36</f>
        <v>10</v>
      </c>
      <c r="ANM2">
        <f>'in2'!HH36</f>
        <v>0</v>
      </c>
      <c r="ANN2">
        <f>'in2'!HI36</f>
        <v>37</v>
      </c>
      <c r="ANO2">
        <f>'in2'!HJ36</f>
        <v>20</v>
      </c>
      <c r="ANP2">
        <f>'in2'!HK36</f>
        <v>0</v>
      </c>
      <c r="ANQ2">
        <f>'in2'!HL36</f>
        <v>37</v>
      </c>
      <c r="ANR2">
        <f>'in2'!HM36</f>
        <v>20</v>
      </c>
      <c r="ANS2">
        <f>'in2'!HN36</f>
        <v>7</v>
      </c>
      <c r="ANT2">
        <f>'in2'!HO36</f>
        <v>17</v>
      </c>
      <c r="ANU2">
        <f>'in2'!HP36</f>
        <v>27</v>
      </c>
      <c r="ANV2">
        <f>'in2'!HQ36</f>
        <v>7</v>
      </c>
      <c r="ANW2">
        <f>'in2'!HR36</f>
        <v>3</v>
      </c>
      <c r="ANX2">
        <f>'in2'!HS36</f>
        <v>0</v>
      </c>
      <c r="ANY2">
        <f>'in2'!HT36</f>
        <v>23</v>
      </c>
      <c r="ANZ2">
        <f>'in2'!HU36</f>
        <v>47</v>
      </c>
      <c r="AOA2">
        <f>'in2'!HV36</f>
        <v>7</v>
      </c>
      <c r="AOB2">
        <f>'in2'!HW36</f>
        <v>0</v>
      </c>
      <c r="AOC2">
        <f>'in2'!HX36</f>
        <v>0</v>
      </c>
      <c r="AOD2">
        <f>'in2'!HY36</f>
        <v>0</v>
      </c>
      <c r="AOE2">
        <f>'in2'!HZ36</f>
        <v>0</v>
      </c>
      <c r="AOF2">
        <f>'in2'!IA36</f>
        <v>0</v>
      </c>
      <c r="AOG2">
        <f>'in2'!IB36</f>
        <v>0</v>
      </c>
      <c r="AOH2">
        <f>'in2'!IC36</f>
        <v>0</v>
      </c>
      <c r="AOI2">
        <f>'in2'!ID36</f>
        <v>0</v>
      </c>
      <c r="AOJ2">
        <f>'in2'!IE36</f>
        <v>0</v>
      </c>
      <c r="AOK2">
        <f>'in2'!IF36</f>
        <v>0</v>
      </c>
      <c r="AOL2">
        <f>'in2'!IG36</f>
        <v>0</v>
      </c>
      <c r="AOM2">
        <f>'in2'!IH36</f>
        <v>0</v>
      </c>
      <c r="AON2">
        <f>'in2'!II36</f>
        <v>0</v>
      </c>
      <c r="AOO2">
        <f>'in2'!IJ36</f>
        <v>0</v>
      </c>
      <c r="AOP2">
        <f>'in2'!IK36</f>
        <v>0</v>
      </c>
      <c r="AOQ2">
        <f>'in2'!IL36</f>
        <v>0</v>
      </c>
      <c r="AOR2">
        <f>'in2'!IM36</f>
        <v>0</v>
      </c>
      <c r="AOS2">
        <f>'in2'!IN36</f>
        <v>0</v>
      </c>
      <c r="AOT2">
        <f>'in2'!IO36</f>
        <v>0</v>
      </c>
      <c r="AOU2">
        <f>'in2'!IP36</f>
        <v>0</v>
      </c>
      <c r="AOV2">
        <f>'in2'!IQ36</f>
        <v>0</v>
      </c>
      <c r="AOW2">
        <f>'in2'!IR36</f>
        <v>0</v>
      </c>
      <c r="AOX2">
        <f>'in2'!IS36</f>
        <v>0</v>
      </c>
      <c r="AOY2">
        <f>'in2'!IT36</f>
        <v>0</v>
      </c>
      <c r="AOZ2">
        <f>'in2'!IU36</f>
        <v>0</v>
      </c>
      <c r="APA2">
        <f>'in2'!IV36</f>
        <v>0</v>
      </c>
      <c r="APB2">
        <f>'in2'!IW36</f>
        <v>0</v>
      </c>
      <c r="APC2">
        <f>'in2'!IX36</f>
        <v>0</v>
      </c>
      <c r="APD2">
        <f>'in2'!IY36</f>
        <v>0</v>
      </c>
      <c r="APE2">
        <f>'in2'!IZ36</f>
        <v>0</v>
      </c>
      <c r="APF2">
        <f>'in2'!JA36</f>
        <v>0</v>
      </c>
      <c r="APG2">
        <f>'in2'!JB36</f>
        <v>0</v>
      </c>
      <c r="APH2">
        <f>'in2'!JC36</f>
        <v>0</v>
      </c>
      <c r="API2">
        <f>'in2'!JD36</f>
        <v>0</v>
      </c>
      <c r="APJ2">
        <f>'in2'!JE36</f>
        <v>0</v>
      </c>
      <c r="APK2">
        <f>'in2'!JF36</f>
        <v>23</v>
      </c>
      <c r="APL2">
        <f>'in2'!JG36</f>
        <v>10</v>
      </c>
      <c r="APM2">
        <f>'in2'!JH36</f>
        <v>27</v>
      </c>
      <c r="APN2">
        <f>'in2'!JI36</f>
        <v>7</v>
      </c>
      <c r="APO2">
        <f>'in2'!JJ36</f>
        <v>37</v>
      </c>
      <c r="APP2">
        <f>'in2'!JK36</f>
        <v>20</v>
      </c>
      <c r="APQ2">
        <f>'in2'!JL36</f>
        <v>20</v>
      </c>
      <c r="APR2">
        <f>'in2'!JM36</f>
        <v>30</v>
      </c>
      <c r="APS2">
        <f>'in2'!JN36</f>
        <v>10</v>
      </c>
      <c r="APT2">
        <f>'in2'!JO36</f>
        <v>17</v>
      </c>
      <c r="APU2">
        <f>'in2'!JP36</f>
        <v>7</v>
      </c>
      <c r="APV2">
        <f>'in2'!JQ36</f>
        <v>3</v>
      </c>
      <c r="APW2">
        <f>'in2'!JR36</f>
        <v>10</v>
      </c>
      <c r="APX2">
        <f>'in2'!JS36</f>
        <v>20</v>
      </c>
      <c r="APY2">
        <f>'in2'!JT36</f>
        <v>27</v>
      </c>
      <c r="APZ2">
        <f>'in2'!HR37</f>
        <v>3</v>
      </c>
      <c r="AQA2">
        <f>'in2'!HS37</f>
        <v>3</v>
      </c>
      <c r="AQB2">
        <f>'in2'!HT37</f>
        <v>10</v>
      </c>
      <c r="AQC2">
        <f>'in2'!HU37</f>
        <v>0</v>
      </c>
      <c r="AQD2">
        <f>'in2'!HV37</f>
        <v>47</v>
      </c>
      <c r="AQE2">
        <f>'in2'!HW37</f>
        <v>0</v>
      </c>
      <c r="AQF2">
        <f>'in2'!HX37</f>
        <v>0</v>
      </c>
      <c r="AQG2">
        <f>'in2'!HY37</f>
        <v>0</v>
      </c>
      <c r="AQH2">
        <f>'in2'!HZ37</f>
        <v>0</v>
      </c>
      <c r="AQI2">
        <f>'in2'!IA37</f>
        <v>0</v>
      </c>
      <c r="AQJ2">
        <f>'in2'!IB37</f>
        <v>0</v>
      </c>
      <c r="AQK2">
        <f>'in2'!IC37</f>
        <v>0</v>
      </c>
      <c r="AQL2">
        <f>'in2'!ID37</f>
        <v>0</v>
      </c>
      <c r="AQM2">
        <f>'in2'!IE37</f>
        <v>0</v>
      </c>
      <c r="AQN2">
        <f>'in2'!IF37</f>
        <v>0</v>
      </c>
      <c r="AQO2">
        <f>'in2'!IG37</f>
        <v>0</v>
      </c>
      <c r="AQP2">
        <f>'in2'!IH37</f>
        <v>0</v>
      </c>
      <c r="AQQ2">
        <f>'in2'!II37</f>
        <v>0</v>
      </c>
      <c r="AQR2">
        <f>'in2'!IJ37</f>
        <v>0</v>
      </c>
      <c r="AQS2">
        <f>'in2'!IK37</f>
        <v>0</v>
      </c>
      <c r="AQT2">
        <f>'in2'!IL37</f>
        <v>0</v>
      </c>
      <c r="AQU2">
        <f>'in2'!IM37</f>
        <v>0</v>
      </c>
      <c r="AQV2">
        <f>'in2'!IN37</f>
        <v>0</v>
      </c>
      <c r="AQW2">
        <f>'in2'!IO37</f>
        <v>0</v>
      </c>
      <c r="AQX2">
        <f>'in2'!IP37</f>
        <v>0</v>
      </c>
      <c r="AQY2">
        <f>'in2'!IQ37</f>
        <v>0</v>
      </c>
      <c r="AQZ2">
        <f>'in2'!IR37</f>
        <v>0</v>
      </c>
      <c r="ARA2">
        <f>'in2'!IS37</f>
        <v>0</v>
      </c>
      <c r="ARB2">
        <f>'in2'!IT37</f>
        <v>0</v>
      </c>
      <c r="ARC2">
        <f>'in2'!IU37</f>
        <v>0</v>
      </c>
      <c r="ARD2">
        <f>'in2'!IV37</f>
        <v>0</v>
      </c>
      <c r="ARE2">
        <f>'in2'!IW37</f>
        <v>0</v>
      </c>
      <c r="ARF2">
        <f>'in2'!IX37</f>
        <v>0</v>
      </c>
      <c r="ARG2">
        <f>'in2'!IY37</f>
        <v>0</v>
      </c>
      <c r="ARH2">
        <f>'in2'!IZ37</f>
        <v>0</v>
      </c>
      <c r="ARI2">
        <f>'in2'!JA37</f>
        <v>0</v>
      </c>
      <c r="ARJ2">
        <f>'in2'!JB37</f>
        <v>0</v>
      </c>
      <c r="ARK2">
        <f>'in2'!JC37</f>
        <v>0</v>
      </c>
      <c r="ARL2">
        <f>'in2'!JD37</f>
        <v>0</v>
      </c>
      <c r="ARM2">
        <f>'in2'!JE37</f>
        <v>0</v>
      </c>
      <c r="ARN2">
        <f>'in2'!JF37</f>
        <v>0</v>
      </c>
      <c r="ARO2">
        <f>'in2'!JG37</f>
        <v>0</v>
      </c>
      <c r="ARP2">
        <f>'in2'!JH37</f>
        <v>0</v>
      </c>
      <c r="ARQ2">
        <f>'in2'!JI37</f>
        <v>0</v>
      </c>
      <c r="ARR2">
        <f>'in2'!JJ37</f>
        <v>0</v>
      </c>
      <c r="ARS2">
        <f>'in2'!JK37</f>
        <v>0</v>
      </c>
      <c r="ART2">
        <f>'in2'!JL37</f>
        <v>0</v>
      </c>
      <c r="ARU2">
        <f>'in2'!JM37</f>
        <v>0</v>
      </c>
      <c r="ARV2">
        <f>'in2'!JN37</f>
        <v>0</v>
      </c>
      <c r="ARW2">
        <f>'in2'!JO37</f>
        <v>0</v>
      </c>
      <c r="ARX2">
        <f>'in2'!JP37</f>
        <v>0</v>
      </c>
      <c r="ARY2">
        <f>'in2'!JQ37</f>
        <v>0</v>
      </c>
      <c r="ARZ2">
        <f>'in2'!JR37</f>
        <v>0</v>
      </c>
      <c r="ASA2">
        <f>'in2'!JS37</f>
        <v>0</v>
      </c>
      <c r="ASB2">
        <f>'in2'!JT37</f>
        <v>0</v>
      </c>
      <c r="ASC2">
        <f>'in2'!HR38</f>
        <v>7</v>
      </c>
      <c r="ASD2">
        <f>'in2'!HS38</f>
        <v>7</v>
      </c>
      <c r="ASE2">
        <f>'in2'!HT38</f>
        <v>13</v>
      </c>
      <c r="ASF2">
        <f>'in2'!HU38</f>
        <v>10</v>
      </c>
      <c r="ASG2">
        <f>'in2'!HV38</f>
        <v>3</v>
      </c>
      <c r="ASH2">
        <f>'in2'!HW38</f>
        <v>0</v>
      </c>
      <c r="ASI2">
        <f>'in2'!HX38</f>
        <v>0</v>
      </c>
      <c r="ASJ2">
        <f>'in2'!HY38</f>
        <v>0</v>
      </c>
      <c r="ASK2">
        <f>'in2'!HZ38</f>
        <v>0</v>
      </c>
      <c r="ASL2">
        <f>'in2'!IA38</f>
        <v>0</v>
      </c>
      <c r="ASM2">
        <f>'in2'!IB38</f>
        <v>0</v>
      </c>
      <c r="ASN2">
        <f>'in2'!IC38</f>
        <v>0</v>
      </c>
      <c r="ASO2">
        <f>'in2'!ID38</f>
        <v>0</v>
      </c>
      <c r="ASP2">
        <f>'in2'!IE38</f>
        <v>0</v>
      </c>
      <c r="ASQ2">
        <f>'in2'!IF38</f>
        <v>0</v>
      </c>
      <c r="ASR2">
        <f>'in2'!IG38</f>
        <v>0</v>
      </c>
      <c r="ASS2">
        <f>'in2'!IH38</f>
        <v>0</v>
      </c>
      <c r="AST2">
        <f>'in2'!II38</f>
        <v>0</v>
      </c>
      <c r="ASU2">
        <f>'in2'!IJ38</f>
        <v>0</v>
      </c>
      <c r="ASV2">
        <f>'in2'!IK38</f>
        <v>0</v>
      </c>
      <c r="ASW2">
        <f>'in2'!IL38</f>
        <v>0</v>
      </c>
      <c r="ASX2">
        <f>'in2'!IM38</f>
        <v>0</v>
      </c>
      <c r="ASY2">
        <f>'in2'!IN38</f>
        <v>0</v>
      </c>
      <c r="ASZ2">
        <f>'in2'!IO38</f>
        <v>0</v>
      </c>
      <c r="ATA2">
        <f>'in2'!IP38</f>
        <v>0</v>
      </c>
      <c r="ATB2">
        <f>'in2'!IQ38</f>
        <v>0</v>
      </c>
      <c r="ATC2">
        <f>'in2'!IR38</f>
        <v>0</v>
      </c>
      <c r="ATD2">
        <f>'in2'!IS38</f>
        <v>0</v>
      </c>
      <c r="ATE2">
        <f>'in2'!IT38</f>
        <v>0</v>
      </c>
      <c r="ATF2">
        <f>'in2'!IU38</f>
        <v>0</v>
      </c>
      <c r="ATG2">
        <f>'in2'!IV38</f>
        <v>0</v>
      </c>
      <c r="ATH2">
        <f>'in2'!IW38</f>
        <v>0</v>
      </c>
      <c r="ATI2">
        <f>'in2'!IX38</f>
        <v>0</v>
      </c>
      <c r="ATJ2">
        <f>'in2'!IY38</f>
        <v>0</v>
      </c>
      <c r="ATK2">
        <f>'in2'!IZ38</f>
        <v>0</v>
      </c>
      <c r="ATL2">
        <f>'in2'!JA38</f>
        <v>0</v>
      </c>
      <c r="ATM2">
        <f>'in2'!JB38</f>
        <v>0</v>
      </c>
      <c r="ATN2">
        <f>'in2'!JC38</f>
        <v>0</v>
      </c>
      <c r="ATO2">
        <f>'in2'!JD38</f>
        <v>0</v>
      </c>
      <c r="ATP2">
        <f>'in2'!JE38</f>
        <v>0</v>
      </c>
      <c r="ATQ2">
        <f>'in2'!JF38</f>
        <v>0</v>
      </c>
      <c r="ATR2">
        <f>'in2'!JG38</f>
        <v>0</v>
      </c>
      <c r="ATS2">
        <f>'in2'!JH38</f>
        <v>0</v>
      </c>
      <c r="ATT2">
        <f>'in2'!JI38</f>
        <v>0</v>
      </c>
      <c r="ATU2">
        <f>'in2'!JJ38</f>
        <v>0</v>
      </c>
      <c r="ATV2">
        <f>'in2'!JK38</f>
        <v>0</v>
      </c>
      <c r="ATW2">
        <f>'in2'!JL38</f>
        <v>0</v>
      </c>
      <c r="ATX2">
        <f>'in2'!JM38</f>
        <v>0</v>
      </c>
      <c r="ATY2">
        <f>'in2'!JN38</f>
        <v>0</v>
      </c>
      <c r="ATZ2">
        <f>'in2'!JO38</f>
        <v>0</v>
      </c>
      <c r="AUA2">
        <f>'in2'!JP38</f>
        <v>0</v>
      </c>
      <c r="AUB2">
        <f>'in2'!JQ38</f>
        <v>0</v>
      </c>
      <c r="AUC2">
        <f>'in2'!JR38</f>
        <v>0</v>
      </c>
      <c r="AUD2">
        <f>'in2'!JS38</f>
        <v>0</v>
      </c>
      <c r="AUE2">
        <f>'in2'!JT38</f>
        <v>0</v>
      </c>
      <c r="AUF2">
        <f>'in2'!HR39</f>
        <v>17</v>
      </c>
      <c r="AUG2">
        <f>'in2'!HS39</f>
        <v>0</v>
      </c>
      <c r="AUH2">
        <f>'in2'!HT39</f>
        <v>0</v>
      </c>
      <c r="AUI2">
        <f>'in2'!HU39</f>
        <v>3</v>
      </c>
      <c r="AUJ2">
        <f>'in2'!HV39</f>
        <v>27</v>
      </c>
      <c r="AUK2">
        <f>'in2'!HW39</f>
        <v>0</v>
      </c>
      <c r="AUL2">
        <f>'in2'!HX39</f>
        <v>0</v>
      </c>
      <c r="AUM2">
        <f>'in2'!HY39</f>
        <v>0</v>
      </c>
      <c r="AUN2">
        <f>'in2'!HZ39</f>
        <v>0</v>
      </c>
      <c r="AUO2">
        <f>'in2'!IA39</f>
        <v>0</v>
      </c>
      <c r="AUP2">
        <f>'in2'!IB39</f>
        <v>0</v>
      </c>
      <c r="AUQ2">
        <f>'in2'!IC39</f>
        <v>0</v>
      </c>
      <c r="AUR2">
        <f>'in2'!ID39</f>
        <v>0</v>
      </c>
      <c r="AUS2">
        <f>'in2'!IE39</f>
        <v>0</v>
      </c>
      <c r="AUT2">
        <f>'in2'!IF39</f>
        <v>0</v>
      </c>
      <c r="AUU2">
        <f>'in2'!IG39</f>
        <v>0</v>
      </c>
      <c r="AUV2">
        <f>'in2'!IH39</f>
        <v>0</v>
      </c>
      <c r="AUW2">
        <f>'in2'!II39</f>
        <v>0</v>
      </c>
      <c r="AUX2">
        <f>'in2'!IJ39</f>
        <v>0</v>
      </c>
      <c r="AUY2">
        <f>'in2'!IK39</f>
        <v>0</v>
      </c>
      <c r="AUZ2">
        <f>'in2'!IL39</f>
        <v>0</v>
      </c>
      <c r="AVA2">
        <f>'in2'!IM39</f>
        <v>0</v>
      </c>
      <c r="AVB2">
        <f>'in2'!IN39</f>
        <v>0</v>
      </c>
      <c r="AVC2">
        <f>'in2'!IO39</f>
        <v>0</v>
      </c>
      <c r="AVD2">
        <f>'in2'!IP39</f>
        <v>0</v>
      </c>
      <c r="AVE2">
        <f>'in2'!IQ39</f>
        <v>0</v>
      </c>
      <c r="AVF2">
        <f>'in2'!IR39</f>
        <v>0</v>
      </c>
      <c r="AVG2">
        <f>'in2'!IS39</f>
        <v>0</v>
      </c>
      <c r="AVH2">
        <f>'in2'!IT39</f>
        <v>0</v>
      </c>
      <c r="AVI2">
        <f>'in2'!IU39</f>
        <v>0</v>
      </c>
      <c r="AVJ2">
        <f>'in2'!IV39</f>
        <v>0</v>
      </c>
      <c r="AVK2">
        <f>'in2'!IW39</f>
        <v>0</v>
      </c>
      <c r="AVL2">
        <f>'in2'!IX39</f>
        <v>0</v>
      </c>
      <c r="AVM2">
        <f>'in2'!IY39</f>
        <v>0</v>
      </c>
      <c r="AVN2">
        <f>'in2'!IZ39</f>
        <v>0</v>
      </c>
      <c r="AVO2">
        <f>'in2'!JA39</f>
        <v>0</v>
      </c>
      <c r="AVP2">
        <f>'in2'!JB39</f>
        <v>0</v>
      </c>
      <c r="AVQ2">
        <f>'in2'!JC39</f>
        <v>0</v>
      </c>
      <c r="AVR2">
        <f>'in2'!JD39</f>
        <v>0</v>
      </c>
      <c r="AVS2">
        <f>'in2'!JE39</f>
        <v>0</v>
      </c>
      <c r="AVT2">
        <f>'in2'!JF39</f>
        <v>0</v>
      </c>
      <c r="AVU2">
        <f>'in2'!JG39</f>
        <v>0</v>
      </c>
      <c r="AVV2">
        <f>'in2'!JH39</f>
        <v>0</v>
      </c>
      <c r="AVW2">
        <f>'in2'!JI39</f>
        <v>0</v>
      </c>
      <c r="AVX2">
        <f>'in2'!JJ39</f>
        <v>0</v>
      </c>
      <c r="AVY2">
        <f>'in2'!JK39</f>
        <v>0</v>
      </c>
      <c r="AVZ2">
        <f>'in2'!JL39</f>
        <v>0</v>
      </c>
      <c r="AWA2">
        <f>'in2'!JM39</f>
        <v>0</v>
      </c>
      <c r="AWB2">
        <f>'in2'!JN39</f>
        <v>0</v>
      </c>
      <c r="AWC2">
        <f>'in2'!JO39</f>
        <v>0</v>
      </c>
      <c r="AWD2">
        <f>'in2'!JP39</f>
        <v>0</v>
      </c>
      <c r="AWE2">
        <f>'in2'!JQ39</f>
        <v>0</v>
      </c>
      <c r="AWF2">
        <f>'in2'!JR39</f>
        <v>0</v>
      </c>
      <c r="AWG2">
        <f>'in2'!JS39</f>
        <v>0</v>
      </c>
      <c r="AWH2">
        <f>'in2'!JT39</f>
        <v>0</v>
      </c>
    </row>
    <row r="3" spans="1:1282" ht="15.5" x14ac:dyDescent="0.35">
      <c r="A3">
        <f>'RESULTADOS '!B4</f>
        <v>2</v>
      </c>
      <c r="B3" s="41" t="str">
        <f>'RESULTADOS '!C4</f>
        <v>BRAVO FLOREZ MIGUEL ANDRES</v>
      </c>
      <c r="C3">
        <f>'RESULTADOS '!D4</f>
        <v>167.07799349515079</v>
      </c>
      <c r="D3">
        <f>'RESULTADOS '!F4</f>
        <v>41.463414634146339</v>
      </c>
      <c r="E3">
        <f>'RESULTADOS '!G4</f>
        <v>42</v>
      </c>
      <c r="F3">
        <f>'RESULTADOS '!H4</f>
        <v>20</v>
      </c>
      <c r="G3">
        <f>'RESULTADOS '!I4</f>
        <v>31.03448275862069</v>
      </c>
      <c r="H3">
        <f>'RESULTADOS '!N4</f>
        <v>30.90909090909091</v>
      </c>
      <c r="I3" s="21">
        <f t="shared" ref="I3:I31" si="1">ROUND(C3,0)</f>
        <v>167</v>
      </c>
      <c r="J3" s="21">
        <f t="shared" ref="J3:J31" si="2">ROUND(D3,0)</f>
        <v>41</v>
      </c>
      <c r="K3" s="21">
        <f t="shared" ref="K3:K31" si="3">ROUND(E3,0)</f>
        <v>42</v>
      </c>
      <c r="L3" s="21">
        <f t="shared" ref="L3:L31" si="4">ROUND(F3,0)</f>
        <v>20</v>
      </c>
      <c r="M3" s="21">
        <f t="shared" ref="M3:M31" si="5">ROUND(G3,0)</f>
        <v>31</v>
      </c>
      <c r="N3" s="21">
        <f t="shared" ref="N3:N31" si="6">ROUND(H3,0)</f>
        <v>31</v>
      </c>
      <c r="O3" s="21">
        <f t="shared" ref="O3:O31" si="7">J3*3</f>
        <v>123</v>
      </c>
      <c r="P3" s="21">
        <f t="shared" ref="P3:P31" si="8">K3*3</f>
        <v>126</v>
      </c>
      <c r="Q3" s="21">
        <f t="shared" ref="Q3:Q31" si="9">L3*3</f>
        <v>60</v>
      </c>
      <c r="R3" s="21">
        <f t="shared" ref="R3:R31" si="10">M3*3</f>
        <v>93</v>
      </c>
      <c r="S3" s="21">
        <f t="shared" ref="S3:S31" si="11">SUM(N3:R3)</f>
        <v>433</v>
      </c>
      <c r="T3" s="23">
        <f t="shared" ref="T3:T31" si="12">S3/13</f>
        <v>33.307692307692307</v>
      </c>
      <c r="U3" s="22">
        <f t="shared" ref="U3:U31" si="13">ROUND(T3,2)</f>
        <v>33.31</v>
      </c>
      <c r="V3" t="str">
        <f t="shared" ref="V3:V31" si="14">(IF(J3&lt;=35,"NIVEL 1",IF(J3&lt;=50,"NIVEL 2",IF(J3&lt;=70,"NIVEL 3","NIVEL 4"))))</f>
        <v>NIVEL 2</v>
      </c>
      <c r="W3" t="str">
        <f t="shared" ref="W3:W31" si="15">(IF(K3&lt;=35,"NIVEL 1",IF(K3&lt;=50,"NIVEL 2",IF(K3&lt;=65,"NIVEL 3","NIVEL 4"))))</f>
        <v>NIVEL 2</v>
      </c>
      <c r="X3" t="str">
        <f t="shared" ref="X3:X31" si="16">(IF(L3&lt;=40,"NIVEL 1",IF(L3&lt;=55,"NIVEL 2",IF(L3&lt;=70,"NIVEL 3","NIVEL 4"))))</f>
        <v>NIVEL 1</v>
      </c>
      <c r="Y3" t="str">
        <f t="shared" ref="Y3:Y31" si="17">(IF(M3&lt;=40,"NIVEL 1",IF(M3&lt;=55,"NIVEL 2",IF(M3&lt;=70,"NIVEL 3","NIVEL 4"))))</f>
        <v>NIVEL 1</v>
      </c>
      <c r="Z3" t="str">
        <f t="shared" ref="Z3:Z31" si="18">(IF(N3&lt;=36,"NIVEL PRE A1",IF(N3&lt;=57,"NIVEL A1",IF(N3&lt;=70,"NIVEL A2","NIVEL B1"))))</f>
        <v>NIVEL PRE A1</v>
      </c>
    </row>
    <row r="4" spans="1:1282" ht="15.5" x14ac:dyDescent="0.35">
      <c r="A4">
        <f>'RESULTADOS '!B5</f>
        <v>3</v>
      </c>
      <c r="B4" s="41" t="str">
        <f>'RESULTADOS '!C5</f>
        <v>CALDERA CALVO MARIA ALEJANDRA</v>
      </c>
      <c r="C4">
        <f>'RESULTADOS '!D5</f>
        <v>222.98864298023256</v>
      </c>
      <c r="D4">
        <f>'RESULTADOS '!F5</f>
        <v>46.341463414634148</v>
      </c>
      <c r="E4">
        <f>'RESULTADOS '!G5</f>
        <v>40</v>
      </c>
      <c r="F4">
        <f>'RESULTADOS '!H5</f>
        <v>44</v>
      </c>
      <c r="G4">
        <f>'RESULTADOS '!I5</f>
        <v>46.551724137931032</v>
      </c>
      <c r="H4">
        <f>'RESULTADOS '!N5</f>
        <v>49.090909090909093</v>
      </c>
      <c r="I4" s="21">
        <f t="shared" si="1"/>
        <v>223</v>
      </c>
      <c r="J4" s="21">
        <f t="shared" si="2"/>
        <v>46</v>
      </c>
      <c r="K4" s="21">
        <f t="shared" si="3"/>
        <v>40</v>
      </c>
      <c r="L4" s="21">
        <f t="shared" si="4"/>
        <v>44</v>
      </c>
      <c r="M4" s="21">
        <f t="shared" si="5"/>
        <v>47</v>
      </c>
      <c r="N4" s="21">
        <f t="shared" si="6"/>
        <v>49</v>
      </c>
      <c r="O4" s="21">
        <f t="shared" si="7"/>
        <v>138</v>
      </c>
      <c r="P4" s="21">
        <f t="shared" si="8"/>
        <v>120</v>
      </c>
      <c r="Q4" s="21">
        <f t="shared" si="9"/>
        <v>132</v>
      </c>
      <c r="R4" s="21">
        <f t="shared" si="10"/>
        <v>141</v>
      </c>
      <c r="S4" s="21">
        <f t="shared" si="11"/>
        <v>580</v>
      </c>
      <c r="T4" s="23">
        <f t="shared" si="12"/>
        <v>44.615384615384613</v>
      </c>
      <c r="U4" s="22">
        <f t="shared" si="13"/>
        <v>44.62</v>
      </c>
      <c r="V4" t="str">
        <f t="shared" si="14"/>
        <v>NIVEL 2</v>
      </c>
      <c r="W4" t="str">
        <f t="shared" si="15"/>
        <v>NIVEL 2</v>
      </c>
      <c r="X4" t="str">
        <f t="shared" si="16"/>
        <v>NIVEL 2</v>
      </c>
      <c r="Y4" t="str">
        <f t="shared" si="17"/>
        <v>NIVEL 2</v>
      </c>
      <c r="Z4" t="str">
        <f t="shared" si="18"/>
        <v>NIVEL A1</v>
      </c>
    </row>
    <row r="5" spans="1:1282" ht="15.5" x14ac:dyDescent="0.35">
      <c r="A5">
        <f>'RESULTADOS '!B6</f>
        <v>4</v>
      </c>
      <c r="B5" s="41" t="str">
        <f>'RESULTADOS '!C6</f>
        <v>CARVAJAL MIRANDA YOELIS MARIA</v>
      </c>
      <c r="C5">
        <f>'RESULTADOS '!D6</f>
        <v>183.35705505596169</v>
      </c>
      <c r="D5">
        <f>'RESULTADOS '!F6</f>
        <v>39.024390243902438</v>
      </c>
      <c r="E5">
        <f>'RESULTADOS '!G6</f>
        <v>24</v>
      </c>
      <c r="F5">
        <f>'RESULTADOS '!H6</f>
        <v>36</v>
      </c>
      <c r="G5">
        <f>'RESULTADOS '!I6</f>
        <v>46.551724137931032</v>
      </c>
      <c r="H5">
        <f>'RESULTADOS '!N6</f>
        <v>40</v>
      </c>
      <c r="I5" s="21">
        <f t="shared" si="1"/>
        <v>183</v>
      </c>
      <c r="J5" s="21">
        <f t="shared" si="2"/>
        <v>39</v>
      </c>
      <c r="K5" s="21">
        <f t="shared" si="3"/>
        <v>24</v>
      </c>
      <c r="L5" s="21">
        <f t="shared" si="4"/>
        <v>36</v>
      </c>
      <c r="M5" s="21">
        <f t="shared" si="5"/>
        <v>47</v>
      </c>
      <c r="N5" s="21">
        <f t="shared" si="6"/>
        <v>40</v>
      </c>
      <c r="O5" s="21">
        <f t="shared" si="7"/>
        <v>117</v>
      </c>
      <c r="P5" s="21">
        <f t="shared" si="8"/>
        <v>72</v>
      </c>
      <c r="Q5" s="21">
        <f t="shared" si="9"/>
        <v>108</v>
      </c>
      <c r="R5" s="21">
        <f t="shared" si="10"/>
        <v>141</v>
      </c>
      <c r="S5" s="21">
        <f t="shared" si="11"/>
        <v>478</v>
      </c>
      <c r="T5" s="23">
        <f t="shared" si="12"/>
        <v>36.769230769230766</v>
      </c>
      <c r="U5" s="22">
        <f t="shared" si="13"/>
        <v>36.770000000000003</v>
      </c>
      <c r="V5" t="str">
        <f t="shared" si="14"/>
        <v>NIVEL 2</v>
      </c>
      <c r="W5" t="str">
        <f t="shared" si="15"/>
        <v>NIVEL 1</v>
      </c>
      <c r="X5" t="str">
        <f t="shared" si="16"/>
        <v>NIVEL 1</v>
      </c>
      <c r="Y5" t="str">
        <f t="shared" si="17"/>
        <v>NIVEL 2</v>
      </c>
      <c r="Z5" t="str">
        <f t="shared" si="18"/>
        <v>NIVEL A1</v>
      </c>
      <c r="HI5" t="s">
        <v>485</v>
      </c>
    </row>
    <row r="6" spans="1:1282" ht="15.5" x14ac:dyDescent="0.35">
      <c r="A6">
        <f>'RESULTADOS '!B7</f>
        <v>5</v>
      </c>
      <c r="B6" s="41" t="str">
        <f>'RESULTADOS '!C7</f>
        <v>DIAZ DONADO ROSA ANDREA</v>
      </c>
      <c r="C6">
        <f>'RESULTADOS '!D7</f>
        <v>198.66332994171515</v>
      </c>
      <c r="D6">
        <f>'RESULTADOS '!F7</f>
        <v>56.097560975609753</v>
      </c>
      <c r="E6">
        <f>'RESULTADOS '!G7</f>
        <v>42</v>
      </c>
      <c r="F6">
        <f>'RESULTADOS '!H7</f>
        <v>36</v>
      </c>
      <c r="G6">
        <f>'RESULTADOS '!I7</f>
        <v>24.137931034482758</v>
      </c>
      <c r="H6">
        <f>'RESULTADOS '!N7</f>
        <v>41.81818181818182</v>
      </c>
      <c r="I6" s="21">
        <f t="shared" si="1"/>
        <v>199</v>
      </c>
      <c r="J6" s="21">
        <f t="shared" si="2"/>
        <v>56</v>
      </c>
      <c r="K6" s="21">
        <f t="shared" si="3"/>
        <v>42</v>
      </c>
      <c r="L6" s="21">
        <f t="shared" si="4"/>
        <v>36</v>
      </c>
      <c r="M6" s="21">
        <f t="shared" si="5"/>
        <v>24</v>
      </c>
      <c r="N6" s="21">
        <f t="shared" si="6"/>
        <v>42</v>
      </c>
      <c r="O6" s="21">
        <f t="shared" si="7"/>
        <v>168</v>
      </c>
      <c r="P6" s="21">
        <f t="shared" si="8"/>
        <v>126</v>
      </c>
      <c r="Q6" s="21">
        <f t="shared" si="9"/>
        <v>108</v>
      </c>
      <c r="R6" s="21">
        <f t="shared" si="10"/>
        <v>72</v>
      </c>
      <c r="S6" s="21">
        <f t="shared" si="11"/>
        <v>516</v>
      </c>
      <c r="T6" s="23">
        <f t="shared" si="12"/>
        <v>39.692307692307693</v>
      </c>
      <c r="U6" s="22">
        <f t="shared" si="13"/>
        <v>39.69</v>
      </c>
      <c r="V6" t="str">
        <f t="shared" si="14"/>
        <v>NIVEL 3</v>
      </c>
      <c r="W6" t="str">
        <f t="shared" si="15"/>
        <v>NIVEL 2</v>
      </c>
      <c r="X6" t="str">
        <f t="shared" si="16"/>
        <v>NIVEL 1</v>
      </c>
      <c r="Y6" t="str">
        <f t="shared" si="17"/>
        <v>NIVEL 1</v>
      </c>
      <c r="Z6" t="str">
        <f t="shared" si="18"/>
        <v>NIVEL A1</v>
      </c>
    </row>
    <row r="7" spans="1:1282" ht="15.5" x14ac:dyDescent="0.35">
      <c r="A7">
        <f>'RESULTADOS '!B8</f>
        <v>6</v>
      </c>
      <c r="B7" s="41" t="str">
        <f>'RESULTADOS '!C8</f>
        <v>DIAZ MARTINEZ DINA MARCELA</v>
      </c>
      <c r="C7">
        <f>'RESULTADOS '!D8</f>
        <v>187.78435189705164</v>
      </c>
      <c r="D7">
        <f>'RESULTADOS '!F8</f>
        <v>39.024390243902438</v>
      </c>
      <c r="E7">
        <f>'RESULTADOS '!G8</f>
        <v>30</v>
      </c>
      <c r="F7">
        <f>'RESULTADOS '!H8</f>
        <v>46</v>
      </c>
      <c r="G7">
        <f>'RESULTADOS '!I8</f>
        <v>36.206896551724135</v>
      </c>
      <c r="H7">
        <f>'RESULTADOS '!N8</f>
        <v>34.545454545454547</v>
      </c>
      <c r="I7" s="21">
        <f t="shared" si="1"/>
        <v>188</v>
      </c>
      <c r="J7" s="21">
        <f t="shared" si="2"/>
        <v>39</v>
      </c>
      <c r="K7" s="21">
        <f t="shared" si="3"/>
        <v>30</v>
      </c>
      <c r="L7" s="21">
        <f t="shared" si="4"/>
        <v>46</v>
      </c>
      <c r="M7" s="21">
        <f t="shared" si="5"/>
        <v>36</v>
      </c>
      <c r="N7" s="21">
        <f t="shared" si="6"/>
        <v>35</v>
      </c>
      <c r="O7" s="21">
        <f t="shared" si="7"/>
        <v>117</v>
      </c>
      <c r="P7" s="21">
        <f t="shared" si="8"/>
        <v>90</v>
      </c>
      <c r="Q7" s="21">
        <f t="shared" si="9"/>
        <v>138</v>
      </c>
      <c r="R7" s="21">
        <f t="shared" si="10"/>
        <v>108</v>
      </c>
      <c r="S7" s="21">
        <f t="shared" si="11"/>
        <v>488</v>
      </c>
      <c r="T7" s="23">
        <f t="shared" si="12"/>
        <v>37.53846153846154</v>
      </c>
      <c r="U7" s="22">
        <f t="shared" si="13"/>
        <v>37.54</v>
      </c>
      <c r="V7" t="str">
        <f t="shared" si="14"/>
        <v>NIVEL 2</v>
      </c>
      <c r="W7" t="str">
        <f t="shared" si="15"/>
        <v>NIVEL 1</v>
      </c>
      <c r="X7" t="str">
        <f t="shared" si="16"/>
        <v>NIVEL 2</v>
      </c>
      <c r="Y7" t="str">
        <f t="shared" si="17"/>
        <v>NIVEL 1</v>
      </c>
      <c r="Z7" t="str">
        <f t="shared" si="18"/>
        <v>NIVEL PRE A1</v>
      </c>
    </row>
    <row r="8" spans="1:1282" ht="15.5" x14ac:dyDescent="0.35">
      <c r="A8">
        <f>'RESULTADOS '!B9</f>
        <v>7</v>
      </c>
      <c r="B8" s="41" t="str">
        <f>'RESULTADOS '!C9</f>
        <v>LAGARES PEREZ OVIER ANTONIO</v>
      </c>
      <c r="C8">
        <f>'RESULTADOS '!D9</f>
        <v>220.06157845518655</v>
      </c>
      <c r="D8">
        <f>'RESULTADOS '!F9</f>
        <v>51.219512195121951</v>
      </c>
      <c r="E8">
        <f>'RESULTADOS '!G9</f>
        <v>44</v>
      </c>
      <c r="F8">
        <f>'RESULTADOS '!H9</f>
        <v>42</v>
      </c>
      <c r="G8">
        <f>'RESULTADOS '!I9</f>
        <v>41.379310344827587</v>
      </c>
      <c r="H8">
        <f>'RESULTADOS '!N9</f>
        <v>36.363636363636367</v>
      </c>
      <c r="I8" s="21">
        <f t="shared" si="1"/>
        <v>220</v>
      </c>
      <c r="J8" s="21">
        <f t="shared" si="2"/>
        <v>51</v>
      </c>
      <c r="K8" s="21">
        <f t="shared" si="3"/>
        <v>44</v>
      </c>
      <c r="L8" s="21">
        <f t="shared" si="4"/>
        <v>42</v>
      </c>
      <c r="M8" s="21">
        <f t="shared" si="5"/>
        <v>41</v>
      </c>
      <c r="N8" s="21">
        <f t="shared" si="6"/>
        <v>36</v>
      </c>
      <c r="O8" s="21">
        <f t="shared" si="7"/>
        <v>153</v>
      </c>
      <c r="P8" s="21">
        <f t="shared" si="8"/>
        <v>132</v>
      </c>
      <c r="Q8" s="21">
        <f t="shared" si="9"/>
        <v>126</v>
      </c>
      <c r="R8" s="21">
        <f t="shared" si="10"/>
        <v>123</v>
      </c>
      <c r="S8" s="21">
        <f t="shared" si="11"/>
        <v>570</v>
      </c>
      <c r="T8" s="23">
        <f t="shared" si="12"/>
        <v>43.846153846153847</v>
      </c>
      <c r="U8" s="22">
        <f t="shared" si="13"/>
        <v>43.85</v>
      </c>
      <c r="V8" t="str">
        <f t="shared" si="14"/>
        <v>NIVEL 3</v>
      </c>
      <c r="W8" t="str">
        <f t="shared" si="15"/>
        <v>NIVEL 2</v>
      </c>
      <c r="X8" t="str">
        <f t="shared" si="16"/>
        <v>NIVEL 2</v>
      </c>
      <c r="Y8" t="str">
        <f t="shared" si="17"/>
        <v>NIVEL 2</v>
      </c>
      <c r="Z8" t="str">
        <f t="shared" si="18"/>
        <v>NIVEL PRE A1</v>
      </c>
    </row>
    <row r="9" spans="1:1282" ht="15.5" x14ac:dyDescent="0.35">
      <c r="A9">
        <f>'RESULTADOS '!B10</f>
        <v>8</v>
      </c>
      <c r="B9" s="41" t="str">
        <f>'RESULTADOS '!C10</f>
        <v xml:space="preserve">SANTANA RAMOS EUSEBIO </v>
      </c>
      <c r="C9">
        <f>'RESULTADOS '!D10</f>
        <v>234.82923300416991</v>
      </c>
      <c r="D9">
        <f>'RESULTADOS '!F10</f>
        <v>56.097560975609753</v>
      </c>
      <c r="E9">
        <f>'RESULTADOS '!G10</f>
        <v>36</v>
      </c>
      <c r="F9">
        <f>'RESULTADOS '!H10</f>
        <v>50</v>
      </c>
      <c r="G9">
        <f>'RESULTADOS '!I10</f>
        <v>51.724137931034484</v>
      </c>
      <c r="H9">
        <f>'RESULTADOS '!N10</f>
        <v>29.09090909090909</v>
      </c>
      <c r="I9" s="21">
        <f t="shared" si="1"/>
        <v>235</v>
      </c>
      <c r="J9" s="21">
        <f t="shared" si="2"/>
        <v>56</v>
      </c>
      <c r="K9" s="21">
        <f t="shared" si="3"/>
        <v>36</v>
      </c>
      <c r="L9" s="21">
        <f t="shared" si="4"/>
        <v>50</v>
      </c>
      <c r="M9" s="21">
        <f t="shared" si="5"/>
        <v>52</v>
      </c>
      <c r="N9" s="21">
        <f t="shared" si="6"/>
        <v>29</v>
      </c>
      <c r="O9" s="21">
        <f t="shared" si="7"/>
        <v>168</v>
      </c>
      <c r="P9" s="21">
        <f t="shared" si="8"/>
        <v>108</v>
      </c>
      <c r="Q9" s="21">
        <f t="shared" si="9"/>
        <v>150</v>
      </c>
      <c r="R9" s="21">
        <f t="shared" si="10"/>
        <v>156</v>
      </c>
      <c r="S9" s="21">
        <f t="shared" si="11"/>
        <v>611</v>
      </c>
      <c r="T9" s="23">
        <f t="shared" si="12"/>
        <v>47</v>
      </c>
      <c r="U9" s="22">
        <f t="shared" si="13"/>
        <v>47</v>
      </c>
      <c r="V9" t="str">
        <f t="shared" si="14"/>
        <v>NIVEL 3</v>
      </c>
      <c r="W9" t="str">
        <f t="shared" si="15"/>
        <v>NIVEL 2</v>
      </c>
      <c r="X9" t="str">
        <f t="shared" si="16"/>
        <v>NIVEL 2</v>
      </c>
      <c r="Y9" t="str">
        <f t="shared" si="17"/>
        <v>NIVEL 2</v>
      </c>
      <c r="Z9" t="str">
        <f t="shared" si="18"/>
        <v>NIVEL PRE A1</v>
      </c>
    </row>
    <row r="10" spans="1:1282" ht="15.5" x14ac:dyDescent="0.35">
      <c r="A10">
        <f>'RESULTADOS '!B11</f>
        <v>9</v>
      </c>
      <c r="B10" s="41" t="str">
        <f>'RESULTADOS '!C11</f>
        <v xml:space="preserve">TRIVIÑO AYALA JONATHAN </v>
      </c>
      <c r="C10">
        <f>'RESULTADOS '!D11</f>
        <v>208.58581284148985</v>
      </c>
      <c r="D10">
        <f>'RESULTADOS '!F11</f>
        <v>51.219512195121951</v>
      </c>
      <c r="E10">
        <f>'RESULTADOS '!G11</f>
        <v>38</v>
      </c>
      <c r="F10">
        <f>'RESULTADOS '!H11</f>
        <v>34</v>
      </c>
      <c r="G10">
        <f>'RESULTADOS '!I11</f>
        <v>44.827586206896555</v>
      </c>
      <c r="H10">
        <f>'RESULTADOS '!N11</f>
        <v>38.18181818181818</v>
      </c>
      <c r="I10" s="21">
        <f t="shared" si="1"/>
        <v>209</v>
      </c>
      <c r="J10" s="21">
        <f t="shared" si="2"/>
        <v>51</v>
      </c>
      <c r="K10" s="21">
        <f t="shared" si="3"/>
        <v>38</v>
      </c>
      <c r="L10" s="21">
        <f t="shared" si="4"/>
        <v>34</v>
      </c>
      <c r="M10" s="21">
        <f t="shared" si="5"/>
        <v>45</v>
      </c>
      <c r="N10" s="21">
        <f t="shared" si="6"/>
        <v>38</v>
      </c>
      <c r="O10" s="21">
        <f t="shared" si="7"/>
        <v>153</v>
      </c>
      <c r="P10" s="21">
        <f t="shared" si="8"/>
        <v>114</v>
      </c>
      <c r="Q10" s="21">
        <f t="shared" si="9"/>
        <v>102</v>
      </c>
      <c r="R10" s="21">
        <f t="shared" si="10"/>
        <v>135</v>
      </c>
      <c r="S10" s="21">
        <f t="shared" si="11"/>
        <v>542</v>
      </c>
      <c r="T10" s="23">
        <f t="shared" si="12"/>
        <v>41.692307692307693</v>
      </c>
      <c r="U10" s="22">
        <f t="shared" si="13"/>
        <v>41.69</v>
      </c>
      <c r="V10" t="str">
        <f t="shared" si="14"/>
        <v>NIVEL 3</v>
      </c>
      <c r="W10" t="str">
        <f t="shared" si="15"/>
        <v>NIVEL 2</v>
      </c>
      <c r="X10" t="str">
        <f t="shared" si="16"/>
        <v>NIVEL 1</v>
      </c>
      <c r="Y10" t="str">
        <f t="shared" si="17"/>
        <v>NIVEL 2</v>
      </c>
      <c r="Z10" t="str">
        <f t="shared" si="18"/>
        <v>NIVEL A1</v>
      </c>
    </row>
    <row r="11" spans="1:1282" ht="15.5" x14ac:dyDescent="0.35">
      <c r="A11">
        <f>'RESULTADOS '!B12</f>
        <v>10</v>
      </c>
      <c r="B11" s="41" t="str">
        <f>'RESULTADOS '!C12</f>
        <v>VELASQUEZ GANOT MARIA JOSE</v>
      </c>
      <c r="C11">
        <f>'RESULTADOS '!D12</f>
        <v>193.24889576361403</v>
      </c>
      <c r="D11">
        <f>'RESULTADOS '!F12</f>
        <v>43.902439024390247</v>
      </c>
      <c r="E11">
        <f>'RESULTADOS '!G12</f>
        <v>40</v>
      </c>
      <c r="F11">
        <f>'RESULTADOS '!H12</f>
        <v>38</v>
      </c>
      <c r="G11">
        <f>'RESULTADOS '!I12</f>
        <v>31.03448275862069</v>
      </c>
      <c r="H11">
        <f>'RESULTADOS '!N12</f>
        <v>43.636363636363633</v>
      </c>
      <c r="I11" s="21">
        <f t="shared" si="1"/>
        <v>193</v>
      </c>
      <c r="J11" s="21">
        <f t="shared" si="2"/>
        <v>44</v>
      </c>
      <c r="K11" s="21">
        <f t="shared" si="3"/>
        <v>40</v>
      </c>
      <c r="L11" s="21">
        <f t="shared" si="4"/>
        <v>38</v>
      </c>
      <c r="M11" s="21">
        <f t="shared" si="5"/>
        <v>31</v>
      </c>
      <c r="N11" s="21">
        <f t="shared" si="6"/>
        <v>44</v>
      </c>
      <c r="O11" s="21">
        <f t="shared" si="7"/>
        <v>132</v>
      </c>
      <c r="P11" s="21">
        <f t="shared" si="8"/>
        <v>120</v>
      </c>
      <c r="Q11" s="21">
        <f t="shared" si="9"/>
        <v>114</v>
      </c>
      <c r="R11" s="21">
        <f t="shared" si="10"/>
        <v>93</v>
      </c>
      <c r="S11" s="21">
        <f t="shared" si="11"/>
        <v>503</v>
      </c>
      <c r="T11" s="23">
        <f t="shared" si="12"/>
        <v>38.692307692307693</v>
      </c>
      <c r="U11" s="22">
        <f t="shared" si="13"/>
        <v>38.69</v>
      </c>
      <c r="V11" t="str">
        <f t="shared" si="14"/>
        <v>NIVEL 2</v>
      </c>
      <c r="W11" t="str">
        <f t="shared" si="15"/>
        <v>NIVEL 2</v>
      </c>
      <c r="X11" t="str">
        <f t="shared" si="16"/>
        <v>NIVEL 1</v>
      </c>
      <c r="Y11" t="str">
        <f t="shared" si="17"/>
        <v>NIVEL 1</v>
      </c>
      <c r="Z11" t="str">
        <f t="shared" si="18"/>
        <v>NIVEL A1</v>
      </c>
    </row>
    <row r="12" spans="1:1282" ht="15.5" x14ac:dyDescent="0.35">
      <c r="A12">
        <f>'RESULTADOS '!B13</f>
        <v>11</v>
      </c>
      <c r="B12" s="41" t="str">
        <f>'RESULTADOS '!C13</f>
        <v>ZARZA BARRAGAN JOHAN SEBASTIAN</v>
      </c>
      <c r="C12">
        <f>'RESULTADOS '!D13</f>
        <v>158.57234439236123</v>
      </c>
      <c r="D12">
        <f>'RESULTADOS '!F13</f>
        <v>31.707317073170731</v>
      </c>
      <c r="E12">
        <f>'RESULTADOS '!G13</f>
        <v>32</v>
      </c>
      <c r="F12">
        <f>'RESULTADOS '!H13</f>
        <v>26</v>
      </c>
      <c r="G12">
        <f>'RESULTADOS '!I13</f>
        <v>36.206896551724135</v>
      </c>
      <c r="H12">
        <f>'RESULTADOS '!N13</f>
        <v>34.545454545454547</v>
      </c>
      <c r="I12" s="21">
        <f t="shared" si="1"/>
        <v>159</v>
      </c>
      <c r="J12" s="21">
        <f t="shared" si="2"/>
        <v>32</v>
      </c>
      <c r="K12" s="21">
        <f t="shared" si="3"/>
        <v>32</v>
      </c>
      <c r="L12" s="21">
        <f t="shared" si="4"/>
        <v>26</v>
      </c>
      <c r="M12" s="21">
        <f t="shared" si="5"/>
        <v>36</v>
      </c>
      <c r="N12" s="21">
        <f t="shared" si="6"/>
        <v>35</v>
      </c>
      <c r="O12" s="21">
        <f t="shared" si="7"/>
        <v>96</v>
      </c>
      <c r="P12" s="21">
        <f t="shared" si="8"/>
        <v>96</v>
      </c>
      <c r="Q12" s="21">
        <f t="shared" si="9"/>
        <v>78</v>
      </c>
      <c r="R12" s="21">
        <f t="shared" si="10"/>
        <v>108</v>
      </c>
      <c r="S12" s="21">
        <f t="shared" si="11"/>
        <v>413</v>
      </c>
      <c r="T12" s="23">
        <f t="shared" si="12"/>
        <v>31.76923076923077</v>
      </c>
      <c r="U12" s="22">
        <f t="shared" si="13"/>
        <v>31.77</v>
      </c>
      <c r="V12" t="str">
        <f t="shared" si="14"/>
        <v>NIVEL 1</v>
      </c>
      <c r="W12" t="str">
        <f t="shared" si="15"/>
        <v>NIVEL 1</v>
      </c>
      <c r="X12" t="str">
        <f t="shared" si="16"/>
        <v>NIVEL 1</v>
      </c>
      <c r="Y12" t="str">
        <f t="shared" si="17"/>
        <v>NIVEL 1</v>
      </c>
      <c r="Z12" t="str">
        <f t="shared" si="18"/>
        <v>NIVEL PRE A1</v>
      </c>
    </row>
    <row r="13" spans="1:1282" ht="15.5" x14ac:dyDescent="0.35">
      <c r="A13">
        <f>'RESULTADOS '!B14</f>
        <v>12</v>
      </c>
      <c r="B13" s="41" t="str">
        <f>'RESULTADOS '!C14</f>
        <v xml:space="preserve">BENITEZ GALINDO SAMUEL DAVID  </v>
      </c>
      <c r="C13">
        <f>'RESULTADOS '!D14</f>
        <v>142.92524128520765</v>
      </c>
      <c r="D13">
        <f>'RESULTADOS '!F14</f>
        <v>36.585365853658537</v>
      </c>
      <c r="E13">
        <f>'RESULTADOS '!G14</f>
        <v>26</v>
      </c>
      <c r="F13">
        <f>'RESULTADOS '!H14</f>
        <v>24</v>
      </c>
      <c r="G13">
        <f>'RESULTADOS '!I14</f>
        <v>27.586206896551722</v>
      </c>
      <c r="H13">
        <f>'RESULTADOS '!N14</f>
        <v>29.09090909090909</v>
      </c>
      <c r="I13" s="21">
        <f t="shared" si="1"/>
        <v>143</v>
      </c>
      <c r="J13" s="21">
        <f t="shared" si="2"/>
        <v>37</v>
      </c>
      <c r="K13" s="21">
        <f t="shared" si="3"/>
        <v>26</v>
      </c>
      <c r="L13" s="21">
        <f t="shared" si="4"/>
        <v>24</v>
      </c>
      <c r="M13" s="21">
        <f t="shared" si="5"/>
        <v>28</v>
      </c>
      <c r="N13" s="21">
        <f t="shared" si="6"/>
        <v>29</v>
      </c>
      <c r="O13" s="21">
        <f t="shared" si="7"/>
        <v>111</v>
      </c>
      <c r="P13" s="21">
        <f t="shared" si="8"/>
        <v>78</v>
      </c>
      <c r="Q13" s="21">
        <f t="shared" si="9"/>
        <v>72</v>
      </c>
      <c r="R13" s="21">
        <f t="shared" si="10"/>
        <v>84</v>
      </c>
      <c r="S13" s="21">
        <f t="shared" si="11"/>
        <v>374</v>
      </c>
      <c r="T13" s="23">
        <f t="shared" si="12"/>
        <v>28.76923076923077</v>
      </c>
      <c r="U13" s="22">
        <f t="shared" si="13"/>
        <v>28.77</v>
      </c>
      <c r="V13" t="str">
        <f t="shared" si="14"/>
        <v>NIVEL 2</v>
      </c>
      <c r="W13" t="str">
        <f t="shared" si="15"/>
        <v>NIVEL 1</v>
      </c>
      <c r="X13" t="str">
        <f t="shared" si="16"/>
        <v>NIVEL 1</v>
      </c>
      <c r="Y13" t="str">
        <f t="shared" si="17"/>
        <v>NIVEL 1</v>
      </c>
      <c r="Z13" t="str">
        <f t="shared" si="18"/>
        <v>NIVEL PRE A1</v>
      </c>
    </row>
    <row r="14" spans="1:1282" ht="15.5" x14ac:dyDescent="0.35">
      <c r="A14">
        <f>'RESULTADOS '!B15</f>
        <v>13</v>
      </c>
      <c r="B14" s="41" t="str">
        <f>'RESULTADOS '!C15</f>
        <v xml:space="preserve">CASTAÑO EMERIS DANIELA LUCIA  </v>
      </c>
      <c r="C14">
        <f>'RESULTADOS '!D15</f>
        <v>146.32217236086035</v>
      </c>
      <c r="D14">
        <f>'RESULTADOS '!F15</f>
        <v>26.829268292682926</v>
      </c>
      <c r="E14">
        <f>'RESULTADOS '!G15</f>
        <v>30</v>
      </c>
      <c r="F14">
        <f>'RESULTADOS '!H15</f>
        <v>32</v>
      </c>
      <c r="G14">
        <f>'RESULTADOS '!I15</f>
        <v>25.862068965517242</v>
      </c>
      <c r="H14">
        <f>'RESULTADOS '!N15</f>
        <v>36.363636363636367</v>
      </c>
      <c r="I14" s="21">
        <f t="shared" si="1"/>
        <v>146</v>
      </c>
      <c r="J14" s="21">
        <f t="shared" si="2"/>
        <v>27</v>
      </c>
      <c r="K14" s="21">
        <f t="shared" si="3"/>
        <v>30</v>
      </c>
      <c r="L14" s="21">
        <f t="shared" si="4"/>
        <v>32</v>
      </c>
      <c r="M14" s="21">
        <f t="shared" si="5"/>
        <v>26</v>
      </c>
      <c r="N14" s="21">
        <f t="shared" si="6"/>
        <v>36</v>
      </c>
      <c r="O14" s="21">
        <f t="shared" si="7"/>
        <v>81</v>
      </c>
      <c r="P14" s="21">
        <f t="shared" si="8"/>
        <v>90</v>
      </c>
      <c r="Q14" s="21">
        <f t="shared" si="9"/>
        <v>96</v>
      </c>
      <c r="R14" s="21">
        <f t="shared" si="10"/>
        <v>78</v>
      </c>
      <c r="S14" s="21">
        <f t="shared" si="11"/>
        <v>381</v>
      </c>
      <c r="T14" s="23">
        <f t="shared" si="12"/>
        <v>29.307692307692307</v>
      </c>
      <c r="U14" s="22">
        <f t="shared" si="13"/>
        <v>29.31</v>
      </c>
      <c r="V14" t="str">
        <f t="shared" si="14"/>
        <v>NIVEL 1</v>
      </c>
      <c r="W14" t="str">
        <f t="shared" si="15"/>
        <v>NIVEL 1</v>
      </c>
      <c r="X14" t="str">
        <f t="shared" si="16"/>
        <v>NIVEL 1</v>
      </c>
      <c r="Y14" t="str">
        <f t="shared" si="17"/>
        <v>NIVEL 1</v>
      </c>
      <c r="Z14" t="str">
        <f t="shared" si="18"/>
        <v>NIVEL PRE A1</v>
      </c>
    </row>
    <row r="15" spans="1:1282" ht="15.5" x14ac:dyDescent="0.35">
      <c r="A15">
        <f>'RESULTADOS '!B16</f>
        <v>14</v>
      </c>
      <c r="B15" s="41" t="str">
        <f>'RESULTADOS '!C16</f>
        <v xml:space="preserve">CAUSIL RAMOS SANTIAGO DAVID  </v>
      </c>
      <c r="C15">
        <f>'RESULTADOS '!D16</f>
        <v>117.82634522752269</v>
      </c>
      <c r="D15">
        <f>'RESULTADOS '!F16</f>
        <v>19.512195121951219</v>
      </c>
      <c r="E15">
        <f>'RESULTADOS '!G16</f>
        <v>22</v>
      </c>
      <c r="F15">
        <f>'RESULTADOS '!H16</f>
        <v>14.000000000000002</v>
      </c>
      <c r="G15">
        <f>'RESULTADOS '!I16</f>
        <v>34.482758620689658</v>
      </c>
      <c r="H15">
        <f>'RESULTADOS '!N16</f>
        <v>36.363636363636367</v>
      </c>
      <c r="I15" s="21">
        <f t="shared" si="1"/>
        <v>118</v>
      </c>
      <c r="J15" s="21">
        <f t="shared" si="2"/>
        <v>20</v>
      </c>
      <c r="K15" s="21">
        <f t="shared" si="3"/>
        <v>22</v>
      </c>
      <c r="L15" s="21">
        <f t="shared" si="4"/>
        <v>14</v>
      </c>
      <c r="M15" s="21">
        <f t="shared" si="5"/>
        <v>34</v>
      </c>
      <c r="N15" s="21">
        <f t="shared" si="6"/>
        <v>36</v>
      </c>
      <c r="O15" s="21">
        <f t="shared" si="7"/>
        <v>60</v>
      </c>
      <c r="P15" s="21">
        <f t="shared" si="8"/>
        <v>66</v>
      </c>
      <c r="Q15" s="21">
        <f t="shared" si="9"/>
        <v>42</v>
      </c>
      <c r="R15" s="21">
        <f t="shared" si="10"/>
        <v>102</v>
      </c>
      <c r="S15" s="21">
        <f t="shared" si="11"/>
        <v>306</v>
      </c>
      <c r="T15" s="23">
        <f t="shared" si="12"/>
        <v>23.53846153846154</v>
      </c>
      <c r="U15" s="22">
        <f t="shared" si="13"/>
        <v>23.54</v>
      </c>
      <c r="V15" t="str">
        <f t="shared" si="14"/>
        <v>NIVEL 1</v>
      </c>
      <c r="W15" t="str">
        <f t="shared" si="15"/>
        <v>NIVEL 1</v>
      </c>
      <c r="X15" t="str">
        <f t="shared" si="16"/>
        <v>NIVEL 1</v>
      </c>
      <c r="Y15" t="str">
        <f t="shared" si="17"/>
        <v>NIVEL 1</v>
      </c>
      <c r="Z15" t="str">
        <f t="shared" si="18"/>
        <v>NIVEL PRE A1</v>
      </c>
    </row>
    <row r="16" spans="1:1282" ht="15.5" x14ac:dyDescent="0.35">
      <c r="A16">
        <f>'RESULTADOS '!B17</f>
        <v>15</v>
      </c>
      <c r="B16" s="41" t="str">
        <f>'RESULTADOS '!C17</f>
        <v xml:space="preserve">CHAMORRO ARTEAGA JUAN DAVID  </v>
      </c>
      <c r="C16">
        <f>'RESULTADOS '!D17</f>
        <v>148.47571268092713</v>
      </c>
      <c r="D16">
        <f>'RESULTADOS '!F17</f>
        <v>29.26829268292683</v>
      </c>
      <c r="E16">
        <f>'RESULTADOS '!G17</f>
        <v>36</v>
      </c>
      <c r="F16">
        <f>'RESULTADOS '!H17</f>
        <v>32</v>
      </c>
      <c r="G16">
        <f>'RESULTADOS '!I17</f>
        <v>24.137931034482758</v>
      </c>
      <c r="H16">
        <f>'RESULTADOS '!N17</f>
        <v>21.818181818181817</v>
      </c>
      <c r="I16" s="21">
        <f t="shared" si="1"/>
        <v>148</v>
      </c>
      <c r="J16" s="21">
        <f t="shared" si="2"/>
        <v>29</v>
      </c>
      <c r="K16" s="21">
        <f t="shared" si="3"/>
        <v>36</v>
      </c>
      <c r="L16" s="21">
        <f t="shared" si="4"/>
        <v>32</v>
      </c>
      <c r="M16" s="21">
        <f t="shared" si="5"/>
        <v>24</v>
      </c>
      <c r="N16" s="21">
        <f t="shared" si="6"/>
        <v>22</v>
      </c>
      <c r="O16" s="21">
        <f t="shared" si="7"/>
        <v>87</v>
      </c>
      <c r="P16" s="21">
        <f t="shared" si="8"/>
        <v>108</v>
      </c>
      <c r="Q16" s="21">
        <f t="shared" si="9"/>
        <v>96</v>
      </c>
      <c r="R16" s="21">
        <f t="shared" si="10"/>
        <v>72</v>
      </c>
      <c r="S16" s="21">
        <f t="shared" si="11"/>
        <v>385</v>
      </c>
      <c r="T16" s="23">
        <f t="shared" si="12"/>
        <v>29.615384615384617</v>
      </c>
      <c r="U16" s="22">
        <f t="shared" si="13"/>
        <v>29.62</v>
      </c>
      <c r="V16" t="str">
        <f t="shared" si="14"/>
        <v>NIVEL 1</v>
      </c>
      <c r="W16" t="str">
        <f t="shared" si="15"/>
        <v>NIVEL 2</v>
      </c>
      <c r="X16" t="str">
        <f t="shared" si="16"/>
        <v>NIVEL 1</v>
      </c>
      <c r="Y16" t="str">
        <f t="shared" si="17"/>
        <v>NIVEL 1</v>
      </c>
      <c r="Z16" t="str">
        <f t="shared" si="18"/>
        <v>NIVEL PRE A1</v>
      </c>
    </row>
    <row r="17" spans="1:26" ht="15.5" x14ac:dyDescent="0.35">
      <c r="A17">
        <f>'RESULTADOS '!B18</f>
        <v>16</v>
      </c>
      <c r="B17" s="41" t="str">
        <f>'RESULTADOS '!C18</f>
        <v xml:space="preserve">LOZANO BENITEZ HECTOR DAVID  </v>
      </c>
      <c r="C17">
        <f>'RESULTADOS '!D18</f>
        <v>161.06383103859974</v>
      </c>
      <c r="D17">
        <f>'RESULTADOS '!F18</f>
        <v>39.024390243902438</v>
      </c>
      <c r="E17">
        <f>'RESULTADOS '!G18</f>
        <v>34</v>
      </c>
      <c r="F17">
        <f>'RESULTADOS '!H18</f>
        <v>16</v>
      </c>
      <c r="G17">
        <f>'RESULTADOS '!I18</f>
        <v>39.655172413793103</v>
      </c>
      <c r="H17">
        <f>'RESULTADOS '!N18</f>
        <v>32.727272727272727</v>
      </c>
      <c r="I17" s="21">
        <f t="shared" si="1"/>
        <v>161</v>
      </c>
      <c r="J17" s="21">
        <f t="shared" si="2"/>
        <v>39</v>
      </c>
      <c r="K17" s="21">
        <f t="shared" si="3"/>
        <v>34</v>
      </c>
      <c r="L17" s="21">
        <f t="shared" si="4"/>
        <v>16</v>
      </c>
      <c r="M17" s="21">
        <f t="shared" si="5"/>
        <v>40</v>
      </c>
      <c r="N17" s="21">
        <f t="shared" si="6"/>
        <v>33</v>
      </c>
      <c r="O17" s="21">
        <f t="shared" si="7"/>
        <v>117</v>
      </c>
      <c r="P17" s="21">
        <f t="shared" si="8"/>
        <v>102</v>
      </c>
      <c r="Q17" s="21">
        <f t="shared" si="9"/>
        <v>48</v>
      </c>
      <c r="R17" s="21">
        <f t="shared" si="10"/>
        <v>120</v>
      </c>
      <c r="S17" s="21">
        <f t="shared" si="11"/>
        <v>420</v>
      </c>
      <c r="T17" s="23">
        <f t="shared" si="12"/>
        <v>32.307692307692307</v>
      </c>
      <c r="U17" s="22">
        <f t="shared" si="13"/>
        <v>32.31</v>
      </c>
      <c r="V17" t="str">
        <f t="shared" si="14"/>
        <v>NIVEL 2</v>
      </c>
      <c r="W17" t="str">
        <f t="shared" si="15"/>
        <v>NIVEL 1</v>
      </c>
      <c r="X17" t="str">
        <f t="shared" si="16"/>
        <v>NIVEL 1</v>
      </c>
      <c r="Y17" t="str">
        <f t="shared" si="17"/>
        <v>NIVEL 1</v>
      </c>
      <c r="Z17" t="str">
        <f t="shared" si="18"/>
        <v>NIVEL PRE A1</v>
      </c>
    </row>
    <row r="18" spans="1:26" ht="15.5" x14ac:dyDescent="0.35">
      <c r="A18">
        <f>'RESULTADOS '!B19</f>
        <v>17</v>
      </c>
      <c r="B18" s="41" t="str">
        <f>'RESULTADOS '!C19</f>
        <v xml:space="preserve">MACHADO CARVAJAL YANDRI VANESSA  </v>
      </c>
      <c r="C18">
        <f>'RESULTADOS '!D19</f>
        <v>181.81618213577843</v>
      </c>
      <c r="D18">
        <f>'RESULTADOS '!F19</f>
        <v>39.024390243902438</v>
      </c>
      <c r="E18">
        <f>'RESULTADOS '!G19</f>
        <v>42</v>
      </c>
      <c r="F18">
        <f>'RESULTADOS '!H19</f>
        <v>34</v>
      </c>
      <c r="G18">
        <f>'RESULTADOS '!I19</f>
        <v>31.03448275862069</v>
      </c>
      <c r="H18">
        <f>'RESULTADOS '!N19</f>
        <v>34.545454545454547</v>
      </c>
      <c r="I18" s="21">
        <f t="shared" si="1"/>
        <v>182</v>
      </c>
      <c r="J18" s="21">
        <f t="shared" si="2"/>
        <v>39</v>
      </c>
      <c r="K18" s="21">
        <f t="shared" si="3"/>
        <v>42</v>
      </c>
      <c r="L18" s="21">
        <f t="shared" si="4"/>
        <v>34</v>
      </c>
      <c r="M18" s="21">
        <f t="shared" si="5"/>
        <v>31</v>
      </c>
      <c r="N18" s="21">
        <f t="shared" si="6"/>
        <v>35</v>
      </c>
      <c r="O18" s="21">
        <f t="shared" si="7"/>
        <v>117</v>
      </c>
      <c r="P18" s="21">
        <f t="shared" si="8"/>
        <v>126</v>
      </c>
      <c r="Q18" s="21">
        <f t="shared" si="9"/>
        <v>102</v>
      </c>
      <c r="R18" s="21">
        <f t="shared" si="10"/>
        <v>93</v>
      </c>
      <c r="S18" s="21">
        <f t="shared" si="11"/>
        <v>473</v>
      </c>
      <c r="T18" s="23">
        <f t="shared" si="12"/>
        <v>36.384615384615387</v>
      </c>
      <c r="U18" s="22">
        <f t="shared" si="13"/>
        <v>36.380000000000003</v>
      </c>
      <c r="V18" t="str">
        <f t="shared" si="14"/>
        <v>NIVEL 2</v>
      </c>
      <c r="W18" t="str">
        <f t="shared" si="15"/>
        <v>NIVEL 2</v>
      </c>
      <c r="X18" t="str">
        <f t="shared" si="16"/>
        <v>NIVEL 1</v>
      </c>
      <c r="Y18" t="str">
        <f t="shared" si="17"/>
        <v>NIVEL 1</v>
      </c>
      <c r="Z18" t="str">
        <f t="shared" si="18"/>
        <v>NIVEL PRE A1</v>
      </c>
    </row>
    <row r="19" spans="1:26" ht="15.5" x14ac:dyDescent="0.35">
      <c r="A19">
        <f>'RESULTADOS '!B20</f>
        <v>18</v>
      </c>
      <c r="B19" s="41" t="str">
        <f>'RESULTADOS '!C20</f>
        <v xml:space="preserve">MARTINEZ CAUCIL SARETH MILENA  </v>
      </c>
      <c r="C19">
        <f>'RESULTADOS '!D20</f>
        <v>140.58049603886442</v>
      </c>
      <c r="D19">
        <f>'RESULTADOS '!F20</f>
        <v>24.390243902439025</v>
      </c>
      <c r="E19">
        <f>'RESULTADOS '!G20</f>
        <v>24</v>
      </c>
      <c r="F19">
        <f>'RESULTADOS '!H20</f>
        <v>24</v>
      </c>
      <c r="G19">
        <f>'RESULTADOS '!I20</f>
        <v>37.931034482758619</v>
      </c>
      <c r="H19">
        <f>'RESULTADOS '!N20</f>
        <v>34.545454545454547</v>
      </c>
      <c r="I19" s="21">
        <f t="shared" si="1"/>
        <v>141</v>
      </c>
      <c r="J19" s="21">
        <f t="shared" si="2"/>
        <v>24</v>
      </c>
      <c r="K19" s="21">
        <f t="shared" si="3"/>
        <v>24</v>
      </c>
      <c r="L19" s="21">
        <f t="shared" si="4"/>
        <v>24</v>
      </c>
      <c r="M19" s="21">
        <f t="shared" si="5"/>
        <v>38</v>
      </c>
      <c r="N19" s="21">
        <f t="shared" si="6"/>
        <v>35</v>
      </c>
      <c r="O19" s="21">
        <f t="shared" si="7"/>
        <v>72</v>
      </c>
      <c r="P19" s="21">
        <f t="shared" si="8"/>
        <v>72</v>
      </c>
      <c r="Q19" s="21">
        <f t="shared" si="9"/>
        <v>72</v>
      </c>
      <c r="R19" s="21">
        <f t="shared" si="10"/>
        <v>114</v>
      </c>
      <c r="S19" s="21">
        <f t="shared" si="11"/>
        <v>365</v>
      </c>
      <c r="T19" s="23">
        <f t="shared" si="12"/>
        <v>28.076923076923077</v>
      </c>
      <c r="U19" s="22">
        <f t="shared" si="13"/>
        <v>28.08</v>
      </c>
      <c r="V19" t="str">
        <f t="shared" si="14"/>
        <v>NIVEL 1</v>
      </c>
      <c r="W19" t="str">
        <f t="shared" si="15"/>
        <v>NIVEL 1</v>
      </c>
      <c r="X19" t="str">
        <f t="shared" si="16"/>
        <v>NIVEL 1</v>
      </c>
      <c r="Y19" t="str">
        <f t="shared" si="17"/>
        <v>NIVEL 1</v>
      </c>
      <c r="Z19" t="str">
        <f t="shared" si="18"/>
        <v>NIVEL PRE A1</v>
      </c>
    </row>
    <row r="20" spans="1:26" ht="15.5" x14ac:dyDescent="0.35">
      <c r="A20">
        <f>'RESULTADOS '!B21</f>
        <v>19</v>
      </c>
      <c r="B20" s="41" t="str">
        <f>'RESULTADOS '!C21</f>
        <v xml:space="preserve">MERCADO RAMOS DANIELA SOFIA  </v>
      </c>
      <c r="C20">
        <f>'RESULTADOS '!D21</f>
        <v>120.34847406588366</v>
      </c>
      <c r="D20">
        <f>'RESULTADOS '!F21</f>
        <v>17.073170731707318</v>
      </c>
      <c r="E20">
        <f>'RESULTADOS '!G21</f>
        <v>20</v>
      </c>
      <c r="F20">
        <f>'RESULTADOS '!H21</f>
        <v>34</v>
      </c>
      <c r="G20">
        <f>'RESULTADOS '!I21</f>
        <v>24.137931034482758</v>
      </c>
      <c r="H20">
        <f>'RESULTADOS '!N21</f>
        <v>27.272727272727273</v>
      </c>
      <c r="I20" s="21">
        <f t="shared" si="1"/>
        <v>120</v>
      </c>
      <c r="J20" s="21">
        <f t="shared" si="2"/>
        <v>17</v>
      </c>
      <c r="K20" s="21">
        <f t="shared" si="3"/>
        <v>20</v>
      </c>
      <c r="L20" s="21">
        <f t="shared" si="4"/>
        <v>34</v>
      </c>
      <c r="M20" s="21">
        <f t="shared" si="5"/>
        <v>24</v>
      </c>
      <c r="N20" s="21">
        <f t="shared" si="6"/>
        <v>27</v>
      </c>
      <c r="O20" s="21">
        <f t="shared" si="7"/>
        <v>51</v>
      </c>
      <c r="P20" s="21">
        <f t="shared" si="8"/>
        <v>60</v>
      </c>
      <c r="Q20" s="21">
        <f t="shared" si="9"/>
        <v>102</v>
      </c>
      <c r="R20" s="21">
        <f t="shared" si="10"/>
        <v>72</v>
      </c>
      <c r="S20" s="21">
        <f t="shared" si="11"/>
        <v>312</v>
      </c>
      <c r="T20" s="23">
        <f t="shared" si="12"/>
        <v>24</v>
      </c>
      <c r="U20" s="22">
        <f t="shared" si="13"/>
        <v>24</v>
      </c>
      <c r="V20" t="str">
        <f t="shared" si="14"/>
        <v>NIVEL 1</v>
      </c>
      <c r="W20" t="str">
        <f t="shared" si="15"/>
        <v>NIVEL 1</v>
      </c>
      <c r="X20" t="str">
        <f t="shared" si="16"/>
        <v>NIVEL 1</v>
      </c>
      <c r="Y20" t="str">
        <f t="shared" si="17"/>
        <v>NIVEL 1</v>
      </c>
      <c r="Z20" t="str">
        <f t="shared" si="18"/>
        <v>NIVEL PRE A1</v>
      </c>
    </row>
    <row r="21" spans="1:26" ht="15.5" x14ac:dyDescent="0.35">
      <c r="A21">
        <f>'RESULTADOS '!B22</f>
        <v>20</v>
      </c>
      <c r="B21" s="41" t="str">
        <f>'RESULTADOS '!C22</f>
        <v xml:space="preserve">RAMOS MESTRA FABIAN DE JESUS  </v>
      </c>
      <c r="C21">
        <f>'RESULTADOS '!D22</f>
        <v>130.21137819287526</v>
      </c>
      <c r="D21">
        <f>'RESULTADOS '!F22</f>
        <v>21.951219512195124</v>
      </c>
      <c r="E21">
        <f>'RESULTADOS '!G22</f>
        <v>34</v>
      </c>
      <c r="F21">
        <f>'RESULTADOS '!H22</f>
        <v>26</v>
      </c>
      <c r="G21">
        <f>'RESULTADOS '!I22</f>
        <v>22.413793103448278</v>
      </c>
      <c r="H21">
        <f>'RESULTADOS '!N22</f>
        <v>25.454545454545453</v>
      </c>
      <c r="I21" s="21">
        <f t="shared" si="1"/>
        <v>130</v>
      </c>
      <c r="J21" s="21">
        <f t="shared" si="2"/>
        <v>22</v>
      </c>
      <c r="K21" s="21">
        <f t="shared" si="3"/>
        <v>34</v>
      </c>
      <c r="L21" s="21">
        <f t="shared" si="4"/>
        <v>26</v>
      </c>
      <c r="M21" s="21">
        <f t="shared" si="5"/>
        <v>22</v>
      </c>
      <c r="N21" s="21">
        <f t="shared" si="6"/>
        <v>25</v>
      </c>
      <c r="O21" s="21">
        <f t="shared" si="7"/>
        <v>66</v>
      </c>
      <c r="P21" s="21">
        <f t="shared" si="8"/>
        <v>102</v>
      </c>
      <c r="Q21" s="21">
        <f t="shared" si="9"/>
        <v>78</v>
      </c>
      <c r="R21" s="21">
        <f t="shared" si="10"/>
        <v>66</v>
      </c>
      <c r="S21" s="21">
        <f t="shared" si="11"/>
        <v>337</v>
      </c>
      <c r="T21" s="23">
        <f t="shared" si="12"/>
        <v>25.923076923076923</v>
      </c>
      <c r="U21" s="22">
        <f t="shared" si="13"/>
        <v>25.92</v>
      </c>
      <c r="V21" t="str">
        <f t="shared" si="14"/>
        <v>NIVEL 1</v>
      </c>
      <c r="W21" t="str">
        <f t="shared" si="15"/>
        <v>NIVEL 1</v>
      </c>
      <c r="X21" t="str">
        <f t="shared" si="16"/>
        <v>NIVEL 1</v>
      </c>
      <c r="Y21" t="str">
        <f t="shared" si="17"/>
        <v>NIVEL 1</v>
      </c>
      <c r="Z21" t="str">
        <f t="shared" si="18"/>
        <v>NIVEL PRE A1</v>
      </c>
    </row>
    <row r="22" spans="1:26" ht="15.5" x14ac:dyDescent="0.35">
      <c r="A22">
        <f>'RESULTADOS '!B23</f>
        <v>21</v>
      </c>
      <c r="B22" s="41" t="str">
        <f>'RESULTADOS '!C23</f>
        <v xml:space="preserve">RAMOS RAMOS SEBASTIAN ANDRES  </v>
      </c>
      <c r="C22">
        <f>'RESULTADOS '!D23</f>
        <v>134.1317555447076</v>
      </c>
      <c r="D22">
        <f>'RESULTADOS '!F23</f>
        <v>14.634146341463415</v>
      </c>
      <c r="E22">
        <f>'RESULTADOS '!G23</f>
        <v>26</v>
      </c>
      <c r="F22">
        <f>'RESULTADOS '!H23</f>
        <v>36</v>
      </c>
      <c r="G22">
        <f>'RESULTADOS '!I23</f>
        <v>29.310344827586203</v>
      </c>
      <c r="H22">
        <f>'RESULTADOS '!N23</f>
        <v>30.90909090909091</v>
      </c>
      <c r="I22" s="21">
        <f t="shared" si="1"/>
        <v>134</v>
      </c>
      <c r="J22" s="21">
        <f t="shared" si="2"/>
        <v>15</v>
      </c>
      <c r="K22" s="21">
        <f t="shared" si="3"/>
        <v>26</v>
      </c>
      <c r="L22" s="21">
        <f t="shared" si="4"/>
        <v>36</v>
      </c>
      <c r="M22" s="21">
        <f t="shared" si="5"/>
        <v>29</v>
      </c>
      <c r="N22" s="21">
        <f t="shared" si="6"/>
        <v>31</v>
      </c>
      <c r="O22" s="21">
        <f t="shared" si="7"/>
        <v>45</v>
      </c>
      <c r="P22" s="21">
        <f t="shared" si="8"/>
        <v>78</v>
      </c>
      <c r="Q22" s="21">
        <f t="shared" si="9"/>
        <v>108</v>
      </c>
      <c r="R22" s="21">
        <f t="shared" si="10"/>
        <v>87</v>
      </c>
      <c r="S22" s="21">
        <f t="shared" si="11"/>
        <v>349</v>
      </c>
      <c r="T22" s="23">
        <f t="shared" si="12"/>
        <v>26.846153846153847</v>
      </c>
      <c r="U22" s="22">
        <f t="shared" si="13"/>
        <v>26.85</v>
      </c>
      <c r="V22" t="str">
        <f t="shared" si="14"/>
        <v>NIVEL 1</v>
      </c>
      <c r="W22" t="str">
        <f t="shared" si="15"/>
        <v>NIVEL 1</v>
      </c>
      <c r="X22" t="str">
        <f t="shared" si="16"/>
        <v>NIVEL 1</v>
      </c>
      <c r="Y22" t="str">
        <f t="shared" si="17"/>
        <v>NIVEL 1</v>
      </c>
      <c r="Z22" t="str">
        <f t="shared" si="18"/>
        <v>NIVEL PRE A1</v>
      </c>
    </row>
    <row r="23" spans="1:26" ht="15.5" x14ac:dyDescent="0.35">
      <c r="A23">
        <f>'RESULTADOS '!B24</f>
        <v>22</v>
      </c>
      <c r="B23" s="41" t="str">
        <f>'RESULTADOS '!C24</f>
        <v xml:space="preserve">FLOREZ HERNANDEZ BRAYAN ANDRES  </v>
      </c>
      <c r="C23">
        <f>'RESULTADOS '!D24</f>
        <v>202.16930252254053</v>
      </c>
      <c r="D23">
        <f>'RESULTADOS '!F24</f>
        <v>53.658536585365852</v>
      </c>
      <c r="E23">
        <f>'RESULTADOS '!G24</f>
        <v>26</v>
      </c>
      <c r="F23">
        <f>'RESULTADOS '!H24</f>
        <v>38</v>
      </c>
      <c r="G23">
        <f>'RESULTADOS '!I24</f>
        <v>44.827586206896555</v>
      </c>
      <c r="H23">
        <f>'RESULTADOS '!N24</f>
        <v>38.18181818181818</v>
      </c>
      <c r="I23" s="21">
        <f t="shared" si="1"/>
        <v>202</v>
      </c>
      <c r="J23" s="21">
        <f t="shared" si="2"/>
        <v>54</v>
      </c>
      <c r="K23" s="21">
        <f t="shared" si="3"/>
        <v>26</v>
      </c>
      <c r="L23" s="21">
        <f t="shared" si="4"/>
        <v>38</v>
      </c>
      <c r="M23" s="21">
        <f t="shared" si="5"/>
        <v>45</v>
      </c>
      <c r="N23" s="21">
        <f t="shared" si="6"/>
        <v>38</v>
      </c>
      <c r="O23" s="21">
        <f t="shared" si="7"/>
        <v>162</v>
      </c>
      <c r="P23" s="21">
        <f t="shared" si="8"/>
        <v>78</v>
      </c>
      <c r="Q23" s="21">
        <f t="shared" si="9"/>
        <v>114</v>
      </c>
      <c r="R23" s="21">
        <f t="shared" si="10"/>
        <v>135</v>
      </c>
      <c r="S23" s="21">
        <f t="shared" si="11"/>
        <v>527</v>
      </c>
      <c r="T23" s="23">
        <f t="shared" si="12"/>
        <v>40.53846153846154</v>
      </c>
      <c r="U23" s="22">
        <f t="shared" si="13"/>
        <v>40.54</v>
      </c>
      <c r="V23" t="str">
        <f t="shared" si="14"/>
        <v>NIVEL 3</v>
      </c>
      <c r="W23" t="str">
        <f t="shared" si="15"/>
        <v>NIVEL 1</v>
      </c>
      <c r="X23" t="str">
        <f t="shared" si="16"/>
        <v>NIVEL 1</v>
      </c>
      <c r="Y23" t="str">
        <f t="shared" si="17"/>
        <v>NIVEL 2</v>
      </c>
      <c r="Z23" t="str">
        <f t="shared" si="18"/>
        <v>NIVEL A1</v>
      </c>
    </row>
    <row r="24" spans="1:26" ht="15.5" x14ac:dyDescent="0.35">
      <c r="A24">
        <f>'RESULTADOS '!B25</f>
        <v>23</v>
      </c>
      <c r="B24" s="41" t="str">
        <f>'RESULTADOS '!C25</f>
        <v>ALVAREZ MARQUEZ FRANK LUIS</v>
      </c>
      <c r="C24">
        <f>'RESULTADOS '!D25</f>
        <v>193.15573408929168</v>
      </c>
      <c r="D24">
        <f>'RESULTADOS '!F25</f>
        <v>56.097560975609753</v>
      </c>
      <c r="E24">
        <f>'RESULTADOS '!G25</f>
        <v>34</v>
      </c>
      <c r="F24">
        <f>'RESULTADOS '!H25</f>
        <v>30</v>
      </c>
      <c r="G24">
        <f>'RESULTADOS '!I25</f>
        <v>32.758620689655174</v>
      </c>
      <c r="H24">
        <f>'RESULTADOS '!N25</f>
        <v>43.636363636363633</v>
      </c>
      <c r="I24" s="21">
        <f t="shared" si="1"/>
        <v>193</v>
      </c>
      <c r="J24" s="21">
        <f t="shared" si="2"/>
        <v>56</v>
      </c>
      <c r="K24" s="21">
        <f t="shared" si="3"/>
        <v>34</v>
      </c>
      <c r="L24" s="21">
        <f t="shared" si="4"/>
        <v>30</v>
      </c>
      <c r="M24" s="21">
        <f t="shared" si="5"/>
        <v>33</v>
      </c>
      <c r="N24" s="21">
        <f t="shared" si="6"/>
        <v>44</v>
      </c>
      <c r="O24" s="21">
        <f t="shared" si="7"/>
        <v>168</v>
      </c>
      <c r="P24" s="21">
        <f t="shared" si="8"/>
        <v>102</v>
      </c>
      <c r="Q24" s="21">
        <f t="shared" si="9"/>
        <v>90</v>
      </c>
      <c r="R24" s="21">
        <f t="shared" si="10"/>
        <v>99</v>
      </c>
      <c r="S24" s="21">
        <f t="shared" si="11"/>
        <v>503</v>
      </c>
      <c r="T24" s="23">
        <f t="shared" si="12"/>
        <v>38.692307692307693</v>
      </c>
      <c r="U24" s="22">
        <f t="shared" si="13"/>
        <v>38.69</v>
      </c>
      <c r="V24" t="str">
        <f t="shared" si="14"/>
        <v>NIVEL 3</v>
      </c>
      <c r="W24" t="str">
        <f t="shared" si="15"/>
        <v>NIVEL 1</v>
      </c>
      <c r="X24" t="str">
        <f t="shared" si="16"/>
        <v>NIVEL 1</v>
      </c>
      <c r="Y24" t="str">
        <f t="shared" si="17"/>
        <v>NIVEL 1</v>
      </c>
      <c r="Z24" t="str">
        <f t="shared" si="18"/>
        <v>NIVEL A1</v>
      </c>
    </row>
    <row r="25" spans="1:26" ht="15.5" x14ac:dyDescent="0.35">
      <c r="A25">
        <f>'RESULTADOS '!B26</f>
        <v>24</v>
      </c>
      <c r="B25" s="41" t="str">
        <f>'RESULTADOS '!C26</f>
        <v>BRAVO OVALLES KAMILA ANDREA</v>
      </c>
      <c r="C25">
        <f>'RESULTADOS '!D26</f>
        <v>168.22545830956258</v>
      </c>
      <c r="D25">
        <f>'RESULTADOS '!F26</f>
        <v>36.585365853658537</v>
      </c>
      <c r="E25">
        <f>'RESULTADOS '!G26</f>
        <v>22</v>
      </c>
      <c r="F25">
        <f>'RESULTADOS '!H26</f>
        <v>40</v>
      </c>
      <c r="G25">
        <f>'RESULTADOS '!I26</f>
        <v>34.482758620689658</v>
      </c>
      <c r="H25">
        <f>'RESULTADOS '!N26</f>
        <v>38.18181818181818</v>
      </c>
      <c r="I25" s="21">
        <f t="shared" si="1"/>
        <v>168</v>
      </c>
      <c r="J25" s="21">
        <f t="shared" si="2"/>
        <v>37</v>
      </c>
      <c r="K25" s="21">
        <f t="shared" si="3"/>
        <v>22</v>
      </c>
      <c r="L25" s="21">
        <f t="shared" si="4"/>
        <v>40</v>
      </c>
      <c r="M25" s="21">
        <f t="shared" si="5"/>
        <v>34</v>
      </c>
      <c r="N25" s="21">
        <f t="shared" si="6"/>
        <v>38</v>
      </c>
      <c r="O25" s="21">
        <f t="shared" si="7"/>
        <v>111</v>
      </c>
      <c r="P25" s="21">
        <f t="shared" si="8"/>
        <v>66</v>
      </c>
      <c r="Q25" s="21">
        <f t="shared" si="9"/>
        <v>120</v>
      </c>
      <c r="R25" s="21">
        <f t="shared" si="10"/>
        <v>102</v>
      </c>
      <c r="S25" s="21">
        <f t="shared" si="11"/>
        <v>437</v>
      </c>
      <c r="T25" s="23">
        <f t="shared" si="12"/>
        <v>33.615384615384613</v>
      </c>
      <c r="U25" s="22">
        <f t="shared" si="13"/>
        <v>33.619999999999997</v>
      </c>
      <c r="V25" t="str">
        <f t="shared" si="14"/>
        <v>NIVEL 2</v>
      </c>
      <c r="W25" t="str">
        <f t="shared" si="15"/>
        <v>NIVEL 1</v>
      </c>
      <c r="X25" t="str">
        <f t="shared" si="16"/>
        <v>NIVEL 1</v>
      </c>
      <c r="Y25" t="str">
        <f t="shared" si="17"/>
        <v>NIVEL 1</v>
      </c>
      <c r="Z25" t="str">
        <f t="shared" si="18"/>
        <v>NIVEL A1</v>
      </c>
    </row>
    <row r="26" spans="1:26" ht="15.5" x14ac:dyDescent="0.35">
      <c r="A26">
        <f>'RESULTADOS '!B27</f>
        <v>25</v>
      </c>
      <c r="B26" s="41" t="str">
        <f>'RESULTADOS '!C27</f>
        <v xml:space="preserve">FLOREZ PEREIRA SARAY </v>
      </c>
      <c r="C26">
        <f>'RESULTADOS '!D27</f>
        <v>190.62013680180206</v>
      </c>
      <c r="D26">
        <f>'RESULTADOS '!F27</f>
        <v>39.024390243902438</v>
      </c>
      <c r="E26">
        <f>'RESULTADOS '!G27</f>
        <v>44</v>
      </c>
      <c r="F26">
        <f>'RESULTADOS '!H27</f>
        <v>38</v>
      </c>
      <c r="G26">
        <f>'RESULTADOS '!I27</f>
        <v>34.482758620689658</v>
      </c>
      <c r="H26">
        <f>'RESULTADOS '!N27</f>
        <v>29.09090909090909</v>
      </c>
      <c r="I26" s="21">
        <f t="shared" si="1"/>
        <v>191</v>
      </c>
      <c r="J26" s="21">
        <f t="shared" si="2"/>
        <v>39</v>
      </c>
      <c r="K26" s="21">
        <f t="shared" si="3"/>
        <v>44</v>
      </c>
      <c r="L26" s="21">
        <f t="shared" si="4"/>
        <v>38</v>
      </c>
      <c r="M26" s="21">
        <f t="shared" si="5"/>
        <v>34</v>
      </c>
      <c r="N26" s="21">
        <f t="shared" si="6"/>
        <v>29</v>
      </c>
      <c r="O26" s="21">
        <f t="shared" si="7"/>
        <v>117</v>
      </c>
      <c r="P26" s="21">
        <f t="shared" si="8"/>
        <v>132</v>
      </c>
      <c r="Q26" s="21">
        <f t="shared" si="9"/>
        <v>114</v>
      </c>
      <c r="R26" s="21">
        <f t="shared" si="10"/>
        <v>102</v>
      </c>
      <c r="S26" s="21">
        <f t="shared" si="11"/>
        <v>494</v>
      </c>
      <c r="T26" s="23">
        <f t="shared" si="12"/>
        <v>38</v>
      </c>
      <c r="U26" s="22">
        <f t="shared" si="13"/>
        <v>38</v>
      </c>
      <c r="V26" t="str">
        <f t="shared" si="14"/>
        <v>NIVEL 2</v>
      </c>
      <c r="W26" t="str">
        <f t="shared" si="15"/>
        <v>NIVEL 2</v>
      </c>
      <c r="X26" t="str">
        <f t="shared" si="16"/>
        <v>NIVEL 1</v>
      </c>
      <c r="Y26" t="str">
        <f t="shared" si="17"/>
        <v>NIVEL 1</v>
      </c>
      <c r="Z26" t="str">
        <f t="shared" si="18"/>
        <v>NIVEL PRE A1</v>
      </c>
    </row>
    <row r="27" spans="1:26" ht="15.5" x14ac:dyDescent="0.35">
      <c r="A27">
        <f>'RESULTADOS '!B28</f>
        <v>26</v>
      </c>
      <c r="B27" s="41" t="str">
        <f>'RESULTADOS '!C28</f>
        <v>MARQUEZ BARRAGAN DAIVER JOSE</v>
      </c>
      <c r="C27">
        <f>'RESULTADOS '!D28</f>
        <v>150.58896528198463</v>
      </c>
      <c r="D27">
        <f>'RESULTADOS '!F28</f>
        <v>41.463414634146339</v>
      </c>
      <c r="E27">
        <f>'RESULTADOS '!G28</f>
        <v>32</v>
      </c>
      <c r="F27">
        <f>'RESULTADOS '!H28</f>
        <v>22</v>
      </c>
      <c r="G27">
        <f>'RESULTADOS '!I28</f>
        <v>24.137931034482758</v>
      </c>
      <c r="H27">
        <f>'RESULTADOS '!N28</f>
        <v>32.727272727272727</v>
      </c>
      <c r="I27" s="21">
        <f t="shared" si="1"/>
        <v>151</v>
      </c>
      <c r="J27" s="21">
        <f t="shared" si="2"/>
        <v>41</v>
      </c>
      <c r="K27" s="21">
        <f t="shared" si="3"/>
        <v>32</v>
      </c>
      <c r="L27" s="21">
        <f t="shared" si="4"/>
        <v>22</v>
      </c>
      <c r="M27" s="21">
        <f t="shared" si="5"/>
        <v>24</v>
      </c>
      <c r="N27" s="21">
        <f t="shared" si="6"/>
        <v>33</v>
      </c>
      <c r="O27" s="21">
        <f t="shared" si="7"/>
        <v>123</v>
      </c>
      <c r="P27" s="21">
        <f t="shared" si="8"/>
        <v>96</v>
      </c>
      <c r="Q27" s="21">
        <f t="shared" si="9"/>
        <v>66</v>
      </c>
      <c r="R27" s="21">
        <f t="shared" si="10"/>
        <v>72</v>
      </c>
      <c r="S27" s="21">
        <f t="shared" si="11"/>
        <v>390</v>
      </c>
      <c r="T27" s="23">
        <f t="shared" si="12"/>
        <v>30</v>
      </c>
      <c r="U27" s="22">
        <f t="shared" si="13"/>
        <v>30</v>
      </c>
      <c r="V27" t="str">
        <f t="shared" si="14"/>
        <v>NIVEL 2</v>
      </c>
      <c r="W27" t="str">
        <f t="shared" si="15"/>
        <v>NIVEL 1</v>
      </c>
      <c r="X27" t="str">
        <f t="shared" si="16"/>
        <v>NIVEL 1</v>
      </c>
      <c r="Y27" t="str">
        <f t="shared" si="17"/>
        <v>NIVEL 1</v>
      </c>
      <c r="Z27" t="str">
        <f t="shared" si="18"/>
        <v>NIVEL PRE A1</v>
      </c>
    </row>
    <row r="28" spans="1:26" ht="15.5" x14ac:dyDescent="0.35">
      <c r="A28">
        <f>'RESULTADOS '!B29</f>
        <v>27</v>
      </c>
      <c r="B28" s="41" t="str">
        <f>'RESULTADOS '!C29</f>
        <v>MARQUEZ CERMEÑO ELY JOHANA</v>
      </c>
      <c r="C28">
        <f>'RESULTADOS '!D29</f>
        <v>154.98350262017209</v>
      </c>
      <c r="D28">
        <f>'RESULTADOS '!F29</f>
        <v>21.951219512195124</v>
      </c>
      <c r="E28">
        <f>'RESULTADOS '!G29</f>
        <v>26</v>
      </c>
      <c r="F28">
        <f>'RESULTADOS '!H29</f>
        <v>42</v>
      </c>
      <c r="G28">
        <f>'RESULTADOS '!I29</f>
        <v>31.03448275862069</v>
      </c>
      <c r="H28">
        <f>'RESULTADOS '!N29</f>
        <v>40</v>
      </c>
      <c r="I28" s="21">
        <f t="shared" si="1"/>
        <v>155</v>
      </c>
      <c r="J28" s="21">
        <f t="shared" si="2"/>
        <v>22</v>
      </c>
      <c r="K28" s="21">
        <f t="shared" si="3"/>
        <v>26</v>
      </c>
      <c r="L28" s="21">
        <f t="shared" si="4"/>
        <v>42</v>
      </c>
      <c r="M28" s="21">
        <f t="shared" si="5"/>
        <v>31</v>
      </c>
      <c r="N28" s="21">
        <f t="shared" si="6"/>
        <v>40</v>
      </c>
      <c r="O28" s="21">
        <f t="shared" si="7"/>
        <v>66</v>
      </c>
      <c r="P28" s="21">
        <f t="shared" si="8"/>
        <v>78</v>
      </c>
      <c r="Q28" s="21">
        <f t="shared" si="9"/>
        <v>126</v>
      </c>
      <c r="R28" s="21">
        <f t="shared" si="10"/>
        <v>93</v>
      </c>
      <c r="S28" s="21">
        <f t="shared" si="11"/>
        <v>403</v>
      </c>
      <c r="T28" s="23">
        <f t="shared" si="12"/>
        <v>31</v>
      </c>
      <c r="U28" s="22">
        <f t="shared" si="13"/>
        <v>31</v>
      </c>
      <c r="V28" t="str">
        <f t="shared" si="14"/>
        <v>NIVEL 1</v>
      </c>
      <c r="W28" t="str">
        <f t="shared" si="15"/>
        <v>NIVEL 1</v>
      </c>
      <c r="X28" t="str">
        <f t="shared" si="16"/>
        <v>NIVEL 2</v>
      </c>
      <c r="Y28" t="str">
        <f t="shared" si="17"/>
        <v>NIVEL 1</v>
      </c>
      <c r="Z28" t="str">
        <f t="shared" si="18"/>
        <v>NIVEL A1</v>
      </c>
    </row>
    <row r="29" spans="1:26" ht="15.5" x14ac:dyDescent="0.35">
      <c r="A29">
        <f>'RESULTADOS '!B30</f>
        <v>28</v>
      </c>
      <c r="B29" s="41" t="str">
        <f>'RESULTADOS '!C30</f>
        <v xml:space="preserve">RUIZ OLIVARES MARISOL </v>
      </c>
      <c r="C29">
        <f>'RESULTADOS '!D30</f>
        <v>243.57325601228044</v>
      </c>
      <c r="D29">
        <f>'RESULTADOS '!F30</f>
        <v>60.975609756097562</v>
      </c>
      <c r="E29">
        <f>'RESULTADOS '!G30</f>
        <v>40</v>
      </c>
      <c r="F29">
        <f>'RESULTADOS '!H30</f>
        <v>48</v>
      </c>
      <c r="G29">
        <f>'RESULTADOS '!I30</f>
        <v>50</v>
      </c>
      <c r="H29">
        <f>'RESULTADOS '!N30</f>
        <v>36.363636363636367</v>
      </c>
      <c r="I29" s="21">
        <f t="shared" si="1"/>
        <v>244</v>
      </c>
      <c r="J29" s="21">
        <f t="shared" si="2"/>
        <v>61</v>
      </c>
      <c r="K29" s="21">
        <f t="shared" si="3"/>
        <v>40</v>
      </c>
      <c r="L29" s="21">
        <f t="shared" si="4"/>
        <v>48</v>
      </c>
      <c r="M29" s="21">
        <f t="shared" si="5"/>
        <v>50</v>
      </c>
      <c r="N29" s="21">
        <f t="shared" si="6"/>
        <v>36</v>
      </c>
      <c r="O29" s="21">
        <f t="shared" si="7"/>
        <v>183</v>
      </c>
      <c r="P29" s="21">
        <f t="shared" si="8"/>
        <v>120</v>
      </c>
      <c r="Q29" s="21">
        <f t="shared" si="9"/>
        <v>144</v>
      </c>
      <c r="R29" s="21">
        <f t="shared" si="10"/>
        <v>150</v>
      </c>
      <c r="S29" s="21">
        <f t="shared" si="11"/>
        <v>633</v>
      </c>
      <c r="T29" s="23">
        <f t="shared" si="12"/>
        <v>48.692307692307693</v>
      </c>
      <c r="U29" s="22">
        <f t="shared" si="13"/>
        <v>48.69</v>
      </c>
      <c r="V29" t="str">
        <f t="shared" si="14"/>
        <v>NIVEL 3</v>
      </c>
      <c r="W29" t="str">
        <f t="shared" si="15"/>
        <v>NIVEL 2</v>
      </c>
      <c r="X29" t="str">
        <f t="shared" si="16"/>
        <v>NIVEL 2</v>
      </c>
      <c r="Y29" t="str">
        <f t="shared" si="17"/>
        <v>NIVEL 2</v>
      </c>
      <c r="Z29" t="str">
        <f t="shared" si="18"/>
        <v>NIVEL PRE A1</v>
      </c>
    </row>
    <row r="30" spans="1:26" ht="15.5" x14ac:dyDescent="0.35">
      <c r="A30">
        <f>'RESULTADOS '!B31</f>
        <v>29</v>
      </c>
      <c r="B30" s="41" t="str">
        <f>'RESULTADOS '!C31</f>
        <v>SOTO MARTINEZ YURANIS PAOLA</v>
      </c>
      <c r="C30">
        <f>'RESULTADOS '!D31</f>
        <v>176.92384150752528</v>
      </c>
      <c r="D30">
        <f>'RESULTADOS '!F31</f>
        <v>43.902439024390247</v>
      </c>
      <c r="E30">
        <f>'RESULTADOS '!G31</f>
        <v>34</v>
      </c>
      <c r="F30">
        <f>'RESULTADOS '!H31</f>
        <v>34</v>
      </c>
      <c r="G30">
        <f>'RESULTADOS '!I31</f>
        <v>29.310344827586203</v>
      </c>
      <c r="H30">
        <f>'RESULTADOS '!N31</f>
        <v>36.363636363636367</v>
      </c>
      <c r="I30" s="21">
        <f t="shared" si="1"/>
        <v>177</v>
      </c>
      <c r="J30" s="21">
        <f t="shared" si="2"/>
        <v>44</v>
      </c>
      <c r="K30" s="21">
        <f t="shared" si="3"/>
        <v>34</v>
      </c>
      <c r="L30" s="21">
        <f t="shared" si="4"/>
        <v>34</v>
      </c>
      <c r="M30" s="21">
        <f t="shared" si="5"/>
        <v>29</v>
      </c>
      <c r="N30" s="21">
        <f t="shared" si="6"/>
        <v>36</v>
      </c>
      <c r="O30" s="21">
        <f t="shared" si="7"/>
        <v>132</v>
      </c>
      <c r="P30" s="21">
        <f t="shared" si="8"/>
        <v>102</v>
      </c>
      <c r="Q30" s="21">
        <f t="shared" si="9"/>
        <v>102</v>
      </c>
      <c r="R30" s="21">
        <f t="shared" si="10"/>
        <v>87</v>
      </c>
      <c r="S30" s="21">
        <f t="shared" si="11"/>
        <v>459</v>
      </c>
      <c r="T30" s="23">
        <f t="shared" si="12"/>
        <v>35.307692307692307</v>
      </c>
      <c r="U30" s="22">
        <f t="shared" si="13"/>
        <v>35.31</v>
      </c>
      <c r="V30" t="str">
        <f t="shared" si="14"/>
        <v>NIVEL 2</v>
      </c>
      <c r="W30" t="str">
        <f t="shared" si="15"/>
        <v>NIVEL 1</v>
      </c>
      <c r="X30" t="str">
        <f t="shared" si="16"/>
        <v>NIVEL 1</v>
      </c>
      <c r="Y30" t="str">
        <f t="shared" si="17"/>
        <v>NIVEL 1</v>
      </c>
      <c r="Z30" t="str">
        <f t="shared" si="18"/>
        <v>NIVEL PRE A1</v>
      </c>
    </row>
    <row r="31" spans="1:26" ht="15.5" x14ac:dyDescent="0.35">
      <c r="A31">
        <f>'RESULTADOS '!B32</f>
        <v>30</v>
      </c>
      <c r="B31" s="41" t="str">
        <f>'RESULTADOS '!C32</f>
        <v>VELASQUEZ PASCACIO ADRIANA JOSÉ</v>
      </c>
      <c r="C31">
        <f>'RESULTADOS '!D32</f>
        <v>149.5360148682268</v>
      </c>
      <c r="D31">
        <f>'RESULTADOS '!F32</f>
        <v>19.512195121951219</v>
      </c>
      <c r="E31">
        <f>'RESULTADOS '!G32</f>
        <v>30</v>
      </c>
      <c r="F31">
        <f>'RESULTADOS '!H32</f>
        <v>36</v>
      </c>
      <c r="G31">
        <f>'RESULTADOS '!I32</f>
        <v>36.206896551724135</v>
      </c>
      <c r="H31">
        <f>'RESULTADOS '!N32</f>
        <v>23.636363636363637</v>
      </c>
      <c r="I31" s="21">
        <f t="shared" si="1"/>
        <v>150</v>
      </c>
      <c r="J31" s="21">
        <f t="shared" si="2"/>
        <v>20</v>
      </c>
      <c r="K31" s="21">
        <f t="shared" si="3"/>
        <v>30</v>
      </c>
      <c r="L31" s="21">
        <f t="shared" si="4"/>
        <v>36</v>
      </c>
      <c r="M31" s="21">
        <f t="shared" si="5"/>
        <v>36</v>
      </c>
      <c r="N31" s="21">
        <f t="shared" si="6"/>
        <v>24</v>
      </c>
      <c r="O31" s="21">
        <f t="shared" si="7"/>
        <v>60</v>
      </c>
      <c r="P31" s="21">
        <f t="shared" si="8"/>
        <v>90</v>
      </c>
      <c r="Q31" s="21">
        <f t="shared" si="9"/>
        <v>108</v>
      </c>
      <c r="R31" s="21">
        <f t="shared" si="10"/>
        <v>108</v>
      </c>
      <c r="S31" s="21">
        <f t="shared" si="11"/>
        <v>390</v>
      </c>
      <c r="T31" s="23">
        <f t="shared" si="12"/>
        <v>30</v>
      </c>
      <c r="U31" s="22">
        <f t="shared" si="13"/>
        <v>30</v>
      </c>
      <c r="V31" t="str">
        <f t="shared" si="14"/>
        <v>NIVEL 1</v>
      </c>
      <c r="W31" t="str">
        <f t="shared" si="15"/>
        <v>NIVEL 1</v>
      </c>
      <c r="X31" t="str">
        <f t="shared" si="16"/>
        <v>NIVEL 1</v>
      </c>
      <c r="Y31" t="str">
        <f t="shared" si="17"/>
        <v>NIVEL 1</v>
      </c>
      <c r="Z31" t="str">
        <f t="shared" si="18"/>
        <v>NIVEL PRE A1</v>
      </c>
    </row>
  </sheetData>
  <conditionalFormatting sqref="V2:Y31">
    <cfRule type="containsText" dxfId="11" priority="8" operator="containsText" text="NIVEL 4">
      <formula>NOT(ISERROR(SEARCH("NIVEL 4",V2)))</formula>
    </cfRule>
    <cfRule type="containsText" dxfId="10" priority="9" operator="containsText" text="NIVEL 3">
      <formula>NOT(ISERROR(SEARCH("NIVEL 3",V2)))</formula>
    </cfRule>
    <cfRule type="containsText" dxfId="9" priority="10" operator="containsText" text="NIVEL 2">
      <formula>NOT(ISERROR(SEARCH("NIVEL 2",V2)))</formula>
    </cfRule>
    <cfRule type="containsText" dxfId="8" priority="11" operator="containsText" text="NIVEL 1">
      <formula>NOT(ISERROR(SEARCH("NIVEL 1",V2)))</formula>
    </cfRule>
    <cfRule type="containsText" dxfId="7" priority="12" operator="containsText" text="NIVEL 1">
      <formula>NOT(ISERROR(SEARCH("NIVEL 1",V2)))</formula>
    </cfRule>
  </conditionalFormatting>
  <conditionalFormatting sqref="Z2:Z31">
    <cfRule type="containsText" dxfId="6" priority="1" operator="containsText" text="NIVEL PRE A1">
      <formula>NOT(ISERROR(SEARCH("NIVEL PRE A1",Z2)))</formula>
    </cfRule>
    <cfRule type="containsText" dxfId="5" priority="2" operator="containsText" text="NIVEL A1">
      <formula>NOT(ISERROR(SEARCH("NIVEL A1",Z2)))</formula>
    </cfRule>
    <cfRule type="containsText" dxfId="4" priority="3" operator="containsText" text="NIVEL B1">
      <formula>NOT(ISERROR(SEARCH("NIVEL B1",Z2)))</formula>
    </cfRule>
    <cfRule type="containsText" dxfId="3" priority="4" operator="containsText" text="NIVEL A2">
      <formula>NOT(ISERROR(SEARCH("NIVEL A2",Z2)))</formula>
    </cfRule>
    <cfRule type="containsText" dxfId="2" priority="5" operator="containsText" text="NIVEL PRE A1">
      <formula>NOT(ISERROR(SEARCH("NIVEL PRE A1",Z2)))</formula>
    </cfRule>
    <cfRule type="containsText" dxfId="1" priority="6" operator="containsText" text="NIVEL A1">
      <formula>NOT(ISERROR(SEARCH("NIVEL A1",Z2)))</formula>
    </cfRule>
    <cfRule type="containsText" dxfId="0" priority="7" operator="containsText" text="NIVEL A1">
      <formula>NOT(ISERROR(SEARCH("NIVEL A1",Z2)))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1:G17"/>
  <sheetViews>
    <sheetView workbookViewId="0">
      <selection activeCell="J13" sqref="J13"/>
    </sheetView>
  </sheetViews>
  <sheetFormatPr baseColWidth="10" defaultRowHeight="14.5" x14ac:dyDescent="0.35"/>
  <cols>
    <col min="3" max="3" width="34.54296875" customWidth="1"/>
    <col min="4" max="4" width="17.1796875" bestFit="1" customWidth="1"/>
    <col min="5" max="5" width="9.08984375" bestFit="1" customWidth="1"/>
    <col min="6" max="6" width="20.08984375" bestFit="1" customWidth="1"/>
    <col min="7" max="7" width="14.81640625" bestFit="1" customWidth="1"/>
  </cols>
  <sheetData>
    <row r="1" spans="3:7" ht="15" thickBot="1" x14ac:dyDescent="0.4"/>
    <row r="2" spans="3:7" ht="17.5" thickBot="1" x14ac:dyDescent="0.4">
      <c r="C2" s="233" t="s">
        <v>205</v>
      </c>
      <c r="D2" s="235" t="s">
        <v>206</v>
      </c>
      <c r="E2" s="236"/>
      <c r="F2" s="236"/>
      <c r="G2" s="237"/>
    </row>
    <row r="3" spans="3:7" s="46" customFormat="1" ht="39.5" thickTop="1" x14ac:dyDescent="0.35">
      <c r="C3" s="234"/>
      <c r="D3" s="47" t="s">
        <v>210</v>
      </c>
      <c r="E3" s="48" t="s">
        <v>211</v>
      </c>
      <c r="F3" s="49" t="s">
        <v>212</v>
      </c>
      <c r="G3" s="50" t="s">
        <v>213</v>
      </c>
    </row>
    <row r="4" spans="3:7" ht="19" thickBot="1" x14ac:dyDescent="0.4">
      <c r="C4" s="51" t="s">
        <v>207</v>
      </c>
      <c r="D4" s="45" t="s">
        <v>215</v>
      </c>
      <c r="E4" s="45" t="s">
        <v>214</v>
      </c>
      <c r="F4" s="45" t="s">
        <v>216</v>
      </c>
      <c r="G4" s="52" t="s">
        <v>217</v>
      </c>
    </row>
    <row r="5" spans="3:7" ht="19" thickBot="1" x14ac:dyDescent="0.4">
      <c r="C5" s="51" t="s">
        <v>208</v>
      </c>
      <c r="D5" s="45" t="s">
        <v>215</v>
      </c>
      <c r="E5" s="45" t="s">
        <v>214</v>
      </c>
      <c r="F5" s="45" t="s">
        <v>218</v>
      </c>
      <c r="G5" s="52" t="s">
        <v>219</v>
      </c>
    </row>
    <row r="6" spans="3:7" ht="19" thickBot="1" x14ac:dyDescent="0.4">
      <c r="C6" s="51" t="s">
        <v>209</v>
      </c>
      <c r="D6" s="45" t="s">
        <v>220</v>
      </c>
      <c r="E6" s="45" t="s">
        <v>221</v>
      </c>
      <c r="F6" s="45" t="s">
        <v>222</v>
      </c>
      <c r="G6" s="52" t="s">
        <v>219</v>
      </c>
    </row>
    <row r="7" spans="3:7" ht="19" thickBot="1" x14ac:dyDescent="0.4">
      <c r="C7" s="51" t="s">
        <v>130</v>
      </c>
      <c r="D7" s="45" t="s">
        <v>220</v>
      </c>
      <c r="E7" s="45" t="s">
        <v>221</v>
      </c>
      <c r="F7" s="45" t="s">
        <v>222</v>
      </c>
      <c r="G7" s="52" t="s">
        <v>219</v>
      </c>
    </row>
    <row r="8" spans="3:7" ht="19" thickBot="1" x14ac:dyDescent="0.4">
      <c r="C8" s="53" t="s">
        <v>131</v>
      </c>
      <c r="D8" s="54" t="s">
        <v>223</v>
      </c>
      <c r="E8" s="54" t="s">
        <v>224</v>
      </c>
      <c r="F8" s="54" t="s">
        <v>225</v>
      </c>
      <c r="G8" s="55" t="s">
        <v>219</v>
      </c>
    </row>
    <row r="10" spans="3:7" ht="15" thickBot="1" x14ac:dyDescent="0.4"/>
    <row r="11" spans="3:7" ht="20" thickBot="1" x14ac:dyDescent="0.4">
      <c r="C11" s="233" t="s">
        <v>205</v>
      </c>
      <c r="D11" s="238" t="s">
        <v>206</v>
      </c>
      <c r="E11" s="239"/>
      <c r="F11" s="239"/>
      <c r="G11" s="240"/>
    </row>
    <row r="12" spans="3:7" ht="39.5" thickTop="1" x14ac:dyDescent="0.35">
      <c r="C12" s="234"/>
      <c r="D12" s="47" t="s">
        <v>210</v>
      </c>
      <c r="E12" s="48" t="s">
        <v>211</v>
      </c>
      <c r="F12" s="49" t="s">
        <v>212</v>
      </c>
      <c r="G12" s="50" t="s">
        <v>213</v>
      </c>
    </row>
    <row r="13" spans="3:7" ht="19" thickBot="1" x14ac:dyDescent="0.4">
      <c r="C13" s="51" t="s">
        <v>207</v>
      </c>
      <c r="D13" s="52">
        <f>REDONDEO!AP2</f>
        <v>33</v>
      </c>
      <c r="E13" s="52">
        <f>REDONDEO!AK2</f>
        <v>40</v>
      </c>
      <c r="F13" s="52">
        <f>REDONDEO!AF2</f>
        <v>23</v>
      </c>
      <c r="G13" s="52">
        <f>REDONDEO!AA2</f>
        <v>3</v>
      </c>
    </row>
    <row r="14" spans="3:7" ht="19" thickBot="1" x14ac:dyDescent="0.4">
      <c r="C14" s="51" t="s">
        <v>208</v>
      </c>
      <c r="D14" s="52">
        <f>REDONDEO!AQ2</f>
        <v>60</v>
      </c>
      <c r="E14" s="52">
        <f>REDONDEO!AL2</f>
        <v>37</v>
      </c>
      <c r="F14" s="52">
        <f>REDONDEO!AG2</f>
        <v>0</v>
      </c>
      <c r="G14" s="52">
        <f>REDONDEO!AB2</f>
        <v>3</v>
      </c>
    </row>
    <row r="15" spans="3:7" ht="19" thickBot="1" x14ac:dyDescent="0.4">
      <c r="C15" s="51" t="s">
        <v>209</v>
      </c>
      <c r="D15" s="52">
        <f>REDONDEO!AR2</f>
        <v>77</v>
      </c>
      <c r="E15" s="52">
        <f>REDONDEO!AM2</f>
        <v>20</v>
      </c>
      <c r="F15" s="52">
        <f>REDONDEO!AH2</f>
        <v>0</v>
      </c>
      <c r="G15" s="52">
        <f>REDONDEO!AC2</f>
        <v>3</v>
      </c>
    </row>
    <row r="16" spans="3:7" ht="19" thickBot="1" x14ac:dyDescent="0.4">
      <c r="C16" s="51" t="s">
        <v>130</v>
      </c>
      <c r="D16" s="52">
        <f>REDONDEO!AS2</f>
        <v>73</v>
      </c>
      <c r="E16" s="52">
        <f>REDONDEO!AN2</f>
        <v>23</v>
      </c>
      <c r="F16" s="52">
        <f>REDONDEO!AI2</f>
        <v>0</v>
      </c>
      <c r="G16" s="52">
        <f>REDONDEO!AD2</f>
        <v>3</v>
      </c>
    </row>
    <row r="17" spans="3:7" ht="19" thickBot="1" x14ac:dyDescent="0.4">
      <c r="C17" s="53" t="s">
        <v>131</v>
      </c>
      <c r="D17" s="52">
        <f>REDONDEO!AT2</f>
        <v>67</v>
      </c>
      <c r="E17" s="52">
        <f>REDONDEO!AO2</f>
        <v>33</v>
      </c>
      <c r="F17" s="52">
        <f>REDONDEO!AJ2</f>
        <v>0</v>
      </c>
      <c r="G17" s="52">
        <f>REDONDEO!AE2</f>
        <v>0</v>
      </c>
    </row>
  </sheetData>
  <mergeCells count="4">
    <mergeCell ref="C2:C3"/>
    <mergeCell ref="D2:G2"/>
    <mergeCell ref="C11:C12"/>
    <mergeCell ref="D11:G11"/>
  </mergeCells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75582-0B74-4BEB-8F35-937B3D4A98DB}">
  <dimension ref="A1:DQ48"/>
  <sheetViews>
    <sheetView zoomScaleNormal="100" zoomScaleSheetLayoutView="99" workbookViewId="0">
      <selection sqref="A1:AA46"/>
    </sheetView>
  </sheetViews>
  <sheetFormatPr baseColWidth="10" defaultRowHeight="14.5" x14ac:dyDescent="0.35"/>
  <cols>
    <col min="1" max="1" width="4.1796875" customWidth="1"/>
    <col min="2" max="2" width="4.453125" customWidth="1"/>
    <col min="3" max="5" width="2.90625" bestFit="1" customWidth="1"/>
    <col min="6" max="6" width="3.1796875" customWidth="1"/>
    <col min="7" max="7" width="4.1796875" customWidth="1"/>
    <col min="8" max="8" width="5.08984375" customWidth="1"/>
    <col min="9" max="9" width="2.90625" bestFit="1" customWidth="1"/>
    <col min="10" max="12" width="3.90625" bestFit="1" customWidth="1"/>
    <col min="13" max="13" width="4.36328125" customWidth="1"/>
    <col min="14" max="19" width="3.90625" bestFit="1" customWidth="1"/>
    <col min="20" max="20" width="4.90625" bestFit="1" customWidth="1"/>
    <col min="21" max="25" width="3.90625" bestFit="1" customWidth="1"/>
    <col min="26" max="26" width="8.984375E-2" customWidth="1"/>
    <col min="27" max="27" width="3.90625" hidden="1" customWidth="1"/>
    <col min="28" max="96" width="3.90625" bestFit="1" customWidth="1"/>
    <col min="97" max="115" width="4.90625" bestFit="1" customWidth="1"/>
    <col min="116" max="116" width="3.90625" bestFit="1" customWidth="1"/>
    <col min="117" max="118" width="4.90625" bestFit="1" customWidth="1"/>
  </cols>
  <sheetData>
    <row r="1" spans="1:31" ht="14.5" customHeight="1" x14ac:dyDescent="0.35">
      <c r="A1" s="192"/>
      <c r="B1" s="243" t="s">
        <v>1713</v>
      </c>
      <c r="C1" s="244"/>
      <c r="D1" s="244"/>
      <c r="E1" s="244"/>
      <c r="F1" s="245"/>
      <c r="G1" s="241"/>
      <c r="H1" s="249" t="s">
        <v>1714</v>
      </c>
      <c r="I1" s="250"/>
      <c r="J1" s="250"/>
      <c r="K1" s="250"/>
      <c r="L1" s="251"/>
      <c r="M1" s="241"/>
      <c r="N1" s="255" t="s">
        <v>1715</v>
      </c>
      <c r="O1" s="256"/>
      <c r="P1" s="256"/>
      <c r="Q1" s="256"/>
      <c r="R1" s="257"/>
      <c r="S1" s="242"/>
      <c r="T1" s="261" t="s">
        <v>1716</v>
      </c>
      <c r="U1" s="262"/>
      <c r="V1" s="262"/>
      <c r="W1" s="262"/>
      <c r="X1" s="263"/>
      <c r="Y1" s="241"/>
      <c r="Z1" s="241"/>
      <c r="AA1" s="241"/>
    </row>
    <row r="2" spans="1:31" ht="14.5" customHeight="1" x14ac:dyDescent="0.35">
      <c r="A2" s="192"/>
      <c r="B2" s="246"/>
      <c r="C2" s="247"/>
      <c r="D2" s="247"/>
      <c r="E2" s="247"/>
      <c r="F2" s="248"/>
      <c r="G2" s="241"/>
      <c r="H2" s="252"/>
      <c r="I2" s="253"/>
      <c r="J2" s="253"/>
      <c r="K2" s="253"/>
      <c r="L2" s="254"/>
      <c r="M2" s="241"/>
      <c r="N2" s="258"/>
      <c r="O2" s="259"/>
      <c r="P2" s="259"/>
      <c r="Q2" s="259"/>
      <c r="R2" s="260"/>
      <c r="S2" s="242"/>
      <c r="T2" s="264"/>
      <c r="U2" s="265"/>
      <c r="V2" s="265"/>
      <c r="W2" s="265"/>
      <c r="X2" s="266"/>
      <c r="Y2" s="241"/>
      <c r="Z2" s="241"/>
      <c r="AA2" s="241"/>
    </row>
    <row r="3" spans="1:31" ht="14.5" customHeight="1" x14ac:dyDescent="0.35">
      <c r="A3" s="192"/>
      <c r="B3" s="246"/>
      <c r="C3" s="247"/>
      <c r="D3" s="247"/>
      <c r="E3" s="247"/>
      <c r="F3" s="248"/>
      <c r="G3" s="241"/>
      <c r="H3" s="252"/>
      <c r="I3" s="253"/>
      <c r="J3" s="253"/>
      <c r="K3" s="253"/>
      <c r="L3" s="254"/>
      <c r="M3" s="241"/>
      <c r="N3" s="258"/>
      <c r="O3" s="259"/>
      <c r="P3" s="259"/>
      <c r="Q3" s="259"/>
      <c r="R3" s="260"/>
      <c r="S3" s="242"/>
      <c r="T3" s="264"/>
      <c r="U3" s="265"/>
      <c r="V3" s="265"/>
      <c r="W3" s="265"/>
      <c r="X3" s="266"/>
      <c r="Y3" s="241"/>
      <c r="Z3" s="241"/>
      <c r="AA3" s="241"/>
    </row>
    <row r="4" spans="1:31" ht="17" x14ac:dyDescent="0.5">
      <c r="A4" s="192"/>
      <c r="B4" s="146" t="s">
        <v>1712</v>
      </c>
      <c r="C4" s="147" t="s">
        <v>330</v>
      </c>
      <c r="D4" s="147" t="s">
        <v>333</v>
      </c>
      <c r="E4" s="147" t="s">
        <v>331</v>
      </c>
      <c r="F4" s="148" t="s">
        <v>332</v>
      </c>
      <c r="G4" s="241"/>
      <c r="H4" s="149" t="s">
        <v>1712</v>
      </c>
      <c r="I4" s="150" t="s">
        <v>330</v>
      </c>
      <c r="J4" s="150" t="s">
        <v>333</v>
      </c>
      <c r="K4" s="150" t="s">
        <v>331</v>
      </c>
      <c r="L4" s="151" t="s">
        <v>332</v>
      </c>
      <c r="M4" s="241"/>
      <c r="N4" s="152" t="s">
        <v>1712</v>
      </c>
      <c r="O4" s="153" t="s">
        <v>330</v>
      </c>
      <c r="P4" s="153" t="s">
        <v>333</v>
      </c>
      <c r="Q4" s="153" t="s">
        <v>331</v>
      </c>
      <c r="R4" s="154" t="s">
        <v>332</v>
      </c>
      <c r="S4" s="242"/>
      <c r="T4" s="155" t="s">
        <v>1712</v>
      </c>
      <c r="U4" s="156" t="s">
        <v>330</v>
      </c>
      <c r="V4" s="156" t="s">
        <v>333</v>
      </c>
      <c r="W4" s="156" t="s">
        <v>331</v>
      </c>
      <c r="X4" s="157" t="s">
        <v>332</v>
      </c>
      <c r="Y4" s="241"/>
      <c r="Z4" s="241"/>
      <c r="AA4" s="241"/>
    </row>
    <row r="5" spans="1:31" x14ac:dyDescent="0.35">
      <c r="A5" s="192"/>
      <c r="B5" s="158" t="str">
        <f t="array" ref="B5:B29">TRANSPOSE(in!EC1:FA1)</f>
        <v>R1</v>
      </c>
      <c r="C5" s="128">
        <f t="array" ref="C5:F29">TRANSPOSE(in!EC33:FA36)</f>
        <v>7</v>
      </c>
      <c r="D5" s="128">
        <v>3</v>
      </c>
      <c r="E5" s="127">
        <v>83</v>
      </c>
      <c r="F5" s="128">
        <v>7</v>
      </c>
      <c r="G5" s="241"/>
      <c r="H5" s="159" t="str">
        <f t="array" ref="H5:H45">TRANSPOSE(in!FB1:GP1)</f>
        <v>R26</v>
      </c>
      <c r="I5" s="127">
        <f t="array" ref="I5:L45">TRANSPOSE(in!FB33:GP36)</f>
        <v>47</v>
      </c>
      <c r="J5" s="128">
        <v>10</v>
      </c>
      <c r="K5" s="128">
        <v>7</v>
      </c>
      <c r="L5" s="128">
        <v>37</v>
      </c>
      <c r="M5" s="241"/>
      <c r="N5" s="160" t="str">
        <f t="array" ref="N5:N29">TRANSPOSE(in!GQ1:HO1)</f>
        <v>R67</v>
      </c>
      <c r="O5" s="128">
        <f t="array" ref="O5:R29">TRANSPOSE(in!GQ33:HO36)</f>
        <v>3</v>
      </c>
      <c r="P5" s="127">
        <v>27</v>
      </c>
      <c r="Q5" s="128">
        <v>43</v>
      </c>
      <c r="R5" s="128">
        <v>27</v>
      </c>
      <c r="S5" s="242"/>
      <c r="T5" s="161" t="str">
        <f t="array" ref="T5:T33">TRANSPOSE(in!HP1:IR1)</f>
        <v>R93</v>
      </c>
      <c r="U5" s="128">
        <f t="array" ref="U5:X33">TRANSPOSE(in!HP33:IR36)</f>
        <v>7</v>
      </c>
      <c r="V5" s="127">
        <v>60</v>
      </c>
      <c r="W5" s="128">
        <v>27</v>
      </c>
      <c r="X5" s="128">
        <v>7</v>
      </c>
      <c r="Y5" s="241"/>
      <c r="Z5" s="241"/>
      <c r="AA5" s="241"/>
    </row>
    <row r="6" spans="1:31" x14ac:dyDescent="0.35">
      <c r="A6" s="192"/>
      <c r="B6" s="158" t="str">
        <v>R2</v>
      </c>
      <c r="C6" s="128">
        <v>17</v>
      </c>
      <c r="D6" s="127">
        <v>70</v>
      </c>
      <c r="E6" s="128">
        <v>13</v>
      </c>
      <c r="F6" s="128">
        <v>0</v>
      </c>
      <c r="G6" s="241"/>
      <c r="H6" s="159" t="str">
        <v>R27</v>
      </c>
      <c r="I6" s="128">
        <v>33</v>
      </c>
      <c r="J6" s="127">
        <v>23</v>
      </c>
      <c r="K6" s="128">
        <v>20</v>
      </c>
      <c r="L6" s="128">
        <v>23</v>
      </c>
      <c r="M6" s="241"/>
      <c r="N6" s="160" t="str">
        <v>R68</v>
      </c>
      <c r="O6" s="127">
        <v>33</v>
      </c>
      <c r="P6" s="128">
        <v>33</v>
      </c>
      <c r="Q6" s="128">
        <v>27</v>
      </c>
      <c r="R6" s="128">
        <v>7</v>
      </c>
      <c r="S6" s="242"/>
      <c r="T6" s="161" t="str">
        <v>R94</v>
      </c>
      <c r="U6" s="128">
        <v>27</v>
      </c>
      <c r="V6" s="128">
        <v>23</v>
      </c>
      <c r="W6" s="127">
        <v>30</v>
      </c>
      <c r="X6" s="128">
        <v>20</v>
      </c>
      <c r="Y6" s="241"/>
      <c r="Z6" s="241"/>
      <c r="AA6" s="241"/>
    </row>
    <row r="7" spans="1:31" x14ac:dyDescent="0.35">
      <c r="A7" s="192"/>
      <c r="B7" s="158" t="str">
        <v>R3</v>
      </c>
      <c r="C7" s="128">
        <v>20</v>
      </c>
      <c r="D7" s="127">
        <v>33</v>
      </c>
      <c r="E7" s="128">
        <v>23</v>
      </c>
      <c r="F7" s="128">
        <v>23</v>
      </c>
      <c r="G7" s="241"/>
      <c r="H7" s="159" t="str">
        <v>R28</v>
      </c>
      <c r="I7" s="128">
        <v>37</v>
      </c>
      <c r="J7" s="128">
        <v>20</v>
      </c>
      <c r="K7" s="127">
        <v>37</v>
      </c>
      <c r="L7" s="128">
        <v>7</v>
      </c>
      <c r="M7" s="241"/>
      <c r="N7" s="160" t="str">
        <v>R69</v>
      </c>
      <c r="O7" s="127">
        <v>60</v>
      </c>
      <c r="P7" s="128">
        <v>23</v>
      </c>
      <c r="Q7" s="128">
        <v>10</v>
      </c>
      <c r="R7" s="128">
        <v>7</v>
      </c>
      <c r="S7" s="242"/>
      <c r="T7" s="161" t="str">
        <v>R95</v>
      </c>
      <c r="U7" s="127">
        <v>40</v>
      </c>
      <c r="V7" s="128">
        <v>7</v>
      </c>
      <c r="W7" s="128">
        <v>40</v>
      </c>
      <c r="X7" s="128">
        <v>13</v>
      </c>
      <c r="Y7" s="241"/>
      <c r="Z7" s="241"/>
      <c r="AA7" s="241"/>
    </row>
    <row r="8" spans="1:31" x14ac:dyDescent="0.35">
      <c r="A8" s="192"/>
      <c r="B8" s="158" t="str">
        <v>R4</v>
      </c>
      <c r="C8" s="128">
        <v>40</v>
      </c>
      <c r="D8" s="127">
        <v>23</v>
      </c>
      <c r="E8" s="128">
        <v>27</v>
      </c>
      <c r="F8" s="128">
        <v>10</v>
      </c>
      <c r="G8" s="241"/>
      <c r="H8" s="159" t="str">
        <v>R29</v>
      </c>
      <c r="I8" s="128">
        <v>13</v>
      </c>
      <c r="J8" s="128">
        <v>7</v>
      </c>
      <c r="K8" s="127">
        <v>67</v>
      </c>
      <c r="L8" s="128">
        <v>13</v>
      </c>
      <c r="M8" s="241"/>
      <c r="N8" s="160" t="str">
        <v>R70</v>
      </c>
      <c r="O8" s="128">
        <v>50</v>
      </c>
      <c r="P8" s="128">
        <v>20</v>
      </c>
      <c r="Q8" s="127">
        <v>27</v>
      </c>
      <c r="R8" s="128">
        <v>3</v>
      </c>
      <c r="S8" s="242"/>
      <c r="T8" s="161" t="str">
        <v>R96</v>
      </c>
      <c r="U8" s="128">
        <v>33</v>
      </c>
      <c r="V8" s="128">
        <v>33</v>
      </c>
      <c r="W8" s="127">
        <v>30</v>
      </c>
      <c r="X8" s="128">
        <v>3</v>
      </c>
      <c r="Y8" s="241"/>
      <c r="Z8" s="241"/>
      <c r="AA8" s="241"/>
    </row>
    <row r="9" spans="1:31" x14ac:dyDescent="0.35">
      <c r="A9" s="192"/>
      <c r="B9" s="158" t="str">
        <v>R5</v>
      </c>
      <c r="C9" s="128">
        <v>10</v>
      </c>
      <c r="D9" s="128">
        <v>13</v>
      </c>
      <c r="E9" s="127">
        <v>20</v>
      </c>
      <c r="F9" s="128">
        <v>57</v>
      </c>
      <c r="G9" s="241"/>
      <c r="H9" s="159" t="str">
        <v>R30</v>
      </c>
      <c r="I9" s="128">
        <v>23</v>
      </c>
      <c r="J9" s="128">
        <v>17</v>
      </c>
      <c r="K9" s="127">
        <v>53</v>
      </c>
      <c r="L9" s="128">
        <v>7</v>
      </c>
      <c r="M9" s="241"/>
      <c r="N9" s="160" t="str">
        <v>R71</v>
      </c>
      <c r="O9" s="128">
        <v>13</v>
      </c>
      <c r="P9" s="128">
        <v>0</v>
      </c>
      <c r="Q9" s="128">
        <v>50</v>
      </c>
      <c r="R9" s="127">
        <v>37</v>
      </c>
      <c r="S9" s="242"/>
      <c r="T9" s="161" t="str">
        <v>R97</v>
      </c>
      <c r="U9" s="128">
        <v>20</v>
      </c>
      <c r="V9" s="128">
        <v>30</v>
      </c>
      <c r="W9" s="128">
        <v>33</v>
      </c>
      <c r="X9" s="127">
        <v>17</v>
      </c>
      <c r="Y9" s="241"/>
      <c r="Z9" s="241"/>
      <c r="AA9" s="241"/>
      <c r="AE9" s="145"/>
    </row>
    <row r="10" spans="1:31" x14ac:dyDescent="0.35">
      <c r="A10" s="192"/>
      <c r="B10" s="158" t="str">
        <v>R6</v>
      </c>
      <c r="C10" s="128">
        <v>37</v>
      </c>
      <c r="D10" s="127">
        <v>53</v>
      </c>
      <c r="E10" s="128">
        <v>7</v>
      </c>
      <c r="F10" s="128">
        <v>3</v>
      </c>
      <c r="G10" s="241"/>
      <c r="H10" s="159" t="str">
        <v>R31</v>
      </c>
      <c r="I10" s="128">
        <v>13</v>
      </c>
      <c r="J10" s="128">
        <v>20</v>
      </c>
      <c r="K10" s="127">
        <v>50</v>
      </c>
      <c r="L10" s="128">
        <v>17</v>
      </c>
      <c r="M10" s="241"/>
      <c r="N10" s="160" t="str">
        <v>R72</v>
      </c>
      <c r="O10" s="127">
        <v>30</v>
      </c>
      <c r="P10" s="128">
        <v>27</v>
      </c>
      <c r="Q10" s="128">
        <v>40</v>
      </c>
      <c r="R10" s="128">
        <v>3</v>
      </c>
      <c r="S10" s="242"/>
      <c r="T10" s="161" t="str">
        <v>R98</v>
      </c>
      <c r="U10" s="128">
        <v>20</v>
      </c>
      <c r="V10" s="127">
        <v>17</v>
      </c>
      <c r="W10" s="128">
        <v>50</v>
      </c>
      <c r="X10" s="128">
        <v>10</v>
      </c>
      <c r="Y10" s="241"/>
      <c r="Z10" s="241"/>
      <c r="AA10" s="241"/>
    </row>
    <row r="11" spans="1:31" x14ac:dyDescent="0.35">
      <c r="A11" s="192"/>
      <c r="B11" s="158" t="str">
        <v>R7</v>
      </c>
      <c r="C11" s="128">
        <v>53</v>
      </c>
      <c r="D11" s="128">
        <v>3</v>
      </c>
      <c r="E11" s="128">
        <v>37</v>
      </c>
      <c r="F11" s="127">
        <v>7</v>
      </c>
      <c r="G11" s="241"/>
      <c r="H11" s="159" t="str">
        <v>R32</v>
      </c>
      <c r="I11" s="128">
        <v>27</v>
      </c>
      <c r="J11" s="128">
        <v>7</v>
      </c>
      <c r="K11" s="128">
        <v>27</v>
      </c>
      <c r="L11" s="127">
        <v>40</v>
      </c>
      <c r="M11" s="241"/>
      <c r="N11" s="160" t="str">
        <v>R73</v>
      </c>
      <c r="O11" s="128">
        <v>20</v>
      </c>
      <c r="P11" s="128">
        <v>27</v>
      </c>
      <c r="Q11" s="127">
        <v>17</v>
      </c>
      <c r="R11" s="128">
        <v>37</v>
      </c>
      <c r="S11" s="242"/>
      <c r="T11" s="161" t="str">
        <v>R99</v>
      </c>
      <c r="U11" s="127">
        <v>50</v>
      </c>
      <c r="V11" s="128">
        <v>33</v>
      </c>
      <c r="W11" s="128">
        <v>13</v>
      </c>
      <c r="X11" s="128">
        <v>3</v>
      </c>
      <c r="Y11" s="241"/>
      <c r="Z11" s="241"/>
      <c r="AA11" s="241"/>
    </row>
    <row r="12" spans="1:31" x14ac:dyDescent="0.35">
      <c r="A12" s="192"/>
      <c r="B12" s="158" t="str">
        <v>R8</v>
      </c>
      <c r="C12" s="128">
        <v>3</v>
      </c>
      <c r="D12" s="128">
        <v>20</v>
      </c>
      <c r="E12" s="127">
        <v>47</v>
      </c>
      <c r="F12" s="128">
        <v>30</v>
      </c>
      <c r="G12" s="241"/>
      <c r="H12" s="159" t="str">
        <v>R33</v>
      </c>
      <c r="I12" s="128">
        <v>10</v>
      </c>
      <c r="J12" s="128">
        <v>33</v>
      </c>
      <c r="K12" s="127">
        <v>37</v>
      </c>
      <c r="L12" s="128">
        <v>20</v>
      </c>
      <c r="M12" s="241"/>
      <c r="N12" s="160" t="str">
        <v>R74</v>
      </c>
      <c r="O12" s="128">
        <v>20</v>
      </c>
      <c r="P12" s="127">
        <v>60</v>
      </c>
      <c r="Q12" s="128">
        <v>13</v>
      </c>
      <c r="R12" s="128">
        <v>7</v>
      </c>
      <c r="S12" s="242"/>
      <c r="T12" s="161" t="str">
        <v>R100</v>
      </c>
      <c r="U12" s="127">
        <v>23</v>
      </c>
      <c r="V12" s="128">
        <v>37</v>
      </c>
      <c r="W12" s="128">
        <v>13</v>
      </c>
      <c r="X12" s="128">
        <v>27</v>
      </c>
      <c r="Y12" s="241"/>
      <c r="Z12" s="241"/>
      <c r="AA12" s="241"/>
    </row>
    <row r="13" spans="1:31" x14ac:dyDescent="0.35">
      <c r="A13" s="192"/>
      <c r="B13" s="158" t="str">
        <v>R9</v>
      </c>
      <c r="C13" s="128">
        <v>13</v>
      </c>
      <c r="D13" s="127">
        <v>63</v>
      </c>
      <c r="E13" s="128">
        <v>13</v>
      </c>
      <c r="F13" s="128">
        <v>10</v>
      </c>
      <c r="G13" s="241"/>
      <c r="H13" s="159" t="str">
        <v>R34</v>
      </c>
      <c r="I13" s="128">
        <v>23</v>
      </c>
      <c r="J13" s="128">
        <v>13</v>
      </c>
      <c r="K13" s="128">
        <v>30</v>
      </c>
      <c r="L13" s="127">
        <v>33</v>
      </c>
      <c r="M13" s="241"/>
      <c r="N13" s="160" t="str">
        <v>R75</v>
      </c>
      <c r="O13" s="128">
        <v>33</v>
      </c>
      <c r="P13" s="127">
        <v>20</v>
      </c>
      <c r="Q13" s="128">
        <v>30</v>
      </c>
      <c r="R13" s="128">
        <v>17</v>
      </c>
      <c r="S13" s="242"/>
      <c r="T13" s="161" t="str">
        <v>R104</v>
      </c>
      <c r="U13" s="128">
        <v>20</v>
      </c>
      <c r="V13" s="127">
        <v>40</v>
      </c>
      <c r="W13" s="128">
        <v>27</v>
      </c>
      <c r="X13" s="128">
        <v>13</v>
      </c>
      <c r="Y13" s="241"/>
      <c r="Z13" s="241"/>
      <c r="AA13" s="241"/>
    </row>
    <row r="14" spans="1:31" x14ac:dyDescent="0.35">
      <c r="A14" s="192"/>
      <c r="B14" s="158" t="str">
        <v>R10</v>
      </c>
      <c r="C14" s="128">
        <v>27</v>
      </c>
      <c r="D14" s="128">
        <v>37</v>
      </c>
      <c r="E14" s="127">
        <v>30</v>
      </c>
      <c r="F14" s="128">
        <v>7</v>
      </c>
      <c r="G14" s="241"/>
      <c r="H14" s="159" t="str">
        <v>R35</v>
      </c>
      <c r="I14" s="127">
        <v>77</v>
      </c>
      <c r="J14" s="128">
        <v>10</v>
      </c>
      <c r="K14" s="128">
        <v>7</v>
      </c>
      <c r="L14" s="128">
        <v>7</v>
      </c>
      <c r="M14" s="241"/>
      <c r="N14" s="160" t="str">
        <v>R76</v>
      </c>
      <c r="O14" s="128">
        <v>33</v>
      </c>
      <c r="P14" s="128">
        <v>20</v>
      </c>
      <c r="Q14" s="127">
        <v>27</v>
      </c>
      <c r="R14" s="128">
        <v>20</v>
      </c>
      <c r="S14" s="242"/>
      <c r="T14" s="161" t="str">
        <v>R110</v>
      </c>
      <c r="U14" s="128">
        <v>23</v>
      </c>
      <c r="V14" s="128">
        <v>7</v>
      </c>
      <c r="W14" s="127">
        <v>57</v>
      </c>
      <c r="X14" s="128">
        <v>13</v>
      </c>
      <c r="Y14" s="241"/>
      <c r="Z14" s="241"/>
      <c r="AA14" s="241"/>
    </row>
    <row r="15" spans="1:31" x14ac:dyDescent="0.35">
      <c r="A15" s="192"/>
      <c r="B15" s="158" t="str">
        <v>R11</v>
      </c>
      <c r="C15" s="128">
        <v>13</v>
      </c>
      <c r="D15" s="128">
        <v>40</v>
      </c>
      <c r="E15" s="127">
        <v>33</v>
      </c>
      <c r="F15" s="128">
        <v>13</v>
      </c>
      <c r="G15" s="241"/>
      <c r="H15" s="159" t="str">
        <v>R36</v>
      </c>
      <c r="I15" s="128">
        <v>10</v>
      </c>
      <c r="J15" s="128">
        <v>3</v>
      </c>
      <c r="K15" s="128">
        <v>20</v>
      </c>
      <c r="L15" s="127">
        <v>67</v>
      </c>
      <c r="M15" s="241"/>
      <c r="N15" s="160" t="str">
        <v>R77</v>
      </c>
      <c r="O15" s="127">
        <v>60</v>
      </c>
      <c r="P15" s="128">
        <v>10</v>
      </c>
      <c r="Q15" s="128">
        <v>10</v>
      </c>
      <c r="R15" s="128">
        <v>20</v>
      </c>
      <c r="S15" s="242"/>
      <c r="T15" s="161" t="str">
        <v>R111</v>
      </c>
      <c r="U15" s="128">
        <v>53</v>
      </c>
      <c r="V15" s="127">
        <v>17</v>
      </c>
      <c r="W15" s="128">
        <v>7</v>
      </c>
      <c r="X15" s="128">
        <v>23</v>
      </c>
      <c r="Y15" s="241"/>
      <c r="Z15" s="241"/>
      <c r="AA15" s="241"/>
    </row>
    <row r="16" spans="1:31" x14ac:dyDescent="0.35">
      <c r="A16" s="192"/>
      <c r="B16" s="158" t="str">
        <v>R12</v>
      </c>
      <c r="C16" s="128">
        <v>0</v>
      </c>
      <c r="D16" s="128">
        <v>0</v>
      </c>
      <c r="E16" s="127">
        <v>40</v>
      </c>
      <c r="F16" s="128">
        <v>60</v>
      </c>
      <c r="G16" s="241"/>
      <c r="H16" s="159" t="str">
        <v>R37</v>
      </c>
      <c r="I16" s="127">
        <v>47</v>
      </c>
      <c r="J16" s="128">
        <v>33</v>
      </c>
      <c r="K16" s="128">
        <v>13</v>
      </c>
      <c r="L16" s="128">
        <v>7</v>
      </c>
      <c r="M16" s="241"/>
      <c r="N16" s="160" t="str">
        <v>R78</v>
      </c>
      <c r="O16" s="128">
        <v>13</v>
      </c>
      <c r="P16" s="128">
        <v>47</v>
      </c>
      <c r="Q16" s="128">
        <v>7</v>
      </c>
      <c r="R16" s="127">
        <v>33</v>
      </c>
      <c r="S16" s="242"/>
      <c r="T16" s="161" t="str">
        <v>R112</v>
      </c>
      <c r="U16" s="128">
        <v>30</v>
      </c>
      <c r="V16" s="128">
        <v>13</v>
      </c>
      <c r="W16" s="127">
        <v>33</v>
      </c>
      <c r="X16" s="128">
        <v>20</v>
      </c>
      <c r="Y16" s="241"/>
      <c r="Z16" s="241"/>
      <c r="AA16" s="241"/>
    </row>
    <row r="17" spans="1:27" x14ac:dyDescent="0.35">
      <c r="A17" s="192"/>
      <c r="B17" s="158" t="str">
        <v>R13</v>
      </c>
      <c r="C17" s="128">
        <v>33</v>
      </c>
      <c r="D17" s="128">
        <v>7</v>
      </c>
      <c r="E17" s="128">
        <v>13</v>
      </c>
      <c r="F17" s="127">
        <v>47</v>
      </c>
      <c r="G17" s="241"/>
      <c r="H17" s="159" t="str">
        <v>R38</v>
      </c>
      <c r="I17" s="128">
        <v>27</v>
      </c>
      <c r="J17" s="128">
        <v>27</v>
      </c>
      <c r="K17" s="128">
        <v>37</v>
      </c>
      <c r="L17" s="127">
        <v>10</v>
      </c>
      <c r="M17" s="241"/>
      <c r="N17" s="160" t="str">
        <v>R79</v>
      </c>
      <c r="O17" s="128">
        <v>30</v>
      </c>
      <c r="P17" s="128">
        <v>40</v>
      </c>
      <c r="Q17" s="128">
        <v>13</v>
      </c>
      <c r="R17" s="127">
        <v>17</v>
      </c>
      <c r="S17" s="242"/>
      <c r="T17" s="162" t="str">
        <v>R102</v>
      </c>
      <c r="U17" s="128">
        <v>23</v>
      </c>
      <c r="V17" s="127">
        <v>37</v>
      </c>
      <c r="W17" s="128">
        <v>37</v>
      </c>
      <c r="X17" s="128">
        <v>3</v>
      </c>
      <c r="Y17" s="241"/>
      <c r="Z17" s="241"/>
      <c r="AA17" s="241"/>
    </row>
    <row r="18" spans="1:27" x14ac:dyDescent="0.35">
      <c r="A18" s="192"/>
      <c r="B18" s="158" t="str">
        <v>R14</v>
      </c>
      <c r="C18" s="127">
        <v>10</v>
      </c>
      <c r="D18" s="128">
        <v>3</v>
      </c>
      <c r="E18" s="128">
        <v>70</v>
      </c>
      <c r="F18" s="128">
        <v>17</v>
      </c>
      <c r="G18" s="241"/>
      <c r="H18" s="159" t="str">
        <v>R39</v>
      </c>
      <c r="I18" s="128">
        <v>17</v>
      </c>
      <c r="J18" s="128">
        <v>33</v>
      </c>
      <c r="K18" s="127">
        <v>47</v>
      </c>
      <c r="L18" s="128">
        <v>3</v>
      </c>
      <c r="M18" s="241"/>
      <c r="N18" s="160" t="str">
        <v>R80</v>
      </c>
      <c r="O18" s="127">
        <v>43</v>
      </c>
      <c r="P18" s="128">
        <v>17</v>
      </c>
      <c r="Q18" s="128">
        <v>30</v>
      </c>
      <c r="R18" s="128">
        <v>10</v>
      </c>
      <c r="S18" s="242"/>
      <c r="T18" s="162" t="str">
        <v>R114</v>
      </c>
      <c r="U18" s="128">
        <v>27</v>
      </c>
      <c r="V18" s="127">
        <v>40</v>
      </c>
      <c r="W18" s="128">
        <v>17</v>
      </c>
      <c r="X18" s="128">
        <v>17</v>
      </c>
      <c r="Y18" s="241"/>
      <c r="Z18" s="241"/>
      <c r="AA18" s="241"/>
    </row>
    <row r="19" spans="1:27" x14ac:dyDescent="0.35">
      <c r="A19" s="192"/>
      <c r="B19" s="158" t="str">
        <v>R15</v>
      </c>
      <c r="C19" s="128">
        <v>23</v>
      </c>
      <c r="D19" s="127">
        <v>40</v>
      </c>
      <c r="E19" s="128">
        <v>13</v>
      </c>
      <c r="F19" s="128">
        <v>23</v>
      </c>
      <c r="G19" s="241"/>
      <c r="H19" s="159" t="str">
        <v>R40</v>
      </c>
      <c r="I19" s="128">
        <v>10</v>
      </c>
      <c r="J19" s="128">
        <v>3</v>
      </c>
      <c r="K19" s="127">
        <v>57</v>
      </c>
      <c r="L19" s="128">
        <v>30</v>
      </c>
      <c r="M19" s="241"/>
      <c r="N19" s="160" t="str">
        <v>R81</v>
      </c>
      <c r="O19" s="127">
        <v>33</v>
      </c>
      <c r="P19" s="128">
        <v>30</v>
      </c>
      <c r="Q19" s="128">
        <v>23</v>
      </c>
      <c r="R19" s="128">
        <v>13</v>
      </c>
      <c r="S19" s="242"/>
      <c r="T19" s="162" t="str">
        <v>R115</v>
      </c>
      <c r="U19" s="127">
        <v>30</v>
      </c>
      <c r="V19" s="128">
        <v>23</v>
      </c>
      <c r="W19" s="128">
        <v>27</v>
      </c>
      <c r="X19" s="128">
        <v>20</v>
      </c>
      <c r="Y19" s="241"/>
      <c r="Z19" s="241"/>
      <c r="AA19" s="241"/>
    </row>
    <row r="20" spans="1:27" x14ac:dyDescent="0.35">
      <c r="A20" s="192"/>
      <c r="B20" s="158" t="str">
        <v>R16</v>
      </c>
      <c r="C20" s="128">
        <v>33</v>
      </c>
      <c r="D20" s="128">
        <v>10</v>
      </c>
      <c r="E20" s="127">
        <v>33</v>
      </c>
      <c r="F20" s="128">
        <v>23</v>
      </c>
      <c r="G20" s="241"/>
      <c r="H20" s="159" t="str">
        <v>R41</v>
      </c>
      <c r="I20" s="128">
        <v>33</v>
      </c>
      <c r="J20" s="128">
        <v>13</v>
      </c>
      <c r="K20" s="128">
        <v>7</v>
      </c>
      <c r="L20" s="127">
        <v>47</v>
      </c>
      <c r="M20" s="241"/>
      <c r="N20" s="160" t="str">
        <v>R82</v>
      </c>
      <c r="O20" s="128">
        <v>43</v>
      </c>
      <c r="P20" s="128">
        <v>27</v>
      </c>
      <c r="Q20" s="127">
        <v>17</v>
      </c>
      <c r="R20" s="128">
        <v>13</v>
      </c>
      <c r="S20" s="242"/>
      <c r="T20" s="162" t="str">
        <v>R116</v>
      </c>
      <c r="U20" s="127">
        <v>37</v>
      </c>
      <c r="V20" s="128">
        <v>27</v>
      </c>
      <c r="W20" s="128">
        <v>27</v>
      </c>
      <c r="X20" s="128">
        <v>10</v>
      </c>
      <c r="Y20" s="241"/>
      <c r="Z20" s="241"/>
      <c r="AA20" s="241"/>
    </row>
    <row r="21" spans="1:27" x14ac:dyDescent="0.35">
      <c r="A21" s="192"/>
      <c r="B21" s="158" t="str">
        <v>R17</v>
      </c>
      <c r="C21" s="128">
        <v>60</v>
      </c>
      <c r="D21" s="128">
        <v>10</v>
      </c>
      <c r="E21" s="128">
        <v>13</v>
      </c>
      <c r="F21" s="127">
        <v>17</v>
      </c>
      <c r="G21" s="241"/>
      <c r="H21" s="159" t="str">
        <v>R42</v>
      </c>
      <c r="I21" s="128">
        <v>17</v>
      </c>
      <c r="J21" s="128">
        <v>17</v>
      </c>
      <c r="K21" s="128">
        <v>33</v>
      </c>
      <c r="L21" s="127">
        <v>33</v>
      </c>
      <c r="M21" s="241"/>
      <c r="N21" s="160" t="str">
        <v>R83</v>
      </c>
      <c r="O21" s="128">
        <v>30</v>
      </c>
      <c r="P21" s="128">
        <v>13</v>
      </c>
      <c r="Q21" s="127">
        <v>40</v>
      </c>
      <c r="R21" s="128">
        <v>17</v>
      </c>
      <c r="S21" s="242"/>
      <c r="T21" s="162" t="str">
        <v>R118</v>
      </c>
      <c r="U21" s="128">
        <v>3</v>
      </c>
      <c r="V21" s="127">
        <v>83</v>
      </c>
      <c r="W21" s="128">
        <v>7</v>
      </c>
      <c r="X21" s="128">
        <v>7</v>
      </c>
      <c r="Y21" s="241"/>
      <c r="Z21" s="241"/>
      <c r="AA21" s="241"/>
    </row>
    <row r="22" spans="1:27" x14ac:dyDescent="0.35">
      <c r="A22" s="192"/>
      <c r="B22" s="158" t="str">
        <v>R18</v>
      </c>
      <c r="C22" s="128">
        <v>17</v>
      </c>
      <c r="D22" s="128">
        <v>30</v>
      </c>
      <c r="E22" s="127">
        <v>17</v>
      </c>
      <c r="F22" s="128">
        <v>37</v>
      </c>
      <c r="G22" s="241"/>
      <c r="H22" s="159" t="str">
        <v>R43</v>
      </c>
      <c r="I22" s="128">
        <v>23</v>
      </c>
      <c r="J22" s="128">
        <v>20</v>
      </c>
      <c r="K22" s="128">
        <v>37</v>
      </c>
      <c r="L22" s="127">
        <v>20</v>
      </c>
      <c r="M22" s="241"/>
      <c r="N22" s="160" t="str">
        <v>R84</v>
      </c>
      <c r="O22" s="128">
        <v>17</v>
      </c>
      <c r="P22" s="127">
        <v>43</v>
      </c>
      <c r="Q22" s="128">
        <v>30</v>
      </c>
      <c r="R22" s="128">
        <v>10</v>
      </c>
      <c r="S22" s="242"/>
      <c r="T22" s="162" t="str">
        <v>R119</v>
      </c>
      <c r="U22" s="128">
        <v>23</v>
      </c>
      <c r="V22" s="128">
        <v>23</v>
      </c>
      <c r="W22" s="127">
        <v>50</v>
      </c>
      <c r="X22" s="128">
        <v>3</v>
      </c>
      <c r="Y22" s="241"/>
      <c r="Z22" s="241"/>
      <c r="AA22" s="241"/>
    </row>
    <row r="23" spans="1:27" x14ac:dyDescent="0.35">
      <c r="A23" s="192"/>
      <c r="B23" s="158" t="str">
        <v>R19</v>
      </c>
      <c r="C23" s="128">
        <v>7</v>
      </c>
      <c r="D23" s="128">
        <v>10</v>
      </c>
      <c r="E23" s="128">
        <v>17</v>
      </c>
      <c r="F23" s="127">
        <v>67</v>
      </c>
      <c r="G23" s="241"/>
      <c r="H23" s="159" t="str">
        <v>R44</v>
      </c>
      <c r="I23" s="128">
        <v>7</v>
      </c>
      <c r="J23" s="127">
        <v>33</v>
      </c>
      <c r="K23" s="128">
        <v>47</v>
      </c>
      <c r="L23" s="128">
        <v>13</v>
      </c>
      <c r="M23" s="241"/>
      <c r="N23" s="160" t="str">
        <v>R85</v>
      </c>
      <c r="O23" s="128">
        <v>10</v>
      </c>
      <c r="P23" s="127">
        <v>40</v>
      </c>
      <c r="Q23" s="128">
        <v>33</v>
      </c>
      <c r="R23" s="128">
        <v>17</v>
      </c>
      <c r="S23" s="242"/>
      <c r="T23" s="163" t="str">
        <v>R101</v>
      </c>
      <c r="U23" s="127">
        <v>20</v>
      </c>
      <c r="V23" s="128">
        <v>23</v>
      </c>
      <c r="W23" s="128">
        <v>50</v>
      </c>
      <c r="X23" s="128">
        <v>7</v>
      </c>
      <c r="Y23" s="241"/>
      <c r="Z23" s="241"/>
      <c r="AA23" s="241"/>
    </row>
    <row r="24" spans="1:27" x14ac:dyDescent="0.35">
      <c r="A24" s="192"/>
      <c r="B24" s="158" t="str">
        <v>R20</v>
      </c>
      <c r="C24" s="128">
        <v>50</v>
      </c>
      <c r="D24" s="128">
        <v>0</v>
      </c>
      <c r="E24" s="128">
        <v>7</v>
      </c>
      <c r="F24" s="127">
        <v>43</v>
      </c>
      <c r="G24" s="241"/>
      <c r="H24" s="159" t="str">
        <v>R45</v>
      </c>
      <c r="I24" s="128">
        <v>13</v>
      </c>
      <c r="J24" s="128">
        <v>23</v>
      </c>
      <c r="K24" s="128">
        <v>27</v>
      </c>
      <c r="L24" s="127">
        <v>33</v>
      </c>
      <c r="M24" s="241"/>
      <c r="N24" s="160" t="str">
        <v>R86</v>
      </c>
      <c r="O24" s="128">
        <v>20</v>
      </c>
      <c r="P24" s="128">
        <v>17</v>
      </c>
      <c r="Q24" s="127">
        <v>47</v>
      </c>
      <c r="R24" s="128">
        <v>17</v>
      </c>
      <c r="S24" s="242"/>
      <c r="T24" s="163" t="str">
        <v>R103</v>
      </c>
      <c r="U24" s="128">
        <v>20</v>
      </c>
      <c r="V24" s="128">
        <v>30</v>
      </c>
      <c r="W24" s="127">
        <v>33</v>
      </c>
      <c r="X24" s="128">
        <v>17</v>
      </c>
      <c r="Y24" s="241"/>
      <c r="Z24" s="241"/>
      <c r="AA24" s="241"/>
    </row>
    <row r="25" spans="1:27" x14ac:dyDescent="0.35">
      <c r="A25" s="192"/>
      <c r="B25" s="158" t="str">
        <v>R21</v>
      </c>
      <c r="C25" s="128">
        <v>10</v>
      </c>
      <c r="D25" s="127">
        <v>57</v>
      </c>
      <c r="E25" s="128">
        <v>10</v>
      </c>
      <c r="F25" s="128">
        <v>23</v>
      </c>
      <c r="G25" s="241"/>
      <c r="H25" s="159" t="str">
        <v>R46</v>
      </c>
      <c r="I25" s="128">
        <v>70</v>
      </c>
      <c r="J25" s="128">
        <v>10</v>
      </c>
      <c r="K25" s="127">
        <v>3</v>
      </c>
      <c r="L25" s="128">
        <v>17</v>
      </c>
      <c r="M25" s="241"/>
      <c r="N25" s="160" t="str">
        <v>R87</v>
      </c>
      <c r="O25" s="128">
        <v>17</v>
      </c>
      <c r="P25" s="127">
        <v>30</v>
      </c>
      <c r="Q25" s="128">
        <v>27</v>
      </c>
      <c r="R25" s="128">
        <v>27</v>
      </c>
      <c r="S25" s="242"/>
      <c r="T25" s="163" t="str">
        <v>R105</v>
      </c>
      <c r="U25" s="127">
        <v>40</v>
      </c>
      <c r="V25" s="128">
        <v>30</v>
      </c>
      <c r="W25" s="128">
        <v>17</v>
      </c>
      <c r="X25" s="128">
        <v>13</v>
      </c>
      <c r="Y25" s="241"/>
      <c r="Z25" s="241"/>
      <c r="AA25" s="241"/>
    </row>
    <row r="26" spans="1:27" x14ac:dyDescent="0.35">
      <c r="A26" s="192"/>
      <c r="B26" s="158" t="str">
        <v>R22</v>
      </c>
      <c r="C26" s="128">
        <v>3</v>
      </c>
      <c r="D26" s="128">
        <v>33</v>
      </c>
      <c r="E26" s="127">
        <v>47</v>
      </c>
      <c r="F26" s="128">
        <v>17</v>
      </c>
      <c r="G26" s="241"/>
      <c r="H26" s="159" t="str">
        <v>R47</v>
      </c>
      <c r="I26" s="128">
        <v>37</v>
      </c>
      <c r="J26" s="128">
        <v>30</v>
      </c>
      <c r="K26" s="128">
        <v>20</v>
      </c>
      <c r="L26" s="127">
        <v>13</v>
      </c>
      <c r="M26" s="241"/>
      <c r="N26" s="160" t="str">
        <v>R88</v>
      </c>
      <c r="O26" s="128">
        <v>33</v>
      </c>
      <c r="P26" s="127">
        <v>33</v>
      </c>
      <c r="Q26" s="128">
        <v>20</v>
      </c>
      <c r="R26" s="128">
        <v>13</v>
      </c>
      <c r="S26" s="242"/>
      <c r="T26" s="163" t="str">
        <v>R106</v>
      </c>
      <c r="U26" s="128">
        <v>30</v>
      </c>
      <c r="V26" s="127">
        <v>20</v>
      </c>
      <c r="W26" s="128">
        <v>30</v>
      </c>
      <c r="X26" s="128">
        <v>20</v>
      </c>
      <c r="Y26" s="241"/>
      <c r="Z26" s="241"/>
      <c r="AA26" s="241"/>
    </row>
    <row r="27" spans="1:27" x14ac:dyDescent="0.35">
      <c r="A27" s="192"/>
      <c r="B27" s="158" t="str">
        <v>R23</v>
      </c>
      <c r="C27" s="128">
        <v>23</v>
      </c>
      <c r="D27" s="128">
        <v>40</v>
      </c>
      <c r="E27" s="128">
        <v>20</v>
      </c>
      <c r="F27" s="127">
        <v>17</v>
      </c>
      <c r="G27" s="241"/>
      <c r="H27" s="159" t="str">
        <v>R48</v>
      </c>
      <c r="I27" s="128">
        <v>3</v>
      </c>
      <c r="J27" s="127">
        <v>87</v>
      </c>
      <c r="K27" s="128">
        <v>3</v>
      </c>
      <c r="L27" s="128">
        <v>7</v>
      </c>
      <c r="M27" s="241"/>
      <c r="N27" s="160" t="str">
        <v>R89</v>
      </c>
      <c r="O27" s="128">
        <v>7</v>
      </c>
      <c r="P27" s="128">
        <v>30</v>
      </c>
      <c r="Q27" s="128">
        <v>30</v>
      </c>
      <c r="R27" s="127">
        <v>33</v>
      </c>
      <c r="S27" s="242"/>
      <c r="T27" s="163" t="str">
        <v>R107</v>
      </c>
      <c r="U27" s="128">
        <v>0</v>
      </c>
      <c r="V27" s="127">
        <v>60</v>
      </c>
      <c r="W27" s="128">
        <v>40</v>
      </c>
      <c r="X27" s="128">
        <v>0</v>
      </c>
      <c r="Y27" s="241"/>
      <c r="Z27" s="241"/>
      <c r="AA27" s="241"/>
    </row>
    <row r="28" spans="1:27" x14ac:dyDescent="0.35">
      <c r="A28" s="192"/>
      <c r="B28" s="158" t="str">
        <v>R24</v>
      </c>
      <c r="C28" s="128">
        <v>7</v>
      </c>
      <c r="D28" s="128">
        <v>37</v>
      </c>
      <c r="E28" s="127">
        <v>27</v>
      </c>
      <c r="F28" s="128">
        <v>30</v>
      </c>
      <c r="G28" s="241"/>
      <c r="H28" s="159" t="str">
        <v>R49</v>
      </c>
      <c r="I28" s="128">
        <v>23</v>
      </c>
      <c r="J28" s="128">
        <v>7</v>
      </c>
      <c r="K28" s="128">
        <v>13</v>
      </c>
      <c r="L28" s="127">
        <v>57</v>
      </c>
      <c r="M28" s="241"/>
      <c r="N28" s="160" t="str">
        <v>R90</v>
      </c>
      <c r="O28" s="127">
        <v>13</v>
      </c>
      <c r="P28" s="128">
        <v>37</v>
      </c>
      <c r="Q28" s="128">
        <v>23</v>
      </c>
      <c r="R28" s="128">
        <v>27</v>
      </c>
      <c r="S28" s="242"/>
      <c r="T28" s="163" t="str">
        <v>R108</v>
      </c>
      <c r="U28" s="128">
        <v>30</v>
      </c>
      <c r="V28" s="128">
        <v>27</v>
      </c>
      <c r="W28" s="127">
        <v>17</v>
      </c>
      <c r="X28" s="128">
        <v>27</v>
      </c>
      <c r="Y28" s="241"/>
      <c r="Z28" s="241"/>
      <c r="AA28" s="241"/>
    </row>
    <row r="29" spans="1:27" ht="15" thickBot="1" x14ac:dyDescent="0.4">
      <c r="A29" s="192"/>
      <c r="B29" s="164" t="str">
        <v>R25</v>
      </c>
      <c r="C29" s="128">
        <v>37</v>
      </c>
      <c r="D29" s="128">
        <v>13</v>
      </c>
      <c r="E29" s="127">
        <v>30</v>
      </c>
      <c r="F29" s="128">
        <v>20</v>
      </c>
      <c r="G29" s="241"/>
      <c r="H29" s="159" t="str">
        <v>R50</v>
      </c>
      <c r="I29" s="128">
        <v>20</v>
      </c>
      <c r="J29" s="128">
        <v>23</v>
      </c>
      <c r="K29" s="127">
        <v>37</v>
      </c>
      <c r="L29" s="128">
        <v>20</v>
      </c>
      <c r="M29" s="241"/>
      <c r="N29" s="165" t="str">
        <v>R91</v>
      </c>
      <c r="O29" s="128">
        <v>23</v>
      </c>
      <c r="P29" s="127">
        <v>40</v>
      </c>
      <c r="Q29" s="128">
        <v>20</v>
      </c>
      <c r="R29" s="128">
        <v>17</v>
      </c>
      <c r="S29" s="242"/>
      <c r="T29" s="163" t="str">
        <v>R109</v>
      </c>
      <c r="U29" s="128">
        <v>40</v>
      </c>
      <c r="V29" s="127">
        <v>47</v>
      </c>
      <c r="W29" s="128">
        <v>7</v>
      </c>
      <c r="X29" s="128">
        <v>7</v>
      </c>
      <c r="Y29" s="241"/>
      <c r="Z29" s="241"/>
      <c r="AA29" s="241"/>
    </row>
    <row r="30" spans="1:27" x14ac:dyDescent="0.35">
      <c r="A30" s="192"/>
      <c r="B30" s="241"/>
      <c r="C30" s="241"/>
      <c r="D30" s="241"/>
      <c r="E30" s="241"/>
      <c r="F30" s="241"/>
      <c r="G30" s="241"/>
      <c r="H30" s="159" t="str">
        <v>R51</v>
      </c>
      <c r="I30" s="128">
        <v>30</v>
      </c>
      <c r="J30" s="127">
        <v>43</v>
      </c>
      <c r="K30" s="128">
        <v>17</v>
      </c>
      <c r="L30" s="128">
        <v>10</v>
      </c>
      <c r="M30" s="268"/>
      <c r="N30" s="241"/>
      <c r="O30" s="241"/>
      <c r="P30" s="241"/>
      <c r="Q30" s="241"/>
      <c r="R30" s="241"/>
      <c r="S30" s="269"/>
      <c r="T30" s="163" t="str">
        <v>R120</v>
      </c>
      <c r="U30" s="128">
        <v>27</v>
      </c>
      <c r="V30" s="128">
        <v>20</v>
      </c>
      <c r="W30" s="127">
        <v>33</v>
      </c>
      <c r="X30" s="128">
        <v>17</v>
      </c>
      <c r="Y30" s="241"/>
      <c r="Z30" s="241"/>
      <c r="AA30" s="241"/>
    </row>
    <row r="31" spans="1:27" x14ac:dyDescent="0.35">
      <c r="A31" s="192"/>
      <c r="B31" s="241"/>
      <c r="C31" s="241"/>
      <c r="D31" s="241"/>
      <c r="E31" s="241"/>
      <c r="F31" s="241"/>
      <c r="G31" s="241"/>
      <c r="H31" s="159" t="str">
        <v>R52</v>
      </c>
      <c r="I31" s="128">
        <v>3</v>
      </c>
      <c r="J31" s="128">
        <v>27</v>
      </c>
      <c r="K31" s="127">
        <v>43</v>
      </c>
      <c r="L31" s="128">
        <v>27</v>
      </c>
      <c r="M31" s="268"/>
      <c r="N31" s="241"/>
      <c r="O31" s="241"/>
      <c r="P31" s="241"/>
      <c r="Q31" s="241"/>
      <c r="R31" s="241"/>
      <c r="S31" s="269"/>
      <c r="T31" s="166" t="str">
        <v>R92</v>
      </c>
      <c r="U31" s="128">
        <v>17</v>
      </c>
      <c r="V31" s="128">
        <v>20</v>
      </c>
      <c r="W31" s="127">
        <v>53</v>
      </c>
      <c r="X31" s="128">
        <v>10</v>
      </c>
      <c r="Y31" s="241"/>
      <c r="Z31" s="241"/>
      <c r="AA31" s="241"/>
    </row>
    <row r="32" spans="1:27" x14ac:dyDescent="0.35">
      <c r="A32" s="192"/>
      <c r="B32" s="241"/>
      <c r="C32" s="241"/>
      <c r="D32" s="241"/>
      <c r="E32" s="241"/>
      <c r="F32" s="241"/>
      <c r="G32" s="241"/>
      <c r="H32" s="159" t="str">
        <v>R53</v>
      </c>
      <c r="I32" s="128">
        <v>27</v>
      </c>
      <c r="J32" s="128">
        <v>3</v>
      </c>
      <c r="K32" s="128">
        <v>17</v>
      </c>
      <c r="L32" s="127">
        <v>53</v>
      </c>
      <c r="M32" s="268"/>
      <c r="N32" s="241"/>
      <c r="O32" s="241"/>
      <c r="P32" s="241"/>
      <c r="Q32" s="241"/>
      <c r="R32" s="241"/>
      <c r="S32" s="269"/>
      <c r="T32" s="166" t="str">
        <v>R113</v>
      </c>
      <c r="U32" s="128">
        <v>13</v>
      </c>
      <c r="V32" s="128">
        <v>17</v>
      </c>
      <c r="W32" s="128">
        <v>27</v>
      </c>
      <c r="X32" s="127">
        <v>40</v>
      </c>
      <c r="Y32" s="241"/>
      <c r="Z32" s="241"/>
      <c r="AA32" s="241"/>
    </row>
    <row r="33" spans="1:121" ht="15" thickBot="1" x14ac:dyDescent="0.4">
      <c r="A33" s="192"/>
      <c r="B33" s="241"/>
      <c r="C33" s="241"/>
      <c r="D33" s="241"/>
      <c r="E33" s="241"/>
      <c r="F33" s="241"/>
      <c r="G33" s="241"/>
      <c r="H33" s="159" t="str">
        <v>R54</v>
      </c>
      <c r="I33" s="128">
        <v>3</v>
      </c>
      <c r="J33" s="127">
        <v>37</v>
      </c>
      <c r="K33" s="128">
        <v>37</v>
      </c>
      <c r="L33" s="128">
        <v>23</v>
      </c>
      <c r="M33" s="268"/>
      <c r="N33" s="241"/>
      <c r="O33" s="241"/>
      <c r="P33" s="241"/>
      <c r="Q33" s="241"/>
      <c r="R33" s="241"/>
      <c r="S33" s="269"/>
      <c r="T33" s="167" t="str">
        <v>R117</v>
      </c>
      <c r="U33" s="128">
        <v>7</v>
      </c>
      <c r="V33" s="128">
        <v>17</v>
      </c>
      <c r="W33" s="127">
        <v>60</v>
      </c>
      <c r="X33" s="128">
        <v>17</v>
      </c>
      <c r="Y33" s="241"/>
      <c r="Z33" s="241"/>
      <c r="AA33" s="241"/>
    </row>
    <row r="34" spans="1:121" x14ac:dyDescent="0.35">
      <c r="A34" s="192"/>
      <c r="B34" s="241"/>
      <c r="C34" s="241"/>
      <c r="D34" s="241"/>
      <c r="E34" s="241"/>
      <c r="F34" s="241"/>
      <c r="G34" s="241"/>
      <c r="H34" s="159" t="str">
        <v>R55</v>
      </c>
      <c r="I34" s="128">
        <v>17</v>
      </c>
      <c r="J34" s="128">
        <v>30</v>
      </c>
      <c r="K34" s="127">
        <v>40</v>
      </c>
      <c r="L34" s="128">
        <v>13</v>
      </c>
      <c r="M34" s="267" t="s">
        <v>1719</v>
      </c>
      <c r="N34" s="267"/>
      <c r="O34" s="267"/>
      <c r="P34" s="267"/>
      <c r="Q34" s="267"/>
      <c r="R34" s="267"/>
      <c r="S34" s="267"/>
      <c r="T34" s="267"/>
      <c r="U34" s="267"/>
      <c r="V34" s="267"/>
      <c r="W34" s="267"/>
      <c r="X34" s="267"/>
      <c r="Y34" s="241"/>
      <c r="Z34" s="241"/>
      <c r="AA34" s="241"/>
    </row>
    <row r="35" spans="1:121" x14ac:dyDescent="0.35">
      <c r="A35" s="192"/>
      <c r="B35" s="241"/>
      <c r="C35" s="241"/>
      <c r="D35" s="241"/>
      <c r="E35" s="241"/>
      <c r="F35" s="241"/>
      <c r="G35" s="241"/>
      <c r="H35" s="159" t="str">
        <v>R56</v>
      </c>
      <c r="I35" s="128">
        <v>30</v>
      </c>
      <c r="J35" s="127">
        <v>43</v>
      </c>
      <c r="K35" s="128">
        <v>13</v>
      </c>
      <c r="L35" s="128">
        <v>13</v>
      </c>
      <c r="M35" s="267"/>
      <c r="N35" s="267"/>
      <c r="O35" s="267"/>
      <c r="P35" s="267"/>
      <c r="Q35" s="267"/>
      <c r="R35" s="267"/>
      <c r="S35" s="267"/>
      <c r="T35" s="267"/>
      <c r="U35" s="267"/>
      <c r="V35" s="267"/>
      <c r="W35" s="267"/>
      <c r="X35" s="267"/>
      <c r="Y35" s="241"/>
      <c r="Z35" s="241"/>
      <c r="AA35" s="241"/>
    </row>
    <row r="36" spans="1:121" x14ac:dyDescent="0.35">
      <c r="A36" s="192"/>
      <c r="B36" s="241"/>
      <c r="C36" s="241"/>
      <c r="D36" s="241"/>
      <c r="E36" s="241"/>
      <c r="F36" s="241"/>
      <c r="G36" s="241"/>
      <c r="H36" s="159" t="str">
        <v>R57</v>
      </c>
      <c r="I36" s="128">
        <v>33</v>
      </c>
      <c r="J36" s="127">
        <v>20</v>
      </c>
      <c r="K36" s="128">
        <v>27</v>
      </c>
      <c r="L36" s="128">
        <v>20</v>
      </c>
      <c r="M36" s="267"/>
      <c r="N36" s="267"/>
      <c r="O36" s="267"/>
      <c r="P36" s="267"/>
      <c r="Q36" s="267"/>
      <c r="R36" s="267"/>
      <c r="S36" s="267"/>
      <c r="T36" s="267"/>
      <c r="U36" s="267"/>
      <c r="V36" s="267"/>
      <c r="W36" s="267"/>
      <c r="X36" s="267"/>
      <c r="Y36" s="241"/>
      <c r="Z36" s="241"/>
      <c r="AA36" s="241"/>
    </row>
    <row r="37" spans="1:121" x14ac:dyDescent="0.35">
      <c r="A37" s="192"/>
      <c r="B37" s="241"/>
      <c r="C37" s="241"/>
      <c r="D37" s="241"/>
      <c r="E37" s="241"/>
      <c r="F37" s="241"/>
      <c r="G37" s="241"/>
      <c r="H37" s="159" t="str">
        <v>R58</v>
      </c>
      <c r="I37" s="127">
        <v>47</v>
      </c>
      <c r="J37" s="128">
        <v>10</v>
      </c>
      <c r="K37" s="128">
        <v>7</v>
      </c>
      <c r="L37" s="128">
        <v>37</v>
      </c>
      <c r="M37" s="267"/>
      <c r="N37" s="267"/>
      <c r="O37" s="267"/>
      <c r="P37" s="267"/>
      <c r="Q37" s="267"/>
      <c r="R37" s="267"/>
      <c r="S37" s="267"/>
      <c r="T37" s="267"/>
      <c r="U37" s="267"/>
      <c r="V37" s="267"/>
      <c r="W37" s="267"/>
      <c r="X37" s="267"/>
      <c r="Y37" s="241"/>
      <c r="Z37" s="241"/>
      <c r="AA37" s="241"/>
    </row>
    <row r="38" spans="1:121" x14ac:dyDescent="0.35">
      <c r="A38" s="192"/>
      <c r="B38" s="241"/>
      <c r="C38" s="241"/>
      <c r="D38" s="241"/>
      <c r="E38" s="241"/>
      <c r="F38" s="241"/>
      <c r="G38" s="241"/>
      <c r="H38" s="159" t="str">
        <v>R59</v>
      </c>
      <c r="I38" s="127">
        <v>43</v>
      </c>
      <c r="J38" s="128">
        <v>20</v>
      </c>
      <c r="K38" s="128">
        <v>23</v>
      </c>
      <c r="L38" s="128">
        <v>13</v>
      </c>
      <c r="M38" s="267"/>
      <c r="N38" s="267"/>
      <c r="O38" s="267"/>
      <c r="P38" s="267"/>
      <c r="Q38" s="267"/>
      <c r="R38" s="267"/>
      <c r="S38" s="267"/>
      <c r="T38" s="267"/>
      <c r="U38" s="267"/>
      <c r="V38" s="267"/>
      <c r="W38" s="267"/>
      <c r="X38" s="267"/>
      <c r="Y38" s="241"/>
      <c r="Z38" s="241"/>
      <c r="AA38" s="241"/>
    </row>
    <row r="39" spans="1:121" x14ac:dyDescent="0.35">
      <c r="A39" s="192"/>
      <c r="B39" s="241"/>
      <c r="C39" s="241"/>
      <c r="D39" s="241"/>
      <c r="E39" s="241"/>
      <c r="F39" s="241"/>
      <c r="G39" s="241"/>
      <c r="H39" s="159" t="str">
        <v>R60</v>
      </c>
      <c r="I39" s="128">
        <v>67</v>
      </c>
      <c r="J39" s="128">
        <v>13</v>
      </c>
      <c r="K39" s="128">
        <v>7</v>
      </c>
      <c r="L39" s="127">
        <v>13</v>
      </c>
      <c r="M39" s="267"/>
      <c r="N39" s="267"/>
      <c r="O39" s="267"/>
      <c r="P39" s="267"/>
      <c r="Q39" s="267"/>
      <c r="R39" s="267"/>
      <c r="S39" s="267"/>
      <c r="T39" s="267"/>
      <c r="U39" s="267"/>
      <c r="V39" s="267"/>
      <c r="W39" s="267"/>
      <c r="X39" s="267"/>
      <c r="Y39" s="241"/>
      <c r="Z39" s="241"/>
      <c r="AA39" s="241"/>
    </row>
    <row r="40" spans="1:121" x14ac:dyDescent="0.35">
      <c r="A40" s="192"/>
      <c r="B40" s="241"/>
      <c r="C40" s="241"/>
      <c r="D40" s="241"/>
      <c r="E40" s="241"/>
      <c r="F40" s="241"/>
      <c r="G40" s="241"/>
      <c r="H40" s="159" t="str">
        <v>R61</v>
      </c>
      <c r="I40" s="128">
        <v>30</v>
      </c>
      <c r="J40" s="128">
        <v>33</v>
      </c>
      <c r="K40" s="128">
        <v>23</v>
      </c>
      <c r="L40" s="127">
        <v>13</v>
      </c>
      <c r="M40" s="267"/>
      <c r="N40" s="267"/>
      <c r="O40" s="267"/>
      <c r="P40" s="267"/>
      <c r="Q40" s="267"/>
      <c r="R40" s="267"/>
      <c r="S40" s="267"/>
      <c r="T40" s="267"/>
      <c r="U40" s="267"/>
      <c r="V40" s="267"/>
      <c r="W40" s="267"/>
      <c r="X40" s="267"/>
      <c r="Y40" s="241"/>
      <c r="Z40" s="241"/>
      <c r="AA40" s="241"/>
    </row>
    <row r="41" spans="1:121" x14ac:dyDescent="0.35">
      <c r="A41" s="192"/>
      <c r="B41" s="241"/>
      <c r="C41" s="241"/>
      <c r="D41" s="241"/>
      <c r="E41" s="241"/>
      <c r="F41" s="241"/>
      <c r="G41" s="241"/>
      <c r="H41" s="159" t="str">
        <v>R62</v>
      </c>
      <c r="I41" s="128">
        <v>27</v>
      </c>
      <c r="J41" s="128">
        <v>17</v>
      </c>
      <c r="K41" s="128">
        <v>43</v>
      </c>
      <c r="L41" s="127">
        <v>13</v>
      </c>
      <c r="M41" s="267"/>
      <c r="N41" s="267"/>
      <c r="O41" s="267"/>
      <c r="P41" s="267"/>
      <c r="Q41" s="267"/>
      <c r="R41" s="267"/>
      <c r="S41" s="267"/>
      <c r="T41" s="267"/>
      <c r="U41" s="267"/>
      <c r="V41" s="267"/>
      <c r="W41" s="267"/>
      <c r="X41" s="267"/>
      <c r="Y41" s="241"/>
      <c r="Z41" s="241"/>
      <c r="AA41" s="241"/>
    </row>
    <row r="42" spans="1:121" x14ac:dyDescent="0.35">
      <c r="A42" s="192"/>
      <c r="B42" s="241"/>
      <c r="C42" s="241"/>
      <c r="D42" s="241"/>
      <c r="E42" s="241"/>
      <c r="F42" s="241"/>
      <c r="G42" s="241"/>
      <c r="H42" s="159" t="str">
        <v>R63</v>
      </c>
      <c r="I42" s="128">
        <v>30</v>
      </c>
      <c r="J42" s="127">
        <v>27</v>
      </c>
      <c r="K42" s="128">
        <v>30</v>
      </c>
      <c r="L42" s="128">
        <v>13</v>
      </c>
      <c r="M42" s="267"/>
      <c r="N42" s="267"/>
      <c r="O42" s="267"/>
      <c r="P42" s="267"/>
      <c r="Q42" s="267"/>
      <c r="R42" s="267"/>
      <c r="S42" s="267"/>
      <c r="T42" s="267"/>
      <c r="U42" s="267"/>
      <c r="V42" s="267"/>
      <c r="W42" s="267"/>
      <c r="X42" s="267"/>
      <c r="Y42" s="241"/>
      <c r="Z42" s="241"/>
      <c r="AA42" s="241"/>
    </row>
    <row r="43" spans="1:121" x14ac:dyDescent="0.35">
      <c r="A43" s="192"/>
      <c r="B43" s="241"/>
      <c r="C43" s="241"/>
      <c r="D43" s="241"/>
      <c r="E43" s="241"/>
      <c r="F43" s="241"/>
      <c r="G43" s="241"/>
      <c r="H43" s="159" t="str">
        <v>R64</v>
      </c>
      <c r="I43" s="128">
        <v>10</v>
      </c>
      <c r="J43" s="128">
        <v>27</v>
      </c>
      <c r="K43" s="127">
        <v>43</v>
      </c>
      <c r="L43" s="128">
        <v>20</v>
      </c>
      <c r="M43" s="267"/>
      <c r="N43" s="267"/>
      <c r="O43" s="267"/>
      <c r="P43" s="267"/>
      <c r="Q43" s="267"/>
      <c r="R43" s="267"/>
      <c r="S43" s="267"/>
      <c r="T43" s="267"/>
      <c r="U43" s="267"/>
      <c r="V43" s="267"/>
      <c r="W43" s="267"/>
      <c r="X43" s="267"/>
      <c r="Y43" s="241"/>
      <c r="Z43" s="241"/>
      <c r="AA43" s="241"/>
    </row>
    <row r="44" spans="1:121" x14ac:dyDescent="0.35">
      <c r="A44" s="192"/>
      <c r="B44" s="241"/>
      <c r="C44" s="241"/>
      <c r="D44" s="241"/>
      <c r="E44" s="241"/>
      <c r="F44" s="241"/>
      <c r="G44" s="241"/>
      <c r="H44" s="159" t="str">
        <v>R65</v>
      </c>
      <c r="I44" s="128">
        <v>30</v>
      </c>
      <c r="J44" s="128">
        <v>33</v>
      </c>
      <c r="K44" s="128">
        <v>17</v>
      </c>
      <c r="L44" s="127">
        <v>20</v>
      </c>
      <c r="M44" s="267"/>
      <c r="N44" s="267"/>
      <c r="O44" s="267"/>
      <c r="P44" s="267"/>
      <c r="Q44" s="267"/>
      <c r="R44" s="267"/>
      <c r="S44" s="267"/>
      <c r="T44" s="267"/>
      <c r="U44" s="267"/>
      <c r="V44" s="267"/>
      <c r="W44" s="267"/>
      <c r="X44" s="267"/>
      <c r="Y44" s="241"/>
      <c r="Z44" s="241"/>
      <c r="AA44" s="241"/>
    </row>
    <row r="45" spans="1:121" ht="15" thickBot="1" x14ac:dyDescent="0.4">
      <c r="A45" s="192"/>
      <c r="B45" s="241"/>
      <c r="C45" s="241"/>
      <c r="D45" s="241"/>
      <c r="E45" s="241"/>
      <c r="F45" s="241"/>
      <c r="G45" s="241"/>
      <c r="H45" s="168" t="str">
        <v>R66</v>
      </c>
      <c r="I45" s="128">
        <v>7</v>
      </c>
      <c r="J45" s="128">
        <v>17</v>
      </c>
      <c r="K45" s="127">
        <v>50</v>
      </c>
      <c r="L45" s="128">
        <v>27</v>
      </c>
      <c r="M45" s="267"/>
      <c r="N45" s="267"/>
      <c r="O45" s="267"/>
      <c r="P45" s="267"/>
      <c r="Q45" s="267"/>
      <c r="R45" s="267"/>
      <c r="S45" s="267"/>
      <c r="T45" s="267"/>
      <c r="U45" s="267"/>
      <c r="V45" s="267"/>
      <c r="W45" s="267"/>
      <c r="X45" s="267"/>
      <c r="Y45" s="241"/>
      <c r="Z45" s="241"/>
      <c r="AA45" s="241"/>
    </row>
    <row r="46" spans="1:121" x14ac:dyDescent="0.35">
      <c r="A46" s="192"/>
      <c r="B46" s="241"/>
      <c r="C46" s="241"/>
      <c r="D46" s="241"/>
      <c r="E46" s="241"/>
      <c r="F46" s="241"/>
      <c r="G46" s="241"/>
      <c r="H46" s="241"/>
      <c r="I46" s="241"/>
      <c r="J46" s="241"/>
      <c r="K46" s="241"/>
      <c r="L46" s="241"/>
      <c r="M46" s="267"/>
      <c r="N46" s="267"/>
      <c r="O46" s="267"/>
      <c r="P46" s="267"/>
      <c r="Q46" s="267"/>
      <c r="R46" s="267"/>
      <c r="S46" s="267"/>
      <c r="T46" s="267"/>
      <c r="U46" s="267"/>
      <c r="V46" s="267"/>
      <c r="W46" s="267"/>
      <c r="X46" s="267"/>
      <c r="Y46" s="241"/>
      <c r="Z46" s="241"/>
      <c r="AA46" s="241"/>
    </row>
    <row r="48" spans="1:121" x14ac:dyDescent="0.35">
      <c r="B48">
        <v>1</v>
      </c>
      <c r="C48">
        <v>2</v>
      </c>
      <c r="D48">
        <v>3</v>
      </c>
      <c r="E48">
        <v>4</v>
      </c>
      <c r="F48">
        <v>5</v>
      </c>
      <c r="G48">
        <v>6</v>
      </c>
      <c r="H48">
        <v>7</v>
      </c>
      <c r="I48">
        <v>8</v>
      </c>
      <c r="J48">
        <v>9</v>
      </c>
      <c r="K48">
        <v>10</v>
      </c>
      <c r="L48">
        <v>11</v>
      </c>
      <c r="M48">
        <v>12</v>
      </c>
      <c r="N48">
        <v>13</v>
      </c>
      <c r="O48">
        <v>14</v>
      </c>
      <c r="P48">
        <v>15</v>
      </c>
      <c r="Q48">
        <v>16</v>
      </c>
      <c r="R48">
        <v>17</v>
      </c>
      <c r="S48">
        <v>18</v>
      </c>
      <c r="T48">
        <v>19</v>
      </c>
      <c r="U48">
        <v>20</v>
      </c>
      <c r="V48">
        <v>21</v>
      </c>
      <c r="W48">
        <v>22</v>
      </c>
      <c r="X48">
        <v>23</v>
      </c>
      <c r="Y48">
        <v>24</v>
      </c>
      <c r="Z48">
        <v>25</v>
      </c>
      <c r="AA48">
        <v>26</v>
      </c>
      <c r="AB48">
        <v>27</v>
      </c>
      <c r="AC48">
        <v>28</v>
      </c>
      <c r="AD48">
        <v>29</v>
      </c>
      <c r="AE48">
        <v>30</v>
      </c>
      <c r="AF48">
        <v>31</v>
      </c>
      <c r="AG48">
        <v>32</v>
      </c>
      <c r="AH48">
        <v>33</v>
      </c>
      <c r="AI48">
        <v>34</v>
      </c>
      <c r="AJ48">
        <v>35</v>
      </c>
      <c r="AK48">
        <v>36</v>
      </c>
      <c r="AL48">
        <v>37</v>
      </c>
      <c r="AM48">
        <v>38</v>
      </c>
      <c r="AN48">
        <v>39</v>
      </c>
      <c r="AO48">
        <v>40</v>
      </c>
      <c r="AP48">
        <v>41</v>
      </c>
      <c r="AQ48">
        <v>42</v>
      </c>
      <c r="AR48">
        <v>43</v>
      </c>
      <c r="AS48">
        <v>44</v>
      </c>
      <c r="AT48">
        <v>45</v>
      </c>
      <c r="AU48">
        <v>46</v>
      </c>
      <c r="AV48">
        <v>47</v>
      </c>
      <c r="AW48">
        <v>48</v>
      </c>
      <c r="AX48">
        <v>49</v>
      </c>
      <c r="AY48">
        <v>50</v>
      </c>
      <c r="AZ48">
        <v>51</v>
      </c>
      <c r="BA48">
        <v>52</v>
      </c>
      <c r="BB48">
        <v>53</v>
      </c>
      <c r="BC48">
        <v>54</v>
      </c>
      <c r="BD48">
        <v>55</v>
      </c>
      <c r="BE48">
        <v>56</v>
      </c>
      <c r="BF48">
        <v>57</v>
      </c>
      <c r="BG48">
        <v>58</v>
      </c>
      <c r="BH48">
        <v>59</v>
      </c>
      <c r="BI48">
        <v>60</v>
      </c>
      <c r="BJ48">
        <v>61</v>
      </c>
      <c r="BK48">
        <v>62</v>
      </c>
      <c r="BL48">
        <v>63</v>
      </c>
      <c r="BM48">
        <v>64</v>
      </c>
      <c r="BN48">
        <v>65</v>
      </c>
      <c r="BO48">
        <v>66</v>
      </c>
      <c r="BP48">
        <v>67</v>
      </c>
      <c r="BQ48">
        <v>68</v>
      </c>
      <c r="BR48">
        <v>69</v>
      </c>
      <c r="BS48">
        <v>70</v>
      </c>
      <c r="BT48">
        <v>71</v>
      </c>
      <c r="BU48">
        <v>72</v>
      </c>
      <c r="BV48">
        <v>73</v>
      </c>
      <c r="BW48">
        <v>74</v>
      </c>
      <c r="BX48">
        <v>75</v>
      </c>
      <c r="BY48">
        <v>76</v>
      </c>
      <c r="BZ48">
        <v>77</v>
      </c>
      <c r="CA48">
        <v>78</v>
      </c>
      <c r="CB48">
        <v>79</v>
      </c>
      <c r="CC48">
        <v>80</v>
      </c>
      <c r="CD48">
        <v>81</v>
      </c>
      <c r="CE48">
        <v>82</v>
      </c>
      <c r="CF48">
        <v>83</v>
      </c>
      <c r="CG48">
        <v>84</v>
      </c>
      <c r="CH48">
        <v>85</v>
      </c>
      <c r="CI48">
        <v>86</v>
      </c>
      <c r="CJ48">
        <v>87</v>
      </c>
      <c r="CK48">
        <v>88</v>
      </c>
      <c r="CL48">
        <v>89</v>
      </c>
      <c r="CM48">
        <v>90</v>
      </c>
      <c r="CN48">
        <v>91</v>
      </c>
      <c r="CO48">
        <v>92</v>
      </c>
      <c r="CP48">
        <v>93</v>
      </c>
      <c r="CQ48">
        <v>94</v>
      </c>
      <c r="CR48">
        <v>95</v>
      </c>
      <c r="CS48">
        <v>96</v>
      </c>
      <c r="CT48">
        <v>97</v>
      </c>
      <c r="CU48">
        <v>98</v>
      </c>
      <c r="CV48">
        <v>99</v>
      </c>
      <c r="CW48">
        <v>100</v>
      </c>
      <c r="CX48">
        <v>101</v>
      </c>
      <c r="CY48">
        <v>102</v>
      </c>
      <c r="CZ48">
        <v>103</v>
      </c>
      <c r="DA48">
        <v>104</v>
      </c>
      <c r="DB48">
        <v>105</v>
      </c>
      <c r="DC48">
        <v>106</v>
      </c>
      <c r="DD48">
        <v>107</v>
      </c>
      <c r="DE48">
        <v>108</v>
      </c>
      <c r="DF48">
        <v>109</v>
      </c>
      <c r="DG48">
        <v>110</v>
      </c>
      <c r="DH48">
        <v>111</v>
      </c>
      <c r="DI48">
        <v>112</v>
      </c>
      <c r="DJ48">
        <v>113</v>
      </c>
      <c r="DK48">
        <v>114</v>
      </c>
      <c r="DL48">
        <v>115</v>
      </c>
      <c r="DM48">
        <v>116</v>
      </c>
      <c r="DN48">
        <v>117</v>
      </c>
      <c r="DO48">
        <v>118</v>
      </c>
      <c r="DP48">
        <v>119</v>
      </c>
      <c r="DQ48">
        <v>120</v>
      </c>
    </row>
  </sheetData>
  <mergeCells count="12">
    <mergeCell ref="Y1:AA46"/>
    <mergeCell ref="S1:S29"/>
    <mergeCell ref="B30:G46"/>
    <mergeCell ref="G1:G29"/>
    <mergeCell ref="H46:L46"/>
    <mergeCell ref="M1:M29"/>
    <mergeCell ref="B1:F3"/>
    <mergeCell ref="H1:L3"/>
    <mergeCell ref="N1:R3"/>
    <mergeCell ref="T1:X3"/>
    <mergeCell ref="M34:X46"/>
    <mergeCell ref="M30:S33"/>
  </mergeCells>
  <pageMargins left="0.7" right="0.7" top="0.75" bottom="0.75" header="0.3" footer="0.3"/>
  <pageSetup orientation="portrait" r:id="rId1"/>
  <headerFooter>
    <oddFooter xml:space="preserve">&amp;L        2026                         “ Un compromiso con la calidad educativa de nuestros jóvenes”
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0F99F-4700-47F2-BC62-C2CADB18D4EF}">
  <dimension ref="A1:ED52"/>
  <sheetViews>
    <sheetView zoomScale="85" zoomScaleNormal="85" workbookViewId="0">
      <selection sqref="A1:W49"/>
    </sheetView>
  </sheetViews>
  <sheetFormatPr baseColWidth="10" defaultColWidth="4.26953125" defaultRowHeight="14.5" x14ac:dyDescent="0.35"/>
  <cols>
    <col min="6" max="6" width="4.26953125" customWidth="1"/>
    <col min="12" max="12" width="4.26953125" customWidth="1"/>
    <col min="18" max="18" width="2.7265625" customWidth="1"/>
    <col min="19" max="19" width="5.36328125" bestFit="1" customWidth="1"/>
    <col min="20" max="20" width="3.08984375" bestFit="1" customWidth="1"/>
  </cols>
  <sheetData>
    <row r="1" spans="1:23" ht="14.5" customHeight="1" x14ac:dyDescent="0.35">
      <c r="A1" s="255" t="s">
        <v>1715</v>
      </c>
      <c r="B1" s="256"/>
      <c r="C1" s="256"/>
      <c r="D1" s="256"/>
      <c r="E1" s="257"/>
      <c r="F1" s="286"/>
      <c r="G1" s="243" t="s">
        <v>1713</v>
      </c>
      <c r="H1" s="244"/>
      <c r="I1" s="244"/>
      <c r="J1" s="244"/>
      <c r="K1" s="245"/>
      <c r="L1" s="285"/>
      <c r="M1" s="261" t="s">
        <v>1716</v>
      </c>
      <c r="N1" s="262"/>
      <c r="O1" s="262"/>
      <c r="P1" s="262"/>
      <c r="Q1" s="263"/>
      <c r="R1" s="284"/>
      <c r="S1" s="270" t="s">
        <v>1720</v>
      </c>
      <c r="T1" s="271"/>
      <c r="U1" s="271"/>
      <c r="V1" s="271"/>
      <c r="W1" s="272"/>
    </row>
    <row r="2" spans="1:23" ht="14.5" customHeight="1" x14ac:dyDescent="0.35">
      <c r="A2" s="258"/>
      <c r="B2" s="259"/>
      <c r="C2" s="259"/>
      <c r="D2" s="259"/>
      <c r="E2" s="260"/>
      <c r="F2" s="286"/>
      <c r="G2" s="246"/>
      <c r="H2" s="247"/>
      <c r="I2" s="247"/>
      <c r="J2" s="247"/>
      <c r="K2" s="248"/>
      <c r="L2" s="285"/>
      <c r="M2" s="264"/>
      <c r="N2" s="265"/>
      <c r="O2" s="265"/>
      <c r="P2" s="265"/>
      <c r="Q2" s="266"/>
      <c r="R2" s="284"/>
      <c r="S2" s="273"/>
      <c r="T2" s="274"/>
      <c r="U2" s="274"/>
      <c r="V2" s="274"/>
      <c r="W2" s="275"/>
    </row>
    <row r="3" spans="1:23" ht="14.5" customHeight="1" x14ac:dyDescent="0.35">
      <c r="A3" s="258"/>
      <c r="B3" s="259"/>
      <c r="C3" s="259"/>
      <c r="D3" s="259"/>
      <c r="E3" s="260"/>
      <c r="F3" s="286"/>
      <c r="G3" s="246"/>
      <c r="H3" s="247"/>
      <c r="I3" s="247"/>
      <c r="J3" s="247"/>
      <c r="K3" s="248"/>
      <c r="L3" s="285"/>
      <c r="M3" s="264"/>
      <c r="N3" s="265"/>
      <c r="O3" s="265"/>
      <c r="P3" s="265"/>
      <c r="Q3" s="266"/>
      <c r="R3" s="284"/>
      <c r="S3" s="273"/>
      <c r="T3" s="274"/>
      <c r="U3" s="274"/>
      <c r="V3" s="274"/>
      <c r="W3" s="275"/>
    </row>
    <row r="4" spans="1:23" ht="17" x14ac:dyDescent="0.35">
      <c r="A4" s="169" t="s">
        <v>1712</v>
      </c>
      <c r="B4" s="170" t="s">
        <v>330</v>
      </c>
      <c r="C4" s="170" t="s">
        <v>333</v>
      </c>
      <c r="D4" s="170" t="s">
        <v>331</v>
      </c>
      <c r="E4" s="171" t="s">
        <v>332</v>
      </c>
      <c r="F4" s="286"/>
      <c r="G4" s="172" t="s">
        <v>1712</v>
      </c>
      <c r="H4" s="173" t="s">
        <v>330</v>
      </c>
      <c r="I4" s="173" t="s">
        <v>333</v>
      </c>
      <c r="J4" s="173" t="s">
        <v>331</v>
      </c>
      <c r="K4" s="174" t="s">
        <v>332</v>
      </c>
      <c r="L4" s="285"/>
      <c r="M4" s="175" t="s">
        <v>1712</v>
      </c>
      <c r="N4" s="176" t="s">
        <v>330</v>
      </c>
      <c r="O4" s="176" t="s">
        <v>333</v>
      </c>
      <c r="P4" s="176" t="s">
        <v>331</v>
      </c>
      <c r="Q4" s="177" t="s">
        <v>332</v>
      </c>
      <c r="R4" s="284"/>
      <c r="S4" s="178" t="s">
        <v>1712</v>
      </c>
      <c r="T4" s="179" t="s">
        <v>330</v>
      </c>
      <c r="U4" s="179" t="s">
        <v>333</v>
      </c>
      <c r="V4" s="179" t="s">
        <v>331</v>
      </c>
      <c r="W4" s="180" t="s">
        <v>332</v>
      </c>
    </row>
    <row r="5" spans="1:23" x14ac:dyDescent="0.35">
      <c r="A5" s="181" t="str">
        <f t="array" ref="A5:A29">TRANSPOSE('in2'!EQ1:FO1)</f>
        <v>R1</v>
      </c>
      <c r="B5" s="142">
        <f t="array" ref="B5:E29">TRANSPOSE('in2'!EQ33:FO36)</f>
        <v>53</v>
      </c>
      <c r="C5" s="129">
        <v>17</v>
      </c>
      <c r="D5" s="129">
        <v>10</v>
      </c>
      <c r="E5" s="129">
        <v>20</v>
      </c>
      <c r="F5" s="286"/>
      <c r="G5" s="182" t="str">
        <f t="array" ref="G5:G29">TRANSPOSE('in2'!FP1:GN1)</f>
        <v>R26</v>
      </c>
      <c r="H5" s="142">
        <f t="array" ref="H5:K29">TRANSPOSE('in2'!FP33:GN36)</f>
        <v>33</v>
      </c>
      <c r="I5" s="129">
        <v>37</v>
      </c>
      <c r="J5" s="129">
        <v>27</v>
      </c>
      <c r="K5" s="129">
        <v>3</v>
      </c>
      <c r="L5" s="285"/>
      <c r="M5" s="183" t="str">
        <f t="array" ref="M5:M33">TRANSPOSE('in2'!GO1:HQ1)</f>
        <v>R54</v>
      </c>
      <c r="N5" s="129">
        <f t="array" ref="N5:Q33">TRANSPOSE('in2'!GO33:HQ36)</f>
        <v>23</v>
      </c>
      <c r="O5" s="142">
        <v>27</v>
      </c>
      <c r="P5" s="129">
        <v>30</v>
      </c>
      <c r="Q5" s="129">
        <v>20</v>
      </c>
      <c r="R5" s="284"/>
      <c r="S5" s="184" t="str">
        <f t="array" ref="S5:S48">TRANSPOSE('in2'!IC1:JT1)</f>
        <v>R91</v>
      </c>
      <c r="T5" s="129">
        <f t="array" ref="T5:W48">TRANSPOSE('in2'!IC33:JT36)</f>
        <v>37</v>
      </c>
      <c r="U5" s="142">
        <v>27</v>
      </c>
      <c r="V5" s="129">
        <v>37</v>
      </c>
      <c r="W5" s="129">
        <v>0</v>
      </c>
    </row>
    <row r="6" spans="1:23" x14ac:dyDescent="0.35">
      <c r="A6" s="181" t="str">
        <v>R2</v>
      </c>
      <c r="B6" s="129">
        <v>13</v>
      </c>
      <c r="C6" s="129">
        <v>50</v>
      </c>
      <c r="D6" s="142">
        <v>13</v>
      </c>
      <c r="E6" s="129">
        <v>23</v>
      </c>
      <c r="F6" s="286"/>
      <c r="G6" s="182" t="str">
        <v>R27</v>
      </c>
      <c r="H6" s="142">
        <v>63</v>
      </c>
      <c r="I6" s="129">
        <v>13</v>
      </c>
      <c r="J6" s="129">
        <v>20</v>
      </c>
      <c r="K6" s="129">
        <v>3</v>
      </c>
      <c r="L6" s="285"/>
      <c r="M6" s="183" t="str">
        <v>R60</v>
      </c>
      <c r="N6" s="129">
        <v>10</v>
      </c>
      <c r="O6" s="129">
        <v>37</v>
      </c>
      <c r="P6" s="129">
        <v>27</v>
      </c>
      <c r="Q6" s="142">
        <v>27</v>
      </c>
      <c r="R6" s="284"/>
      <c r="S6" s="184" t="str">
        <v>R92</v>
      </c>
      <c r="T6" s="142">
        <v>13</v>
      </c>
      <c r="U6" s="129">
        <v>37</v>
      </c>
      <c r="V6" s="129">
        <v>50</v>
      </c>
      <c r="W6" s="129">
        <v>0</v>
      </c>
    </row>
    <row r="7" spans="1:23" x14ac:dyDescent="0.35">
      <c r="A7" s="181" t="str">
        <v>R3</v>
      </c>
      <c r="B7" s="129">
        <v>30</v>
      </c>
      <c r="C7" s="142">
        <v>27</v>
      </c>
      <c r="D7" s="129">
        <v>20</v>
      </c>
      <c r="E7" s="129">
        <v>23</v>
      </c>
      <c r="F7" s="286"/>
      <c r="G7" s="182" t="str">
        <v>R28</v>
      </c>
      <c r="H7" s="129">
        <v>7</v>
      </c>
      <c r="I7" s="142">
        <v>47</v>
      </c>
      <c r="J7" s="129">
        <v>30</v>
      </c>
      <c r="K7" s="129">
        <v>17</v>
      </c>
      <c r="L7" s="285"/>
      <c r="M7" s="183" t="str">
        <v>R62</v>
      </c>
      <c r="N7" s="129">
        <v>33</v>
      </c>
      <c r="O7" s="129">
        <v>37</v>
      </c>
      <c r="P7" s="142">
        <v>23</v>
      </c>
      <c r="Q7" s="129">
        <v>7</v>
      </c>
      <c r="R7" s="284"/>
      <c r="S7" s="184" t="str">
        <v>R93</v>
      </c>
      <c r="T7" s="129">
        <v>13</v>
      </c>
      <c r="U7" s="129">
        <v>83</v>
      </c>
      <c r="V7" s="142">
        <v>3</v>
      </c>
      <c r="W7" s="129">
        <v>0</v>
      </c>
    </row>
    <row r="8" spans="1:23" x14ac:dyDescent="0.35">
      <c r="A8" s="181" t="str">
        <v>R4</v>
      </c>
      <c r="B8" s="129">
        <v>20</v>
      </c>
      <c r="C8" s="129">
        <v>13</v>
      </c>
      <c r="D8" s="142">
        <v>43</v>
      </c>
      <c r="E8" s="129">
        <v>23</v>
      </c>
      <c r="F8" s="286"/>
      <c r="G8" s="182" t="str">
        <v>R29</v>
      </c>
      <c r="H8" s="129">
        <v>7</v>
      </c>
      <c r="I8" s="129">
        <v>10</v>
      </c>
      <c r="J8" s="142">
        <v>73</v>
      </c>
      <c r="K8" s="129">
        <v>10</v>
      </c>
      <c r="L8" s="285"/>
      <c r="M8" s="183" t="str">
        <v>R63</v>
      </c>
      <c r="N8" s="129">
        <v>27</v>
      </c>
      <c r="O8" s="142">
        <v>37</v>
      </c>
      <c r="P8" s="129">
        <v>30</v>
      </c>
      <c r="Q8" s="129">
        <v>7</v>
      </c>
      <c r="R8" s="284"/>
      <c r="S8" s="184" t="str">
        <v>R94</v>
      </c>
      <c r="T8" s="129">
        <v>43</v>
      </c>
      <c r="U8" s="142">
        <v>30</v>
      </c>
      <c r="V8" s="129">
        <v>27</v>
      </c>
      <c r="W8" s="129">
        <v>0</v>
      </c>
    </row>
    <row r="9" spans="1:23" x14ac:dyDescent="0.35">
      <c r="A9" s="181" t="str">
        <v>R5</v>
      </c>
      <c r="B9" s="129">
        <v>27</v>
      </c>
      <c r="C9" s="129">
        <v>13</v>
      </c>
      <c r="D9" s="129">
        <v>43</v>
      </c>
      <c r="E9" s="142">
        <v>17</v>
      </c>
      <c r="F9" s="286"/>
      <c r="G9" s="182" t="str">
        <v>R30</v>
      </c>
      <c r="H9" s="129">
        <v>37</v>
      </c>
      <c r="I9" s="142">
        <v>23</v>
      </c>
      <c r="J9" s="129">
        <v>7</v>
      </c>
      <c r="K9" s="129">
        <v>33</v>
      </c>
      <c r="L9" s="285"/>
      <c r="M9" s="183" t="str">
        <v>R79</v>
      </c>
      <c r="N9" s="129">
        <v>7</v>
      </c>
      <c r="O9" s="142">
        <v>57</v>
      </c>
      <c r="P9" s="129">
        <v>23</v>
      </c>
      <c r="Q9" s="129">
        <v>13</v>
      </c>
      <c r="R9" s="284"/>
      <c r="S9" s="184" t="str">
        <v>R95</v>
      </c>
      <c r="T9" s="142">
        <v>37</v>
      </c>
      <c r="U9" s="129">
        <v>30</v>
      </c>
      <c r="V9" s="129">
        <v>30</v>
      </c>
      <c r="W9" s="129">
        <v>0</v>
      </c>
    </row>
    <row r="10" spans="1:23" x14ac:dyDescent="0.35">
      <c r="A10" s="181" t="str">
        <v>R6</v>
      </c>
      <c r="B10" s="142">
        <v>30</v>
      </c>
      <c r="C10" s="129">
        <v>27</v>
      </c>
      <c r="D10" s="129">
        <v>20</v>
      </c>
      <c r="E10" s="129">
        <v>23</v>
      </c>
      <c r="F10" s="286"/>
      <c r="G10" s="182" t="str">
        <v>R31</v>
      </c>
      <c r="H10" s="129">
        <v>3</v>
      </c>
      <c r="I10" s="142">
        <v>27</v>
      </c>
      <c r="J10" s="129">
        <v>33</v>
      </c>
      <c r="K10" s="129">
        <v>37</v>
      </c>
      <c r="L10" s="285"/>
      <c r="M10" s="185" t="str">
        <v>R51</v>
      </c>
      <c r="N10" s="129">
        <v>33</v>
      </c>
      <c r="O10" s="129">
        <v>27</v>
      </c>
      <c r="P10" s="142">
        <v>27</v>
      </c>
      <c r="Q10" s="129">
        <v>13</v>
      </c>
      <c r="R10" s="284"/>
      <c r="S10" s="184" t="str">
        <v>R96</v>
      </c>
      <c r="T10" s="142">
        <v>47</v>
      </c>
      <c r="U10" s="129">
        <v>40</v>
      </c>
      <c r="V10" s="129">
        <v>13</v>
      </c>
      <c r="W10" s="129">
        <v>0</v>
      </c>
    </row>
    <row r="11" spans="1:23" x14ac:dyDescent="0.35">
      <c r="A11" s="181" t="str">
        <v>R7</v>
      </c>
      <c r="B11" s="129">
        <v>30</v>
      </c>
      <c r="C11" s="129">
        <v>17</v>
      </c>
      <c r="D11" s="129">
        <v>30</v>
      </c>
      <c r="E11" s="142">
        <v>23</v>
      </c>
      <c r="F11" s="286"/>
      <c r="G11" s="182" t="str">
        <v>R32</v>
      </c>
      <c r="H11" s="129">
        <v>3</v>
      </c>
      <c r="I11" s="129">
        <v>27</v>
      </c>
      <c r="J11" s="142">
        <v>50</v>
      </c>
      <c r="K11" s="129">
        <v>20</v>
      </c>
      <c r="L11" s="285"/>
      <c r="M11" s="185" t="str">
        <v>R52</v>
      </c>
      <c r="N11" s="129">
        <v>27</v>
      </c>
      <c r="O11" s="142">
        <v>53</v>
      </c>
      <c r="P11" s="129">
        <v>17</v>
      </c>
      <c r="Q11" s="129">
        <v>3</v>
      </c>
      <c r="R11" s="284"/>
      <c r="S11" s="184" t="str">
        <v>R97</v>
      </c>
      <c r="T11" s="129">
        <v>13</v>
      </c>
      <c r="U11" s="142">
        <v>60</v>
      </c>
      <c r="V11" s="129">
        <v>27</v>
      </c>
      <c r="W11" s="129">
        <v>0</v>
      </c>
    </row>
    <row r="12" spans="1:23" x14ac:dyDescent="0.35">
      <c r="A12" s="181" t="str">
        <v>R8</v>
      </c>
      <c r="B12" s="129">
        <v>27</v>
      </c>
      <c r="C12" s="129">
        <v>27</v>
      </c>
      <c r="D12" s="142">
        <v>43</v>
      </c>
      <c r="E12" s="129">
        <v>3</v>
      </c>
      <c r="F12" s="286"/>
      <c r="G12" s="182" t="str">
        <v>R33</v>
      </c>
      <c r="H12" s="129">
        <v>37</v>
      </c>
      <c r="I12" s="129">
        <v>30</v>
      </c>
      <c r="J12" s="142">
        <v>20</v>
      </c>
      <c r="K12" s="129">
        <v>13</v>
      </c>
      <c r="L12" s="285"/>
      <c r="M12" s="185" t="str">
        <v>R55</v>
      </c>
      <c r="N12" s="129">
        <v>13</v>
      </c>
      <c r="O12" s="142">
        <v>47</v>
      </c>
      <c r="P12" s="129">
        <v>27</v>
      </c>
      <c r="Q12" s="129">
        <v>13</v>
      </c>
      <c r="R12" s="284"/>
      <c r="S12" s="184" t="str">
        <v>R98</v>
      </c>
      <c r="T12" s="129">
        <v>40</v>
      </c>
      <c r="U12" s="129">
        <v>27</v>
      </c>
      <c r="V12" s="142">
        <v>33</v>
      </c>
      <c r="W12" s="129">
        <v>0</v>
      </c>
    </row>
    <row r="13" spans="1:23" x14ac:dyDescent="0.35">
      <c r="A13" s="181" t="str">
        <v>R9</v>
      </c>
      <c r="B13" s="129">
        <v>20</v>
      </c>
      <c r="C13" s="129">
        <v>27</v>
      </c>
      <c r="D13" s="142">
        <v>40</v>
      </c>
      <c r="E13" s="129">
        <v>13</v>
      </c>
      <c r="F13" s="286"/>
      <c r="G13" s="182" t="str">
        <v>R34</v>
      </c>
      <c r="H13" s="129">
        <v>13</v>
      </c>
      <c r="I13" s="129">
        <v>27</v>
      </c>
      <c r="J13" s="142">
        <v>23</v>
      </c>
      <c r="K13" s="129">
        <v>37</v>
      </c>
      <c r="L13" s="285"/>
      <c r="M13" s="185" t="str">
        <v>R57</v>
      </c>
      <c r="N13" s="129">
        <v>23</v>
      </c>
      <c r="O13" s="129">
        <v>33</v>
      </c>
      <c r="P13" s="142">
        <v>30</v>
      </c>
      <c r="Q13" s="129">
        <v>13</v>
      </c>
      <c r="R13" s="284"/>
      <c r="S13" s="184" t="str">
        <v>R99</v>
      </c>
      <c r="T13" s="129">
        <v>40</v>
      </c>
      <c r="U13" s="129">
        <v>40</v>
      </c>
      <c r="V13" s="142">
        <v>20</v>
      </c>
      <c r="W13" s="129">
        <v>0</v>
      </c>
    </row>
    <row r="14" spans="1:23" x14ac:dyDescent="0.35">
      <c r="A14" s="181" t="str">
        <v>R10</v>
      </c>
      <c r="B14" s="142">
        <v>7</v>
      </c>
      <c r="C14" s="129">
        <v>50</v>
      </c>
      <c r="D14" s="129">
        <v>30</v>
      </c>
      <c r="E14" s="129">
        <v>13</v>
      </c>
      <c r="F14" s="286"/>
      <c r="G14" s="182" t="str">
        <v>R35</v>
      </c>
      <c r="H14" s="129">
        <v>20</v>
      </c>
      <c r="I14" s="129">
        <v>53</v>
      </c>
      <c r="J14" s="142">
        <v>7</v>
      </c>
      <c r="K14" s="129">
        <v>20</v>
      </c>
      <c r="L14" s="285"/>
      <c r="M14" s="185" t="str">
        <v>R61</v>
      </c>
      <c r="N14" s="129">
        <v>13</v>
      </c>
      <c r="O14" s="129">
        <v>30</v>
      </c>
      <c r="P14" s="142">
        <v>47</v>
      </c>
      <c r="Q14" s="129">
        <v>10</v>
      </c>
      <c r="R14" s="284"/>
      <c r="S14" s="184" t="str">
        <v>R100</v>
      </c>
      <c r="T14" s="129">
        <v>13</v>
      </c>
      <c r="U14" s="129">
        <v>43</v>
      </c>
      <c r="V14" s="142">
        <v>43</v>
      </c>
      <c r="W14" s="129">
        <v>0</v>
      </c>
    </row>
    <row r="15" spans="1:23" x14ac:dyDescent="0.35">
      <c r="A15" s="181" t="str">
        <v>R11</v>
      </c>
      <c r="B15" s="129">
        <v>17</v>
      </c>
      <c r="C15" s="129">
        <v>17</v>
      </c>
      <c r="D15" s="129">
        <v>13</v>
      </c>
      <c r="E15" s="142">
        <v>50</v>
      </c>
      <c r="F15" s="286"/>
      <c r="G15" s="182" t="str">
        <v>R36</v>
      </c>
      <c r="H15" s="129">
        <v>27</v>
      </c>
      <c r="I15" s="129">
        <v>10</v>
      </c>
      <c r="J15" s="142">
        <v>43</v>
      </c>
      <c r="K15" s="129">
        <v>20</v>
      </c>
      <c r="L15" s="285"/>
      <c r="M15" s="185" t="str">
        <v>R68</v>
      </c>
      <c r="N15" s="142">
        <v>33</v>
      </c>
      <c r="O15" s="129">
        <v>43</v>
      </c>
      <c r="P15" s="129">
        <v>13</v>
      </c>
      <c r="Q15" s="129">
        <v>10</v>
      </c>
      <c r="R15" s="284"/>
      <c r="S15" s="184" t="str">
        <v>R101</v>
      </c>
      <c r="T15" s="129">
        <v>27</v>
      </c>
      <c r="U15" s="142">
        <v>40</v>
      </c>
      <c r="V15" s="129">
        <v>33</v>
      </c>
      <c r="W15" s="129">
        <v>0</v>
      </c>
    </row>
    <row r="16" spans="1:23" x14ac:dyDescent="0.35">
      <c r="A16" s="181" t="str">
        <v>R12</v>
      </c>
      <c r="B16" s="142">
        <v>17</v>
      </c>
      <c r="C16" s="129">
        <v>23</v>
      </c>
      <c r="D16" s="129">
        <v>10</v>
      </c>
      <c r="E16" s="129">
        <v>50</v>
      </c>
      <c r="F16" s="286"/>
      <c r="G16" s="182" t="str">
        <v>R37</v>
      </c>
      <c r="H16" s="129">
        <v>17</v>
      </c>
      <c r="I16" s="142">
        <v>20</v>
      </c>
      <c r="J16" s="129">
        <v>27</v>
      </c>
      <c r="K16" s="129">
        <v>33</v>
      </c>
      <c r="L16" s="285"/>
      <c r="M16" s="185" t="str">
        <v>R70</v>
      </c>
      <c r="N16" s="129">
        <v>17</v>
      </c>
      <c r="O16" s="129">
        <v>27</v>
      </c>
      <c r="P16" s="142">
        <v>40</v>
      </c>
      <c r="Q16" s="129">
        <v>17</v>
      </c>
      <c r="R16" s="284"/>
      <c r="S16" s="184" t="str">
        <v>R102</v>
      </c>
      <c r="T16" s="129">
        <v>57</v>
      </c>
      <c r="U16" s="129">
        <v>23</v>
      </c>
      <c r="V16" s="142">
        <v>20</v>
      </c>
      <c r="W16" s="129">
        <v>0</v>
      </c>
    </row>
    <row r="17" spans="1:23" x14ac:dyDescent="0.35">
      <c r="A17" s="181" t="str">
        <v>R13</v>
      </c>
      <c r="B17" s="129">
        <v>17</v>
      </c>
      <c r="C17" s="129">
        <v>37</v>
      </c>
      <c r="D17" s="129">
        <v>13</v>
      </c>
      <c r="E17" s="142">
        <v>33</v>
      </c>
      <c r="F17" s="286"/>
      <c r="G17" s="182" t="str">
        <v>R38</v>
      </c>
      <c r="H17" s="129">
        <v>10</v>
      </c>
      <c r="I17" s="129">
        <v>0</v>
      </c>
      <c r="J17" s="142">
        <v>60</v>
      </c>
      <c r="K17" s="129">
        <v>30</v>
      </c>
      <c r="L17" s="285"/>
      <c r="M17" s="185" t="str">
        <v>R71</v>
      </c>
      <c r="N17" s="142">
        <v>20</v>
      </c>
      <c r="O17" s="129">
        <v>47</v>
      </c>
      <c r="P17" s="129">
        <v>23</v>
      </c>
      <c r="Q17" s="129">
        <v>10</v>
      </c>
      <c r="R17" s="284"/>
      <c r="S17" s="184" t="str">
        <v>R103</v>
      </c>
      <c r="T17" s="129">
        <v>47</v>
      </c>
      <c r="U17" s="142">
        <v>40</v>
      </c>
      <c r="V17" s="129">
        <v>13</v>
      </c>
      <c r="W17" s="129">
        <v>0</v>
      </c>
    </row>
    <row r="18" spans="1:23" x14ac:dyDescent="0.35">
      <c r="A18" s="181" t="str">
        <v>R14</v>
      </c>
      <c r="B18" s="129">
        <v>10</v>
      </c>
      <c r="C18" s="129">
        <v>67</v>
      </c>
      <c r="D18" s="129">
        <v>13</v>
      </c>
      <c r="E18" s="142">
        <v>10</v>
      </c>
      <c r="F18" s="286"/>
      <c r="G18" s="182" t="str">
        <v>R39</v>
      </c>
      <c r="H18" s="129">
        <v>50</v>
      </c>
      <c r="I18" s="129">
        <v>3</v>
      </c>
      <c r="J18" s="142">
        <v>47</v>
      </c>
      <c r="K18" s="129">
        <v>0</v>
      </c>
      <c r="L18" s="285"/>
      <c r="M18" s="185" t="str">
        <v>R72</v>
      </c>
      <c r="N18" s="129">
        <v>43</v>
      </c>
      <c r="O18" s="129">
        <v>20</v>
      </c>
      <c r="P18" s="142">
        <v>20</v>
      </c>
      <c r="Q18" s="129">
        <v>17</v>
      </c>
      <c r="R18" s="284"/>
      <c r="S18" s="184" t="str">
        <v>R104</v>
      </c>
      <c r="T18" s="142">
        <v>43</v>
      </c>
      <c r="U18" s="129">
        <v>40</v>
      </c>
      <c r="V18" s="129">
        <v>17</v>
      </c>
      <c r="W18" s="129">
        <v>0</v>
      </c>
    </row>
    <row r="19" spans="1:23" x14ac:dyDescent="0.35">
      <c r="A19" s="181" t="str">
        <v>R15</v>
      </c>
      <c r="B19" s="129">
        <v>17</v>
      </c>
      <c r="C19" s="129">
        <v>23</v>
      </c>
      <c r="D19" s="142">
        <v>43</v>
      </c>
      <c r="E19" s="129">
        <v>17</v>
      </c>
      <c r="F19" s="286"/>
      <c r="G19" s="182" t="str">
        <v>R40</v>
      </c>
      <c r="H19" s="129">
        <v>33</v>
      </c>
      <c r="I19" s="129">
        <v>33</v>
      </c>
      <c r="J19" s="129">
        <v>20</v>
      </c>
      <c r="K19" s="142">
        <v>13</v>
      </c>
      <c r="L19" s="285"/>
      <c r="M19" s="185" t="str">
        <v>R73</v>
      </c>
      <c r="N19" s="142">
        <v>50</v>
      </c>
      <c r="O19" s="129">
        <v>30</v>
      </c>
      <c r="P19" s="129">
        <v>20</v>
      </c>
      <c r="Q19" s="129">
        <v>0</v>
      </c>
      <c r="R19" s="284"/>
      <c r="S19" s="184" t="str">
        <v>R105</v>
      </c>
      <c r="T19" s="129">
        <v>27</v>
      </c>
      <c r="U19" s="129">
        <v>23</v>
      </c>
      <c r="V19" s="142">
        <v>50</v>
      </c>
      <c r="W19" s="129">
        <v>0</v>
      </c>
    </row>
    <row r="20" spans="1:23" x14ac:dyDescent="0.35">
      <c r="A20" s="181" t="str">
        <v>R16</v>
      </c>
      <c r="B20" s="129">
        <v>37</v>
      </c>
      <c r="C20" s="142">
        <v>40</v>
      </c>
      <c r="D20" s="129">
        <v>20</v>
      </c>
      <c r="E20" s="129">
        <v>3</v>
      </c>
      <c r="F20" s="286"/>
      <c r="G20" s="182" t="str">
        <v>R41</v>
      </c>
      <c r="H20" s="129">
        <v>57</v>
      </c>
      <c r="I20" s="142">
        <v>7</v>
      </c>
      <c r="J20" s="129">
        <v>23</v>
      </c>
      <c r="K20" s="129">
        <v>13</v>
      </c>
      <c r="L20" s="285"/>
      <c r="M20" s="185" t="str">
        <v>R75</v>
      </c>
      <c r="N20" s="129">
        <v>43</v>
      </c>
      <c r="O20" s="129">
        <v>23</v>
      </c>
      <c r="P20" s="129">
        <v>0</v>
      </c>
      <c r="Q20" s="142">
        <v>33</v>
      </c>
      <c r="R20" s="284"/>
      <c r="S20" s="184" t="str">
        <v>R106</v>
      </c>
      <c r="T20" s="129">
        <v>47</v>
      </c>
      <c r="U20" s="129">
        <v>30</v>
      </c>
      <c r="V20" s="142">
        <v>23</v>
      </c>
      <c r="W20" s="129">
        <v>0</v>
      </c>
    </row>
    <row r="21" spans="1:23" x14ac:dyDescent="0.35">
      <c r="A21" s="181" t="str">
        <v>R17</v>
      </c>
      <c r="B21" s="129">
        <v>10</v>
      </c>
      <c r="C21" s="129">
        <v>27</v>
      </c>
      <c r="D21" s="142">
        <v>23</v>
      </c>
      <c r="E21" s="129">
        <v>40</v>
      </c>
      <c r="F21" s="286"/>
      <c r="G21" s="182" t="str">
        <v>R42</v>
      </c>
      <c r="H21" s="129">
        <v>13</v>
      </c>
      <c r="I21" s="129">
        <v>37</v>
      </c>
      <c r="J21" s="142">
        <v>20</v>
      </c>
      <c r="K21" s="129">
        <v>30</v>
      </c>
      <c r="L21" s="285"/>
      <c r="M21" s="185" t="str">
        <v>R77</v>
      </c>
      <c r="N21" s="129">
        <v>17</v>
      </c>
      <c r="O21" s="129">
        <v>27</v>
      </c>
      <c r="P21" s="129">
        <v>43</v>
      </c>
      <c r="Q21" s="142">
        <v>13</v>
      </c>
      <c r="R21" s="284"/>
      <c r="S21" s="184" t="str">
        <v>R107</v>
      </c>
      <c r="T21" s="129">
        <v>30</v>
      </c>
      <c r="U21" s="142">
        <v>30</v>
      </c>
      <c r="V21" s="129">
        <v>40</v>
      </c>
      <c r="W21" s="129">
        <v>0</v>
      </c>
    </row>
    <row r="22" spans="1:23" x14ac:dyDescent="0.35">
      <c r="A22" s="181" t="str">
        <v>R18</v>
      </c>
      <c r="B22" s="129">
        <v>23</v>
      </c>
      <c r="C22" s="142">
        <v>53</v>
      </c>
      <c r="D22" s="129">
        <v>10</v>
      </c>
      <c r="E22" s="129">
        <v>13</v>
      </c>
      <c r="F22" s="286"/>
      <c r="G22" s="182" t="str">
        <v>R43</v>
      </c>
      <c r="H22" s="142">
        <v>17</v>
      </c>
      <c r="I22" s="129">
        <v>33</v>
      </c>
      <c r="J22" s="129">
        <v>27</v>
      </c>
      <c r="K22" s="129">
        <v>23</v>
      </c>
      <c r="L22" s="285"/>
      <c r="M22" s="185" t="str">
        <v>R78</v>
      </c>
      <c r="N22" s="129">
        <v>40</v>
      </c>
      <c r="O22" s="129">
        <v>23</v>
      </c>
      <c r="P22" s="142">
        <v>30</v>
      </c>
      <c r="Q22" s="129">
        <v>7</v>
      </c>
      <c r="R22" s="284"/>
      <c r="S22" s="184" t="str">
        <v>R108</v>
      </c>
      <c r="T22" s="129">
        <v>47</v>
      </c>
      <c r="U22" s="142">
        <v>50</v>
      </c>
      <c r="V22" s="129">
        <v>3</v>
      </c>
      <c r="W22" s="129">
        <v>0</v>
      </c>
    </row>
    <row r="23" spans="1:23" x14ac:dyDescent="0.35">
      <c r="A23" s="181" t="str">
        <v>R19</v>
      </c>
      <c r="B23" s="142">
        <v>67</v>
      </c>
      <c r="C23" s="129">
        <v>23</v>
      </c>
      <c r="D23" s="129">
        <v>10</v>
      </c>
      <c r="E23" s="129">
        <v>0</v>
      </c>
      <c r="F23" s="286"/>
      <c r="G23" s="182" t="str">
        <v>R44</v>
      </c>
      <c r="H23" s="142">
        <v>30</v>
      </c>
      <c r="I23" s="129">
        <v>47</v>
      </c>
      <c r="J23" s="129">
        <v>13</v>
      </c>
      <c r="K23" s="129">
        <v>10</v>
      </c>
      <c r="L23" s="285"/>
      <c r="M23" s="186" t="str">
        <v>R53</v>
      </c>
      <c r="N23" s="129">
        <v>20</v>
      </c>
      <c r="O23" s="142">
        <v>50</v>
      </c>
      <c r="P23" s="129">
        <v>20</v>
      </c>
      <c r="Q23" s="129">
        <v>10</v>
      </c>
      <c r="R23" s="284"/>
      <c r="S23" s="184" t="str">
        <v>R109</v>
      </c>
      <c r="T23" s="142">
        <v>40</v>
      </c>
      <c r="U23" s="129">
        <v>30</v>
      </c>
      <c r="V23" s="129">
        <v>30</v>
      </c>
      <c r="W23" s="129">
        <v>0</v>
      </c>
    </row>
    <row r="24" spans="1:23" x14ac:dyDescent="0.35">
      <c r="A24" s="181" t="str">
        <v>R20</v>
      </c>
      <c r="B24" s="142">
        <v>67</v>
      </c>
      <c r="C24" s="129">
        <v>13</v>
      </c>
      <c r="D24" s="129">
        <v>13</v>
      </c>
      <c r="E24" s="129">
        <v>7</v>
      </c>
      <c r="F24" s="286"/>
      <c r="G24" s="182" t="str">
        <v>R45</v>
      </c>
      <c r="H24" s="129">
        <v>37</v>
      </c>
      <c r="I24" s="129">
        <v>20</v>
      </c>
      <c r="J24" s="142">
        <v>20</v>
      </c>
      <c r="K24" s="129">
        <v>23</v>
      </c>
      <c r="L24" s="285"/>
      <c r="M24" s="186" t="str">
        <v>R56</v>
      </c>
      <c r="N24" s="129">
        <v>33</v>
      </c>
      <c r="O24" s="142">
        <v>60</v>
      </c>
      <c r="P24" s="129">
        <v>7</v>
      </c>
      <c r="Q24" s="129">
        <v>0</v>
      </c>
      <c r="R24" s="284"/>
      <c r="S24" s="184" t="str">
        <v>R110</v>
      </c>
      <c r="T24" s="129">
        <v>13</v>
      </c>
      <c r="U24" s="129">
        <v>43</v>
      </c>
      <c r="V24" s="142">
        <v>43</v>
      </c>
      <c r="W24" s="129">
        <v>0</v>
      </c>
    </row>
    <row r="25" spans="1:23" x14ac:dyDescent="0.35">
      <c r="A25" s="181" t="str">
        <v>R21</v>
      </c>
      <c r="B25" s="129">
        <v>10</v>
      </c>
      <c r="C25" s="129">
        <v>7</v>
      </c>
      <c r="D25" s="142">
        <v>73</v>
      </c>
      <c r="E25" s="129">
        <v>10</v>
      </c>
      <c r="F25" s="286"/>
      <c r="G25" s="182" t="str">
        <v>R46</v>
      </c>
      <c r="H25" s="129">
        <v>43</v>
      </c>
      <c r="I25" s="142">
        <v>27</v>
      </c>
      <c r="J25" s="129">
        <v>17</v>
      </c>
      <c r="K25" s="129">
        <v>13</v>
      </c>
      <c r="L25" s="285"/>
      <c r="M25" s="186" t="str">
        <v>R58</v>
      </c>
      <c r="N25" s="142">
        <v>7</v>
      </c>
      <c r="O25" s="129">
        <v>33</v>
      </c>
      <c r="P25" s="129">
        <v>20</v>
      </c>
      <c r="Q25" s="129">
        <v>37</v>
      </c>
      <c r="R25" s="284"/>
      <c r="S25" s="184" t="str">
        <v>R111</v>
      </c>
      <c r="T25" s="129">
        <v>13</v>
      </c>
      <c r="U25" s="142">
        <v>37</v>
      </c>
      <c r="V25" s="129">
        <v>50</v>
      </c>
      <c r="W25" s="129">
        <v>0</v>
      </c>
    </row>
    <row r="26" spans="1:23" x14ac:dyDescent="0.35">
      <c r="A26" s="181" t="str">
        <v>R22</v>
      </c>
      <c r="B26" s="129">
        <v>13</v>
      </c>
      <c r="C26" s="142">
        <v>17</v>
      </c>
      <c r="D26" s="129">
        <v>30</v>
      </c>
      <c r="E26" s="129">
        <v>40</v>
      </c>
      <c r="F26" s="286"/>
      <c r="G26" s="182" t="str">
        <v>R47</v>
      </c>
      <c r="H26" s="129">
        <v>23</v>
      </c>
      <c r="I26" s="129">
        <v>37</v>
      </c>
      <c r="J26" s="129">
        <v>37</v>
      </c>
      <c r="K26" s="142">
        <v>3</v>
      </c>
      <c r="L26" s="285"/>
      <c r="M26" s="186" t="str">
        <v>R59</v>
      </c>
      <c r="N26" s="129">
        <v>23</v>
      </c>
      <c r="O26" s="142">
        <v>40</v>
      </c>
      <c r="P26" s="129">
        <v>17</v>
      </c>
      <c r="Q26" s="129">
        <v>20</v>
      </c>
      <c r="R26" s="284"/>
      <c r="S26" s="184" t="str">
        <v>R112</v>
      </c>
      <c r="T26" s="129">
        <v>53</v>
      </c>
      <c r="U26" s="129">
        <v>23</v>
      </c>
      <c r="V26" s="142">
        <v>23</v>
      </c>
      <c r="W26" s="129">
        <v>0</v>
      </c>
    </row>
    <row r="27" spans="1:23" x14ac:dyDescent="0.35">
      <c r="A27" s="181" t="str">
        <v>R23</v>
      </c>
      <c r="B27" s="129">
        <v>23</v>
      </c>
      <c r="C27" s="142">
        <v>43</v>
      </c>
      <c r="D27" s="129">
        <v>23</v>
      </c>
      <c r="E27" s="129">
        <v>10</v>
      </c>
      <c r="F27" s="286"/>
      <c r="G27" s="182" t="str">
        <v>R48</v>
      </c>
      <c r="H27" s="129">
        <v>27</v>
      </c>
      <c r="I27" s="129">
        <v>27</v>
      </c>
      <c r="J27" s="142">
        <v>23</v>
      </c>
      <c r="K27" s="129">
        <v>20</v>
      </c>
      <c r="L27" s="285"/>
      <c r="M27" s="186" t="str">
        <v>R64</v>
      </c>
      <c r="N27" s="129">
        <v>30</v>
      </c>
      <c r="O27" s="142">
        <v>37</v>
      </c>
      <c r="P27" s="129">
        <v>33</v>
      </c>
      <c r="Q27" s="129">
        <v>0</v>
      </c>
      <c r="R27" s="284"/>
      <c r="S27" s="184" t="str">
        <v>R113</v>
      </c>
      <c r="T27" s="129">
        <v>13</v>
      </c>
      <c r="U27" s="129">
        <v>20</v>
      </c>
      <c r="V27" s="142">
        <v>67</v>
      </c>
      <c r="W27" s="129">
        <v>0</v>
      </c>
    </row>
    <row r="28" spans="1:23" x14ac:dyDescent="0.35">
      <c r="A28" s="181" t="str">
        <v>R24</v>
      </c>
      <c r="B28" s="129">
        <v>30</v>
      </c>
      <c r="C28" s="129">
        <v>23</v>
      </c>
      <c r="D28" s="129">
        <v>37</v>
      </c>
      <c r="E28" s="142">
        <v>10</v>
      </c>
      <c r="F28" s="286"/>
      <c r="G28" s="182" t="str">
        <v>R49</v>
      </c>
      <c r="H28" s="129">
        <v>30</v>
      </c>
      <c r="I28" s="129">
        <v>20</v>
      </c>
      <c r="J28" s="142">
        <v>27</v>
      </c>
      <c r="K28" s="129">
        <v>23</v>
      </c>
      <c r="L28" s="285"/>
      <c r="M28" s="186" t="str">
        <v>R65</v>
      </c>
      <c r="N28" s="142">
        <v>33</v>
      </c>
      <c r="O28" s="129">
        <v>27</v>
      </c>
      <c r="P28" s="129">
        <v>3</v>
      </c>
      <c r="Q28" s="129">
        <v>37</v>
      </c>
      <c r="R28" s="284"/>
      <c r="S28" s="184" t="str">
        <v>R114</v>
      </c>
      <c r="T28" s="142">
        <v>63</v>
      </c>
      <c r="U28" s="129">
        <v>17</v>
      </c>
      <c r="V28" s="129">
        <v>20</v>
      </c>
      <c r="W28" s="129">
        <v>0</v>
      </c>
    </row>
    <row r="29" spans="1:23" ht="15" thickBot="1" x14ac:dyDescent="0.4">
      <c r="A29" s="187" t="str">
        <v>R25</v>
      </c>
      <c r="B29" s="129">
        <v>33</v>
      </c>
      <c r="C29" s="129">
        <v>17</v>
      </c>
      <c r="D29" s="142">
        <v>37</v>
      </c>
      <c r="E29" s="129">
        <v>13</v>
      </c>
      <c r="F29" s="286"/>
      <c r="G29" s="188" t="str">
        <v>R50</v>
      </c>
      <c r="H29" s="129">
        <v>50</v>
      </c>
      <c r="I29" s="142">
        <v>30</v>
      </c>
      <c r="J29" s="129">
        <v>7</v>
      </c>
      <c r="K29" s="129">
        <v>13</v>
      </c>
      <c r="L29" s="285"/>
      <c r="M29" s="186" t="str">
        <v>R66</v>
      </c>
      <c r="N29" s="142">
        <v>17</v>
      </c>
      <c r="O29" s="129">
        <v>50</v>
      </c>
      <c r="P29" s="129">
        <v>13</v>
      </c>
      <c r="Q29" s="129">
        <v>20</v>
      </c>
      <c r="R29" s="284"/>
      <c r="S29" s="184" t="str">
        <v>R115</v>
      </c>
      <c r="T29" s="129">
        <v>70</v>
      </c>
      <c r="U29" s="129">
        <v>17</v>
      </c>
      <c r="V29" s="142">
        <v>13</v>
      </c>
      <c r="W29" s="129">
        <v>0</v>
      </c>
    </row>
    <row r="30" spans="1:23" x14ac:dyDescent="0.35">
      <c r="A30" s="276" t="s">
        <v>1718</v>
      </c>
      <c r="B30" s="276"/>
      <c r="C30" s="276"/>
      <c r="D30" s="276"/>
      <c r="E30" s="276"/>
      <c r="F30" s="276"/>
      <c r="G30" s="276"/>
      <c r="H30" s="276"/>
      <c r="I30" s="276"/>
      <c r="J30" s="277"/>
      <c r="K30" s="277"/>
      <c r="L30" s="277"/>
      <c r="M30" s="186" t="str">
        <v>R67</v>
      </c>
      <c r="N30" s="142">
        <v>33</v>
      </c>
      <c r="O30" s="129">
        <v>30</v>
      </c>
      <c r="P30" s="129">
        <v>30</v>
      </c>
      <c r="Q30" s="129">
        <v>7</v>
      </c>
      <c r="R30" s="284"/>
      <c r="S30" s="184" t="str">
        <v>R116</v>
      </c>
      <c r="T30" s="142">
        <v>67</v>
      </c>
      <c r="U30" s="129">
        <v>17</v>
      </c>
      <c r="V30" s="129">
        <v>17</v>
      </c>
      <c r="W30" s="129">
        <v>0</v>
      </c>
    </row>
    <row r="31" spans="1:23" x14ac:dyDescent="0.35">
      <c r="A31" s="276"/>
      <c r="B31" s="276"/>
      <c r="C31" s="276"/>
      <c r="D31" s="276"/>
      <c r="E31" s="276"/>
      <c r="F31" s="276"/>
      <c r="G31" s="276"/>
      <c r="H31" s="276"/>
      <c r="I31" s="276"/>
      <c r="J31" s="277"/>
      <c r="K31" s="277"/>
      <c r="L31" s="277"/>
      <c r="M31" s="186" t="str">
        <v>R69</v>
      </c>
      <c r="N31" s="129">
        <v>30</v>
      </c>
      <c r="O31" s="129">
        <v>20</v>
      </c>
      <c r="P31" s="142">
        <v>33</v>
      </c>
      <c r="Q31" s="129">
        <v>17</v>
      </c>
      <c r="R31" s="284"/>
      <c r="S31" s="184" t="str">
        <v>R117</v>
      </c>
      <c r="T31" s="129">
        <v>23</v>
      </c>
      <c r="U31" s="142">
        <v>60</v>
      </c>
      <c r="V31" s="129">
        <v>17</v>
      </c>
      <c r="W31" s="129">
        <v>0</v>
      </c>
    </row>
    <row r="32" spans="1:23" x14ac:dyDescent="0.35">
      <c r="A32" s="276"/>
      <c r="B32" s="276"/>
      <c r="C32" s="276"/>
      <c r="D32" s="276"/>
      <c r="E32" s="276"/>
      <c r="F32" s="276"/>
      <c r="G32" s="276"/>
      <c r="H32" s="276"/>
      <c r="I32" s="276"/>
      <c r="J32" s="277"/>
      <c r="K32" s="277"/>
      <c r="L32" s="277"/>
      <c r="M32" s="186" t="str">
        <v>R74</v>
      </c>
      <c r="N32" s="129">
        <v>20</v>
      </c>
      <c r="O32" s="129">
        <v>20</v>
      </c>
      <c r="P32" s="142">
        <v>33</v>
      </c>
      <c r="Q32" s="129">
        <v>27</v>
      </c>
      <c r="R32" s="284"/>
      <c r="S32" s="184" t="str">
        <v>R118</v>
      </c>
      <c r="T32" s="142">
        <v>23</v>
      </c>
      <c r="U32" s="129">
        <v>70</v>
      </c>
      <c r="V32" s="129">
        <v>7</v>
      </c>
      <c r="W32" s="129">
        <v>0</v>
      </c>
    </row>
    <row r="33" spans="1:23" ht="15" thickBot="1" x14ac:dyDescent="0.4">
      <c r="A33" s="276"/>
      <c r="B33" s="276"/>
      <c r="C33" s="276"/>
      <c r="D33" s="276"/>
      <c r="E33" s="276"/>
      <c r="F33" s="276"/>
      <c r="G33" s="276"/>
      <c r="H33" s="276"/>
      <c r="I33" s="276"/>
      <c r="J33" s="277"/>
      <c r="K33" s="277"/>
      <c r="L33" s="277"/>
      <c r="M33" s="189" t="str">
        <v>R76</v>
      </c>
      <c r="N33" s="129">
        <v>27</v>
      </c>
      <c r="O33" s="142">
        <v>33</v>
      </c>
      <c r="P33" s="129">
        <v>33</v>
      </c>
      <c r="Q33" s="129">
        <v>7</v>
      </c>
      <c r="R33" s="284"/>
      <c r="S33" s="184" t="str">
        <v>R119</v>
      </c>
      <c r="T33" s="129">
        <v>17</v>
      </c>
      <c r="U33" s="142">
        <v>17</v>
      </c>
      <c r="V33" s="129">
        <v>67</v>
      </c>
      <c r="W33" s="129">
        <v>0</v>
      </c>
    </row>
    <row r="34" spans="1:23" ht="15" thickBot="1" x14ac:dyDescent="0.4">
      <c r="A34" s="276"/>
      <c r="B34" s="276"/>
      <c r="C34" s="276"/>
      <c r="D34" s="276"/>
      <c r="E34" s="276"/>
      <c r="F34" s="276"/>
      <c r="G34" s="276"/>
      <c r="H34" s="276"/>
      <c r="I34" s="276"/>
      <c r="J34" s="278"/>
      <c r="K34" s="278"/>
      <c r="L34" s="278"/>
      <c r="M34" s="277"/>
      <c r="N34" s="277"/>
      <c r="O34" s="277"/>
      <c r="P34" s="277"/>
      <c r="Q34" s="277"/>
      <c r="R34" s="279"/>
      <c r="S34" s="184" t="str">
        <v>R120</v>
      </c>
      <c r="T34" s="129">
        <v>20</v>
      </c>
      <c r="U34" s="142">
        <v>33</v>
      </c>
      <c r="V34" s="129">
        <v>20</v>
      </c>
      <c r="W34" s="129">
        <v>23</v>
      </c>
    </row>
    <row r="35" spans="1:23" ht="14.5" customHeight="1" x14ac:dyDescent="0.35">
      <c r="A35" s="276"/>
      <c r="B35" s="276"/>
      <c r="C35" s="276"/>
      <c r="D35" s="276"/>
      <c r="E35" s="276"/>
      <c r="F35" s="276"/>
      <c r="G35" s="276"/>
      <c r="H35" s="276"/>
      <c r="I35" s="276"/>
      <c r="J35" s="270" t="s">
        <v>1717</v>
      </c>
      <c r="K35" s="271"/>
      <c r="L35" s="271"/>
      <c r="M35" s="271"/>
      <c r="N35" s="271"/>
      <c r="O35" s="271"/>
      <c r="P35" s="271"/>
      <c r="Q35" s="272"/>
      <c r="R35" s="283"/>
      <c r="S35" s="184" t="str">
        <v>R121</v>
      </c>
      <c r="T35" s="129">
        <v>33</v>
      </c>
      <c r="U35" s="129">
        <v>30</v>
      </c>
      <c r="V35" s="129">
        <v>27</v>
      </c>
      <c r="W35" s="142">
        <v>10</v>
      </c>
    </row>
    <row r="36" spans="1:23" ht="14.5" customHeight="1" x14ac:dyDescent="0.35">
      <c r="A36" s="276"/>
      <c r="B36" s="276"/>
      <c r="C36" s="276"/>
      <c r="D36" s="276"/>
      <c r="E36" s="276"/>
      <c r="F36" s="276"/>
      <c r="G36" s="276"/>
      <c r="H36" s="276"/>
      <c r="I36" s="276"/>
      <c r="J36" s="273"/>
      <c r="K36" s="274"/>
      <c r="L36" s="274"/>
      <c r="M36" s="274"/>
      <c r="N36" s="274"/>
      <c r="O36" s="274"/>
      <c r="P36" s="274"/>
      <c r="Q36" s="275"/>
      <c r="R36" s="283"/>
      <c r="S36" s="184" t="str">
        <v>R122</v>
      </c>
      <c r="T36" s="129">
        <v>13</v>
      </c>
      <c r="U36" s="129">
        <v>27</v>
      </c>
      <c r="V36" s="142">
        <v>33</v>
      </c>
      <c r="W36" s="129">
        <v>27</v>
      </c>
    </row>
    <row r="37" spans="1:23" ht="14.5" customHeight="1" x14ac:dyDescent="0.35">
      <c r="A37" s="276"/>
      <c r="B37" s="276"/>
      <c r="C37" s="276"/>
      <c r="D37" s="276"/>
      <c r="E37" s="276"/>
      <c r="F37" s="276"/>
      <c r="G37" s="276"/>
      <c r="H37" s="276"/>
      <c r="I37" s="276"/>
      <c r="J37" s="273"/>
      <c r="K37" s="274"/>
      <c r="L37" s="274"/>
      <c r="M37" s="274"/>
      <c r="N37" s="274"/>
      <c r="O37" s="274"/>
      <c r="P37" s="274"/>
      <c r="Q37" s="275"/>
      <c r="R37" s="283"/>
      <c r="S37" s="184" t="str">
        <v>R123</v>
      </c>
      <c r="T37" s="129">
        <v>33</v>
      </c>
      <c r="U37" s="129">
        <v>30</v>
      </c>
      <c r="V37" s="142">
        <v>30</v>
      </c>
      <c r="W37" s="129">
        <v>7</v>
      </c>
    </row>
    <row r="38" spans="1:23" ht="17" x14ac:dyDescent="0.35">
      <c r="A38" s="276"/>
      <c r="B38" s="276"/>
      <c r="C38" s="276"/>
      <c r="D38" s="276"/>
      <c r="E38" s="276"/>
      <c r="F38" s="276"/>
      <c r="G38" s="276"/>
      <c r="H38" s="276"/>
      <c r="I38" s="276"/>
      <c r="J38" s="178" t="s">
        <v>1712</v>
      </c>
      <c r="K38" s="179" t="s">
        <v>330</v>
      </c>
      <c r="L38" s="179" t="s">
        <v>333</v>
      </c>
      <c r="M38" s="179" t="s">
        <v>331</v>
      </c>
      <c r="N38" s="179" t="s">
        <v>332</v>
      </c>
      <c r="O38" s="179" t="s">
        <v>335</v>
      </c>
      <c r="P38" s="179" t="s">
        <v>337</v>
      </c>
      <c r="Q38" s="180" t="s">
        <v>336</v>
      </c>
      <c r="R38" s="283"/>
      <c r="S38" s="184" t="str">
        <v>R124</v>
      </c>
      <c r="T38" s="142">
        <v>23</v>
      </c>
      <c r="U38" s="129">
        <v>20</v>
      </c>
      <c r="V38" s="129">
        <v>20</v>
      </c>
      <c r="W38" s="129">
        <v>37</v>
      </c>
    </row>
    <row r="39" spans="1:23" x14ac:dyDescent="0.35">
      <c r="A39" s="276"/>
      <c r="B39" s="276"/>
      <c r="C39" s="276"/>
      <c r="D39" s="276"/>
      <c r="E39" s="276"/>
      <c r="F39" s="276"/>
      <c r="G39" s="276"/>
      <c r="H39" s="276"/>
      <c r="I39" s="276"/>
      <c r="J39" s="184" t="str">
        <f t="array" ref="J39:J49">TRANSPOSE('in2'!HR1:IB1)</f>
        <v>R80</v>
      </c>
      <c r="K39" s="129">
        <f t="array" ref="K39:Q43">TRANSPOSE('in2'!HR33:HV39)</f>
        <v>7</v>
      </c>
      <c r="L39" s="142">
        <v>47</v>
      </c>
      <c r="M39" s="129">
        <v>17</v>
      </c>
      <c r="N39" s="129">
        <v>3</v>
      </c>
      <c r="O39" s="129">
        <v>3</v>
      </c>
      <c r="P39" s="129">
        <v>7</v>
      </c>
      <c r="Q39" s="129">
        <v>17</v>
      </c>
      <c r="R39" s="283"/>
      <c r="S39" s="184" t="str">
        <v>R125</v>
      </c>
      <c r="T39" s="129">
        <v>30</v>
      </c>
      <c r="U39" s="142">
        <v>23</v>
      </c>
      <c r="V39" s="129">
        <v>27</v>
      </c>
      <c r="W39" s="129">
        <v>20</v>
      </c>
    </row>
    <row r="40" spans="1:23" x14ac:dyDescent="0.35">
      <c r="A40" s="276"/>
      <c r="B40" s="276"/>
      <c r="C40" s="276"/>
      <c r="D40" s="276"/>
      <c r="E40" s="276"/>
      <c r="F40" s="276"/>
      <c r="G40" s="276"/>
      <c r="H40" s="276"/>
      <c r="I40" s="276"/>
      <c r="J40" s="184" t="str">
        <v>R81</v>
      </c>
      <c r="K40" s="142">
        <v>73</v>
      </c>
      <c r="L40" s="129">
        <v>10</v>
      </c>
      <c r="M40" s="129">
        <v>3</v>
      </c>
      <c r="N40" s="129">
        <v>0</v>
      </c>
      <c r="O40" s="129">
        <v>3</v>
      </c>
      <c r="P40" s="129">
        <v>7</v>
      </c>
      <c r="Q40" s="129">
        <v>0</v>
      </c>
      <c r="R40" s="283"/>
      <c r="S40" s="184" t="str">
        <v>R126</v>
      </c>
      <c r="T40" s="129">
        <v>27</v>
      </c>
      <c r="U40" s="142">
        <v>23</v>
      </c>
      <c r="V40" s="129">
        <v>27</v>
      </c>
      <c r="W40" s="129">
        <v>20</v>
      </c>
    </row>
    <row r="41" spans="1:23" x14ac:dyDescent="0.35">
      <c r="A41" s="276"/>
      <c r="B41" s="276"/>
      <c r="C41" s="276"/>
      <c r="D41" s="276"/>
      <c r="E41" s="276"/>
      <c r="F41" s="276"/>
      <c r="G41" s="276"/>
      <c r="H41" s="276"/>
      <c r="I41" s="276"/>
      <c r="J41" s="184" t="str">
        <v>R82</v>
      </c>
      <c r="K41" s="129">
        <v>3</v>
      </c>
      <c r="L41" s="129">
        <v>0</v>
      </c>
      <c r="M41" s="142">
        <v>50</v>
      </c>
      <c r="N41" s="129">
        <v>23</v>
      </c>
      <c r="O41" s="129">
        <v>10</v>
      </c>
      <c r="P41" s="129">
        <v>13</v>
      </c>
      <c r="Q41" s="129">
        <v>0</v>
      </c>
      <c r="R41" s="283"/>
      <c r="S41" s="184" t="str">
        <v>R127</v>
      </c>
      <c r="T41" s="142">
        <v>17</v>
      </c>
      <c r="U41" s="129">
        <v>30</v>
      </c>
      <c r="V41" s="129">
        <v>23</v>
      </c>
      <c r="W41" s="129">
        <v>30</v>
      </c>
    </row>
    <row r="42" spans="1:23" x14ac:dyDescent="0.35">
      <c r="A42" s="276"/>
      <c r="B42" s="276"/>
      <c r="C42" s="276"/>
      <c r="D42" s="276"/>
      <c r="E42" s="276"/>
      <c r="F42" s="276"/>
      <c r="G42" s="276"/>
      <c r="H42" s="276"/>
      <c r="I42" s="276"/>
      <c r="J42" s="184" t="str">
        <v>R83</v>
      </c>
      <c r="K42" s="129">
        <v>3</v>
      </c>
      <c r="L42" s="129">
        <v>20</v>
      </c>
      <c r="M42" s="129">
        <v>13</v>
      </c>
      <c r="N42" s="129">
        <v>47</v>
      </c>
      <c r="O42" s="129">
        <v>0</v>
      </c>
      <c r="P42" s="142">
        <v>10</v>
      </c>
      <c r="Q42" s="129">
        <v>3</v>
      </c>
      <c r="R42" s="283"/>
      <c r="S42" s="184" t="str">
        <v>R128</v>
      </c>
      <c r="T42" s="129">
        <v>13</v>
      </c>
      <c r="U42" s="129">
        <v>43</v>
      </c>
      <c r="V42" s="129">
        <v>33</v>
      </c>
      <c r="W42" s="142">
        <v>10</v>
      </c>
    </row>
    <row r="43" spans="1:23" ht="15" thickBot="1" x14ac:dyDescent="0.4">
      <c r="A43" s="276"/>
      <c r="B43" s="276"/>
      <c r="C43" s="276"/>
      <c r="D43" s="276"/>
      <c r="E43" s="276"/>
      <c r="F43" s="276"/>
      <c r="G43" s="276"/>
      <c r="H43" s="276"/>
      <c r="I43" s="276"/>
      <c r="J43" s="190" t="str">
        <v>R84</v>
      </c>
      <c r="K43" s="129">
        <v>10</v>
      </c>
      <c r="L43" s="129">
        <v>3</v>
      </c>
      <c r="M43" s="129">
        <v>3</v>
      </c>
      <c r="N43" s="129">
        <v>7</v>
      </c>
      <c r="O43" s="129">
        <v>47</v>
      </c>
      <c r="P43" s="129">
        <v>3</v>
      </c>
      <c r="Q43" s="142">
        <v>27</v>
      </c>
      <c r="R43" s="283"/>
      <c r="S43" s="184" t="str">
        <v>R129</v>
      </c>
      <c r="T43" s="129">
        <v>17</v>
      </c>
      <c r="U43" s="142">
        <v>47</v>
      </c>
      <c r="V43" s="129">
        <v>20</v>
      </c>
      <c r="W43" s="129">
        <v>17</v>
      </c>
    </row>
    <row r="44" spans="1:23" x14ac:dyDescent="0.35">
      <c r="A44" s="276"/>
      <c r="B44" s="276"/>
      <c r="C44" s="276"/>
      <c r="D44" s="276"/>
      <c r="E44" s="276"/>
      <c r="F44" s="276"/>
      <c r="G44" s="276"/>
      <c r="H44" s="276"/>
      <c r="I44" s="276"/>
      <c r="J44" s="191" t="str">
        <v>R85</v>
      </c>
      <c r="K44" s="129">
        <f t="array" ref="K44:M49">TRANSPOSE('in2'!HW33:IB35)</f>
        <v>7</v>
      </c>
      <c r="L44" s="142">
        <v>83</v>
      </c>
      <c r="M44" s="129">
        <v>10</v>
      </c>
      <c r="N44" s="280"/>
      <c r="O44" s="281"/>
      <c r="P44" s="281"/>
      <c r="Q44" s="281"/>
      <c r="R44" s="281"/>
      <c r="S44" s="184" t="str">
        <v>R130</v>
      </c>
      <c r="T44" s="129">
        <v>13</v>
      </c>
      <c r="U44" s="129">
        <v>50</v>
      </c>
      <c r="V44" s="142">
        <v>30</v>
      </c>
      <c r="W44" s="129">
        <v>7</v>
      </c>
    </row>
    <row r="45" spans="1:23" x14ac:dyDescent="0.35">
      <c r="A45" s="276"/>
      <c r="B45" s="276"/>
      <c r="C45" s="276"/>
      <c r="D45" s="276"/>
      <c r="E45" s="276"/>
      <c r="F45" s="276"/>
      <c r="G45" s="276"/>
      <c r="H45" s="276"/>
      <c r="I45" s="276"/>
      <c r="J45" s="184" t="str">
        <v>R86</v>
      </c>
      <c r="K45" s="142">
        <v>40</v>
      </c>
      <c r="L45" s="129">
        <v>30</v>
      </c>
      <c r="M45" s="129">
        <v>30</v>
      </c>
      <c r="N45" s="280"/>
      <c r="O45" s="281"/>
      <c r="P45" s="281"/>
      <c r="Q45" s="281"/>
      <c r="R45" s="281"/>
      <c r="S45" s="184" t="str">
        <v>R131</v>
      </c>
      <c r="T45" s="129">
        <v>23</v>
      </c>
      <c r="U45" s="129">
        <v>37</v>
      </c>
      <c r="V45" s="129">
        <v>30</v>
      </c>
      <c r="W45" s="142">
        <v>3</v>
      </c>
    </row>
    <row r="46" spans="1:23" x14ac:dyDescent="0.35">
      <c r="A46" s="276"/>
      <c r="B46" s="276"/>
      <c r="C46" s="276"/>
      <c r="D46" s="276"/>
      <c r="E46" s="276"/>
      <c r="F46" s="276"/>
      <c r="G46" s="276"/>
      <c r="H46" s="276"/>
      <c r="I46" s="276"/>
      <c r="J46" s="184" t="str">
        <v>R87</v>
      </c>
      <c r="K46" s="129">
        <v>13</v>
      </c>
      <c r="L46" s="142">
        <v>27</v>
      </c>
      <c r="M46" s="129">
        <v>60</v>
      </c>
      <c r="N46" s="280"/>
      <c r="O46" s="281"/>
      <c r="P46" s="281"/>
      <c r="Q46" s="281"/>
      <c r="R46" s="281"/>
      <c r="S46" s="184" t="str">
        <v>R132</v>
      </c>
      <c r="T46" s="142">
        <v>17</v>
      </c>
      <c r="U46" s="129">
        <v>30</v>
      </c>
      <c r="V46" s="129">
        <v>37</v>
      </c>
      <c r="W46" s="129">
        <v>10</v>
      </c>
    </row>
    <row r="47" spans="1:23" x14ac:dyDescent="0.35">
      <c r="A47" s="276"/>
      <c r="B47" s="276"/>
      <c r="C47" s="276"/>
      <c r="D47" s="276"/>
      <c r="E47" s="276"/>
      <c r="F47" s="276"/>
      <c r="G47" s="276"/>
      <c r="H47" s="276"/>
      <c r="I47" s="276"/>
      <c r="J47" s="184" t="str">
        <v>R88</v>
      </c>
      <c r="K47" s="142">
        <v>23</v>
      </c>
      <c r="L47" s="129">
        <v>70</v>
      </c>
      <c r="M47" s="129">
        <v>7</v>
      </c>
      <c r="N47" s="280"/>
      <c r="O47" s="281"/>
      <c r="P47" s="281"/>
      <c r="Q47" s="281"/>
      <c r="R47" s="281"/>
      <c r="S47" s="184" t="str">
        <v>R133</v>
      </c>
      <c r="T47" s="129">
        <v>17</v>
      </c>
      <c r="U47" s="142">
        <v>43</v>
      </c>
      <c r="V47" s="129">
        <v>17</v>
      </c>
      <c r="W47" s="129">
        <v>20</v>
      </c>
    </row>
    <row r="48" spans="1:23" ht="15" thickBot="1" x14ac:dyDescent="0.4">
      <c r="A48" s="276"/>
      <c r="B48" s="276"/>
      <c r="C48" s="276"/>
      <c r="D48" s="276"/>
      <c r="E48" s="276"/>
      <c r="F48" s="276"/>
      <c r="G48" s="276"/>
      <c r="H48" s="276"/>
      <c r="I48" s="276"/>
      <c r="J48" s="184" t="str">
        <v>R89</v>
      </c>
      <c r="K48" s="129">
        <v>7</v>
      </c>
      <c r="L48" s="142">
        <v>87</v>
      </c>
      <c r="M48" s="129">
        <v>7</v>
      </c>
      <c r="N48" s="280"/>
      <c r="O48" s="281"/>
      <c r="P48" s="281"/>
      <c r="Q48" s="281"/>
      <c r="R48" s="281"/>
      <c r="S48" s="190" t="str">
        <v>R134</v>
      </c>
      <c r="T48" s="129">
        <v>10</v>
      </c>
      <c r="U48" s="129">
        <v>27</v>
      </c>
      <c r="V48" s="129">
        <v>33</v>
      </c>
      <c r="W48" s="142">
        <v>27</v>
      </c>
    </row>
    <row r="49" spans="1:134" ht="15" thickBot="1" x14ac:dyDescent="0.4">
      <c r="A49" s="276"/>
      <c r="B49" s="276"/>
      <c r="C49" s="276"/>
      <c r="D49" s="276"/>
      <c r="E49" s="276"/>
      <c r="F49" s="276"/>
      <c r="G49" s="276"/>
      <c r="H49" s="276"/>
      <c r="I49" s="276"/>
      <c r="J49" s="190" t="str">
        <v>R90</v>
      </c>
      <c r="K49" s="129">
        <v>53</v>
      </c>
      <c r="L49" s="129">
        <v>17</v>
      </c>
      <c r="M49" s="142">
        <v>30</v>
      </c>
      <c r="N49" s="280"/>
      <c r="O49" s="281"/>
      <c r="P49" s="281"/>
      <c r="Q49" s="281"/>
      <c r="R49" s="281"/>
      <c r="S49" s="282"/>
      <c r="T49" s="282"/>
      <c r="U49" s="282"/>
      <c r="V49" s="282"/>
      <c r="W49" s="282"/>
    </row>
    <row r="52" spans="1:134" x14ac:dyDescent="0.35">
      <c r="A52">
        <v>1</v>
      </c>
      <c r="B52">
        <v>2</v>
      </c>
      <c r="C52">
        <v>3</v>
      </c>
      <c r="D52">
        <v>4</v>
      </c>
      <c r="E52">
        <v>5</v>
      </c>
      <c r="F52">
        <v>6</v>
      </c>
      <c r="G52">
        <v>7</v>
      </c>
      <c r="H52">
        <v>8</v>
      </c>
      <c r="I52">
        <v>9</v>
      </c>
      <c r="J52">
        <v>10</v>
      </c>
      <c r="K52">
        <v>11</v>
      </c>
      <c r="L52">
        <v>12</v>
      </c>
      <c r="M52">
        <v>13</v>
      </c>
      <c r="N52">
        <v>14</v>
      </c>
      <c r="O52">
        <v>15</v>
      </c>
      <c r="P52">
        <v>16</v>
      </c>
      <c r="Q52">
        <v>17</v>
      </c>
      <c r="R52">
        <v>18</v>
      </c>
      <c r="S52">
        <v>19</v>
      </c>
      <c r="T52">
        <v>20</v>
      </c>
      <c r="U52">
        <v>21</v>
      </c>
      <c r="V52">
        <v>22</v>
      </c>
      <c r="W52">
        <v>23</v>
      </c>
      <c r="X52">
        <v>24</v>
      </c>
      <c r="Y52">
        <v>25</v>
      </c>
      <c r="Z52">
        <v>26</v>
      </c>
      <c r="AA52">
        <v>27</v>
      </c>
      <c r="AB52">
        <v>28</v>
      </c>
      <c r="AC52">
        <v>29</v>
      </c>
      <c r="AD52">
        <v>30</v>
      </c>
      <c r="AE52">
        <v>31</v>
      </c>
      <c r="AF52">
        <v>32</v>
      </c>
      <c r="AG52">
        <v>33</v>
      </c>
      <c r="AH52">
        <v>34</v>
      </c>
      <c r="AI52">
        <v>35</v>
      </c>
      <c r="AJ52">
        <v>36</v>
      </c>
      <c r="AK52">
        <v>37</v>
      </c>
      <c r="AL52">
        <v>38</v>
      </c>
      <c r="AM52">
        <v>39</v>
      </c>
      <c r="AN52">
        <v>40</v>
      </c>
      <c r="AO52">
        <v>41</v>
      </c>
      <c r="AP52">
        <v>42</v>
      </c>
      <c r="AQ52">
        <v>43</v>
      </c>
      <c r="AR52">
        <v>44</v>
      </c>
      <c r="AS52">
        <v>45</v>
      </c>
      <c r="AT52">
        <v>46</v>
      </c>
      <c r="AU52">
        <v>47</v>
      </c>
      <c r="AV52">
        <v>48</v>
      </c>
      <c r="AW52">
        <v>49</v>
      </c>
      <c r="AX52">
        <v>50</v>
      </c>
      <c r="AY52">
        <v>51</v>
      </c>
      <c r="AZ52">
        <v>52</v>
      </c>
      <c r="BA52">
        <v>53</v>
      </c>
      <c r="BB52">
        <v>54</v>
      </c>
      <c r="BC52">
        <v>55</v>
      </c>
      <c r="BD52">
        <v>56</v>
      </c>
      <c r="BE52">
        <v>57</v>
      </c>
      <c r="BF52">
        <v>58</v>
      </c>
      <c r="BG52">
        <v>59</v>
      </c>
      <c r="BH52">
        <v>60</v>
      </c>
      <c r="BI52">
        <v>61</v>
      </c>
      <c r="BJ52">
        <v>62</v>
      </c>
      <c r="BK52">
        <v>63</v>
      </c>
      <c r="BL52">
        <v>64</v>
      </c>
      <c r="BM52">
        <v>65</v>
      </c>
      <c r="BN52">
        <v>66</v>
      </c>
      <c r="BO52">
        <v>67</v>
      </c>
      <c r="BP52">
        <v>68</v>
      </c>
      <c r="BQ52">
        <v>69</v>
      </c>
      <c r="BR52">
        <v>70</v>
      </c>
      <c r="BS52">
        <v>71</v>
      </c>
      <c r="BT52">
        <v>72</v>
      </c>
      <c r="BU52">
        <v>73</v>
      </c>
      <c r="BV52">
        <v>74</v>
      </c>
      <c r="BW52">
        <v>75</v>
      </c>
      <c r="BX52">
        <v>76</v>
      </c>
      <c r="BY52">
        <v>77</v>
      </c>
      <c r="BZ52">
        <v>78</v>
      </c>
      <c r="CA52">
        <v>79</v>
      </c>
      <c r="CB52">
        <v>80</v>
      </c>
      <c r="CC52">
        <v>81</v>
      </c>
      <c r="CD52">
        <v>82</v>
      </c>
      <c r="CE52">
        <v>83</v>
      </c>
      <c r="CF52">
        <v>84</v>
      </c>
      <c r="CG52">
        <v>85</v>
      </c>
      <c r="CH52">
        <v>86</v>
      </c>
      <c r="CI52">
        <v>87</v>
      </c>
      <c r="CJ52">
        <v>88</v>
      </c>
      <c r="CK52">
        <v>89</v>
      </c>
      <c r="CL52">
        <v>90</v>
      </c>
      <c r="CM52">
        <v>91</v>
      </c>
      <c r="CN52">
        <v>92</v>
      </c>
      <c r="CO52">
        <v>93</v>
      </c>
      <c r="CP52">
        <v>94</v>
      </c>
      <c r="CQ52">
        <v>95</v>
      </c>
      <c r="CR52">
        <v>96</v>
      </c>
      <c r="CS52">
        <v>97</v>
      </c>
      <c r="CT52">
        <v>98</v>
      </c>
      <c r="CU52">
        <v>99</v>
      </c>
      <c r="CV52">
        <v>100</v>
      </c>
      <c r="CW52">
        <v>101</v>
      </c>
      <c r="CX52">
        <v>102</v>
      </c>
      <c r="CY52">
        <v>103</v>
      </c>
      <c r="CZ52">
        <v>104</v>
      </c>
      <c r="DA52">
        <v>105</v>
      </c>
      <c r="DB52">
        <v>106</v>
      </c>
      <c r="DC52">
        <v>107</v>
      </c>
      <c r="DD52">
        <v>108</v>
      </c>
      <c r="DE52">
        <v>109</v>
      </c>
      <c r="DF52">
        <v>110</v>
      </c>
      <c r="DG52">
        <v>111</v>
      </c>
      <c r="DH52">
        <v>112</v>
      </c>
      <c r="DI52">
        <v>113</v>
      </c>
      <c r="DJ52">
        <v>114</v>
      </c>
      <c r="DK52">
        <v>115</v>
      </c>
      <c r="DL52">
        <v>116</v>
      </c>
      <c r="DM52">
        <v>117</v>
      </c>
      <c r="DN52">
        <v>118</v>
      </c>
      <c r="DO52">
        <v>119</v>
      </c>
      <c r="DP52">
        <v>120</v>
      </c>
      <c r="DQ52">
        <v>121</v>
      </c>
      <c r="DR52">
        <v>122</v>
      </c>
      <c r="DS52">
        <v>123</v>
      </c>
      <c r="DT52">
        <v>124</v>
      </c>
      <c r="DU52">
        <v>125</v>
      </c>
      <c r="DV52">
        <v>126</v>
      </c>
      <c r="DW52">
        <v>127</v>
      </c>
      <c r="DX52">
        <v>128</v>
      </c>
      <c r="DY52">
        <v>129</v>
      </c>
      <c r="DZ52">
        <v>130</v>
      </c>
      <c r="EA52">
        <v>131</v>
      </c>
      <c r="EB52">
        <v>132</v>
      </c>
      <c r="EC52">
        <v>133</v>
      </c>
      <c r="ED52">
        <v>134</v>
      </c>
    </row>
  </sheetData>
  <mergeCells count="14">
    <mergeCell ref="A1:E3"/>
    <mergeCell ref="G1:K3"/>
    <mergeCell ref="M1:Q3"/>
    <mergeCell ref="J35:Q37"/>
    <mergeCell ref="S1:W3"/>
    <mergeCell ref="A30:I49"/>
    <mergeCell ref="J30:L34"/>
    <mergeCell ref="M34:R34"/>
    <mergeCell ref="N44:R49"/>
    <mergeCell ref="S49:W49"/>
    <mergeCell ref="R35:R43"/>
    <mergeCell ref="R1:R33"/>
    <mergeCell ref="L1:L29"/>
    <mergeCell ref="F1:F29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</vt:lpstr>
      <vt:lpstr>in2</vt:lpstr>
      <vt:lpstr>SESION1</vt:lpstr>
      <vt:lpstr>SESION2</vt:lpstr>
      <vt:lpstr>GENERAL</vt:lpstr>
      <vt:lpstr>RESULTADOS </vt:lpstr>
      <vt:lpstr>REDONDEO</vt:lpstr>
      <vt:lpstr>desempeños</vt:lpstr>
      <vt:lpstr>ITEM SESION1</vt:lpstr>
      <vt:lpstr>ITEM SESION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diannyvalle22@gmail.com</dc:creator>
  <cp:lastModifiedBy>HP-EF2525LA</cp:lastModifiedBy>
  <cp:lastPrinted>2026-02-26T02:41:50Z</cp:lastPrinted>
  <dcterms:created xsi:type="dcterms:W3CDTF">2023-05-18T03:35:00Z</dcterms:created>
  <dcterms:modified xsi:type="dcterms:W3CDTF">2026-03-14T17:27:24Z</dcterms:modified>
</cp:coreProperties>
</file>